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5.xml" ContentType="application/vnd.openxmlformats-officedocument.spreadsheetml.worksheet+xml"/>
  <Override PartName="/xl/comments/comment2.xml" ContentType="application/vnd.openxmlformats-officedocument.spreadsheetml.comments+xml"/>
  <Override PartName="/xl/worksheets/sheet6.xml" ContentType="application/vnd.openxmlformats-officedocument.spreadsheetml.worksheet+xml"/>
  <Override PartName="/xl/comments/comment3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workbook.xml" ContentType="application/vnd.ms-excel.sheet.macroEnabled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2456" tabRatio="714" firstSheet="1" activeTab="1" autoFilterDateGrouping="1"/>
  </bookViews>
  <sheets>
    <sheet xmlns:r="http://schemas.openxmlformats.org/officeDocument/2006/relationships" name="-------" sheetId="1" state="veryHidden" r:id="rId1"/>
    <sheet xmlns:r="http://schemas.openxmlformats.org/officeDocument/2006/relationships" name="FORMATO" sheetId="2" state="visible" r:id="rId2"/>
    <sheet xmlns:r="http://schemas.openxmlformats.org/officeDocument/2006/relationships" name="INFORME-1" sheetId="3" state="visible" r:id="rId3"/>
    <sheet xmlns:r="http://schemas.openxmlformats.org/officeDocument/2006/relationships" name="INFORME-2" sheetId="4" state="visible" r:id="rId4"/>
    <sheet xmlns:r="http://schemas.openxmlformats.org/officeDocument/2006/relationships" name="DATOS" sheetId="5" state="visible" r:id="rId5"/>
    <sheet xmlns:r="http://schemas.openxmlformats.org/officeDocument/2006/relationships" name="INCERT" sheetId="6" state="visible" r:id="rId6"/>
    <sheet xmlns:r="http://schemas.openxmlformats.org/officeDocument/2006/relationships" name="Balanza" sheetId="7" state="visible" r:id="rId7"/>
    <sheet xmlns:r="http://schemas.openxmlformats.org/officeDocument/2006/relationships" name="PRECISION" sheetId="8" state="visible" r:id="rId8"/>
    <sheet xmlns:r="http://schemas.openxmlformats.org/officeDocument/2006/relationships" name="PRECISION (2)" sheetId="9" state="hidden" r:id="rId9"/>
    <sheet xmlns:r="http://schemas.openxmlformats.org/officeDocument/2006/relationships" name="cbr graficos" sheetId="10" state="hidden" r:id="rId10"/>
  </sheets>
  <definedNames>
    <definedName name="_xlnm.Print_Area" localSheetId="1">'FORMATO'!$A$1:$Q$65</definedName>
    <definedName name="_xlnm.Print_Area" localSheetId="2">'INFORME-1'!$A$1:$Q$67</definedName>
    <definedName name="_xlnm.Print_Area" localSheetId="3">'INFORME-2'!$A$1:$R$60</definedName>
  </definedNames>
  <calcPr calcId="191029" fullCalcOnLoad="1"/>
</workbook>
</file>

<file path=xl/styles.xml><?xml version="1.0" encoding="utf-8"?>
<styleSheet xmlns="http://schemas.openxmlformats.org/spreadsheetml/2006/main">
  <numFmts count="29">
    <numFmt numFmtId="164" formatCode="00#&quot;-16 / SU 11&quot;"/>
    <numFmt numFmtId="165" formatCode="dd\-mm\-yy;@"/>
    <numFmt numFmtId="166" formatCode="000&quot;-21 SU07&quot;"/>
    <numFmt numFmtId="167" formatCode="000&quot;-20 SU12&quot;"/>
    <numFmt numFmtId="168" formatCode="0.0"/>
    <numFmt numFmtId="169" formatCode="0.000"/>
    <numFmt numFmtId="170" formatCode="0.0%"/>
    <numFmt numFmtId="171" formatCode="000&quot;-AG-23&quot;"/>
    <numFmt numFmtId="172" formatCode="0.0\ &quot;%&quot;"/>
    <numFmt numFmtId="173" formatCode="0.00000"/>
    <numFmt numFmtId="174" formatCode="000&quot;-SU-24&quot;"/>
    <numFmt numFmtId="175" formatCode="000\-\ &quot;24&quot;"/>
    <numFmt numFmtId="176" formatCode="0.\ &quot;mm&quot;"/>
    <numFmt numFmtId="177" formatCode="&quot;Molde&quot;\ 0"/>
    <numFmt numFmtId="178" formatCode="0.0000"/>
    <numFmt numFmtId="179" formatCode="yyyy\-mm\-dd;@"/>
    <numFmt numFmtId="180" formatCode="0.00000000000"/>
    <numFmt numFmtId="181" formatCode="&quot;0&quot;0"/>
    <numFmt numFmtId="182" formatCode="#,##0.0"/>
    <numFmt numFmtId="183" formatCode="000\-\ &quot;26&quot;"/>
    <numFmt numFmtId="184" formatCode="000&quot;-AG-26&quot;"/>
    <numFmt numFmtId="185" formatCode="&quot;FORMATO F-LEM-P-SU-11.01&quot;"/>
    <numFmt numFmtId="186" formatCode="0\ &quot;Golpes&quot;"/>
    <numFmt numFmtId="187" formatCode="&quot;INFORME DE ENSAYO N°&quot;000&quot;-26 SU37&quot;"/>
    <numFmt numFmtId="188" formatCode="0.00000E+00"/>
    <numFmt numFmtId="189" formatCode="0.0000000"/>
    <numFmt numFmtId="190" formatCode="0.000000"/>
    <numFmt numFmtId="191" formatCode="_([$€-2]\ * #,##0.00_);_([$€-2]\ * \(#,##0.00\);_([$€-2]\ * &quot;-&quot;??_)"/>
    <numFmt numFmtId="192" formatCode="dd\-mmm\-yyyy"/>
  </numFmts>
  <fonts count="65">
    <font>
      <name val="Arial"/>
      <sz val="10"/>
    </font>
    <font>
      <name val="Arial"/>
      <family val="2"/>
      <sz val="10"/>
    </font>
    <font>
      <name val="Arial"/>
      <family val="2"/>
      <sz val="8"/>
    </font>
    <font>
      <name val="Arial"/>
      <family val="2"/>
      <b val="1"/>
      <sz val="14"/>
    </font>
    <font>
      <name val="Times New Roman"/>
      <family val="1"/>
      <sz val="9"/>
    </font>
    <font>
      <name val="Times New Roman"/>
      <family val="1"/>
      <sz val="10"/>
    </font>
    <font>
      <name val="Times New Roman"/>
      <family val="1"/>
      <b val="1"/>
      <sz val="12"/>
    </font>
    <font>
      <name val="Times New Roman"/>
      <family val="1"/>
      <b val="1"/>
      <sz val="8"/>
    </font>
    <font>
      <name val="Times New Roman"/>
      <family val="1"/>
      <sz val="8"/>
    </font>
    <font>
      <name val="Arial"/>
      <family val="2"/>
      <sz val="10"/>
    </font>
    <font>
      <name val="Times New Roman"/>
      <family val="1"/>
      <sz val="11"/>
    </font>
    <font>
      <name val="Arial"/>
      <family val="2"/>
      <b val="1"/>
      <sz val="11"/>
      <u val="single"/>
    </font>
    <font>
      <name val="Arial"/>
      <family val="2"/>
      <b val="1"/>
      <sz val="8"/>
    </font>
    <font>
      <name val="Arial"/>
      <family val="2"/>
      <b val="1"/>
      <sz val="11"/>
    </font>
    <font>
      <name val="Arial"/>
      <family val="2"/>
      <b val="1"/>
      <sz val="8"/>
      <u val="single"/>
    </font>
    <font>
      <name val="Arial"/>
      <family val="2"/>
      <sz val="11"/>
    </font>
    <font>
      <name val="Arial"/>
      <family val="2"/>
      <sz val="7"/>
    </font>
    <font>
      <name val="Arial"/>
      <family val="2"/>
      <b val="1"/>
      <sz val="10"/>
    </font>
    <font>
      <name val="Arial"/>
      <family val="2"/>
      <b val="1"/>
      <sz val="9"/>
      <u val="single"/>
    </font>
    <font>
      <name val="Arial"/>
      <family val="2"/>
      <b val="1"/>
      <sz val="9"/>
    </font>
    <font>
      <name val="Arial"/>
      <family val="2"/>
      <sz val="9"/>
    </font>
    <font>
      <name val="Arial"/>
      <family val="2"/>
      <b val="1"/>
      <sz val="16"/>
    </font>
    <font>
      <name val="Arial"/>
      <family val="2"/>
      <color indexed="47"/>
      <sz val="9"/>
    </font>
    <font>
      <name val="Arial"/>
      <family val="2"/>
      <b val="1"/>
      <sz val="10"/>
      <u val="single"/>
    </font>
    <font>
      <name val="Arial"/>
      <family val="2"/>
      <b val="1"/>
      <sz val="12"/>
    </font>
    <font>
      <name val="Arial"/>
      <family val="2"/>
      <sz val="9"/>
      <u val="single"/>
    </font>
    <font>
      <name val="Arial"/>
      <family val="2"/>
      <b val="1"/>
      <i val="1"/>
      <sz val="9"/>
      <u val="single"/>
    </font>
    <font>
      <name val="Arial"/>
      <family val="2"/>
      <b val="1"/>
      <sz val="24"/>
    </font>
    <font>
      <name val="Calibri"/>
      <family val="2"/>
      <color theme="1"/>
      <sz val="11"/>
      <scheme val="minor"/>
    </font>
    <font>
      <name val="Arial"/>
      <family val="2"/>
      <color theme="0"/>
      <sz val="10"/>
    </font>
    <font>
      <name val="Arial"/>
      <family val="2"/>
      <color theme="1"/>
      <sz val="9"/>
    </font>
    <font>
      <name val="Arial"/>
      <family val="2"/>
      <b val="1"/>
      <i val="1"/>
      <color theme="1"/>
      <sz val="9"/>
      <u val="single"/>
    </font>
    <font>
      <name val="Arial"/>
      <family val="2"/>
      <b val="1"/>
      <color rgb="FF0000FF"/>
      <sz val="8"/>
    </font>
    <font>
      <name val="Arial"/>
      <family val="2"/>
      <color rgb="FFFF0000"/>
      <sz val="8"/>
    </font>
    <font>
      <name val="Arial"/>
      <family val="2"/>
      <color rgb="FFFF0000"/>
      <sz val="9"/>
    </font>
    <font>
      <name val="Arial"/>
      <family val="2"/>
      <color rgb="FFFF0000"/>
      <sz val="7"/>
    </font>
    <font>
      <name val="Arial"/>
      <family val="2"/>
      <color rgb="FFFF0000"/>
      <sz val="10"/>
    </font>
    <font>
      <name val="Arial"/>
      <family val="2"/>
      <color rgb="FF0000FF"/>
      <sz val="8"/>
    </font>
    <font>
      <name val="Arial"/>
      <family val="2"/>
      <color rgb="FF0000FF"/>
      <sz val="9"/>
    </font>
    <font>
      <name val="Arial"/>
      <family val="2"/>
      <color theme="0"/>
      <sz val="9"/>
    </font>
    <font>
      <name val="Arial"/>
      <family val="2"/>
      <color theme="1"/>
      <sz val="10"/>
    </font>
    <font>
      <name val="Arial"/>
      <family val="2"/>
      <b val="1"/>
      <color theme="1"/>
      <sz val="10"/>
    </font>
    <font>
      <name val="Arial"/>
      <family val="2"/>
      <color theme="1"/>
      <sz val="11"/>
    </font>
    <font>
      <name val="Arial"/>
      <family val="2"/>
      <color theme="1"/>
      <sz val="10"/>
      <u val="single"/>
    </font>
    <font>
      <name val="Arial"/>
      <family val="2"/>
      <b val="1"/>
      <color theme="1"/>
      <sz val="11"/>
      <u val="single"/>
    </font>
    <font>
      <name val="Arial"/>
      <family val="2"/>
      <b val="1"/>
      <color theme="1"/>
      <sz val="11"/>
    </font>
    <font>
      <name val="Arial"/>
      <family val="2"/>
      <b val="1"/>
      <color rgb="FFFF0000"/>
      <sz val="11"/>
    </font>
    <font>
      <name val="Cambria"/>
      <family val="1"/>
      <b val="1"/>
      <color theme="1"/>
      <sz val="9"/>
    </font>
    <font>
      <name val="Arial"/>
      <family val="2"/>
      <color rgb="FF0000FF"/>
      <sz val="10"/>
    </font>
    <font>
      <name val="Arial"/>
      <family val="2"/>
      <b val="1"/>
      <color theme="1"/>
      <sz val="10"/>
      <u val="single"/>
    </font>
    <font>
      <name val="Arial"/>
      <family val="2"/>
      <b val="1"/>
      <color theme="1"/>
      <sz val="9"/>
      <u val="single"/>
    </font>
    <font>
      <name val="Arial"/>
      <family val="2"/>
      <b val="1"/>
      <color rgb="FF0000FF"/>
      <sz val="10"/>
    </font>
    <font>
      <name val="Arial"/>
      <family val="2"/>
      <color rgb="FF0070C0"/>
      <sz val="9"/>
    </font>
    <font>
      <name val="Arial"/>
      <family val="2"/>
      <color rgb="FF0000CC"/>
      <sz val="10"/>
    </font>
    <font>
      <name val="Arial"/>
      <family val="2"/>
      <color theme="0"/>
      <sz val="8"/>
    </font>
    <font>
      <name val="Calibri"/>
      <family val="2"/>
      <color theme="1"/>
      <sz val="10"/>
      <scheme val="minor"/>
    </font>
    <font>
      <name val="Arial"/>
      <family val="2"/>
      <b val="1"/>
      <color rgb="FF0000FF"/>
      <sz val="9"/>
    </font>
    <font>
      <name val="Arial"/>
      <family val="2"/>
      <b val="1"/>
      <color theme="1"/>
      <sz val="9"/>
    </font>
    <font>
      <name val="Arial"/>
      <family val="2"/>
      <b val="1"/>
      <color rgb="FF002060"/>
      <sz val="8"/>
    </font>
    <font>
      <name val="Arial"/>
      <family val="2"/>
      <b val="1"/>
      <color theme="1"/>
      <sz val="12"/>
    </font>
    <font>
      <name val="Calibri"/>
      <family val="2"/>
      <sz val="11"/>
      <scheme val="minor"/>
    </font>
    <font>
      <name val="Calibri"/>
      <family val="2"/>
      <sz val="10"/>
      <scheme val="minor"/>
    </font>
    <font>
      <name val="Arial"/>
      <family val="2"/>
      <color rgb="FF000000"/>
      <sz val="9"/>
    </font>
    <font>
      <name val="Arial"/>
      <family val="2"/>
      <color indexed="10"/>
      <sz val="9"/>
    </font>
    <font>
      <name val="Arial"/>
      <family val="2"/>
      <color indexed="12"/>
      <sz val="10"/>
      <u val="single"/>
    </font>
  </fonts>
  <fills count="9">
    <fill>
      <patternFill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/>
        <bgColor theme="0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3" tint="0.7999816888943144"/>
        <bgColor indexed="64"/>
      </patternFill>
    </fill>
  </fills>
  <borders count="91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2">
    <xf numFmtId="0" fontId="0" fillId="0" borderId="0"/>
    <xf numFmtId="191" fontId="9" fillId="0" borderId="0"/>
    <xf numFmtId="192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/>
    <xf numFmtId="9" fontId="9" fillId="0" borderId="0"/>
    <xf numFmtId="9" fontId="9" fillId="0" borderId="0"/>
    <xf numFmtId="0" fontId="64" fillId="0" borderId="0" applyAlignment="1" applyProtection="1">
      <alignment vertical="top"/>
      <protection locked="0" hidden="0"/>
    </xf>
    <xf numFmtId="0" fontId="28" fillId="0" borderId="0"/>
  </cellStyleXfs>
  <cellXfs count="994">
    <xf numFmtId="0" fontId="0" fillId="0" borderId="0" pivotButton="0" quotePrefix="0" xfId="0"/>
    <xf numFmtId="0" fontId="2" fillId="0" borderId="0" applyAlignment="1" applyProtection="1" pivotButton="0" quotePrefix="0" xfId="0">
      <alignment vertical="center"/>
      <protection locked="0" hidden="0"/>
    </xf>
    <xf numFmtId="0" fontId="4" fillId="0" borderId="0" applyAlignment="1" applyProtection="1" pivotButton="0" quotePrefix="0" xfId="0">
      <alignment vertical="center"/>
      <protection locked="0" hidden="0"/>
    </xf>
    <xf numFmtId="0" fontId="6" fillId="0" borderId="0" applyAlignment="1" applyProtection="1" pivotButton="0" quotePrefix="0" xfId="0">
      <alignment horizontal="center" vertical="center" wrapText="1"/>
      <protection locked="0" hidden="0"/>
    </xf>
    <xf numFmtId="0" fontId="5" fillId="0" borderId="0" applyAlignment="1" applyProtection="1" pivotButton="0" quotePrefix="0" xfId="0">
      <alignment vertical="center"/>
      <protection locked="0" hidden="0"/>
    </xf>
    <xf numFmtId="164" fontId="5" fillId="0" borderId="0" applyAlignment="1" applyProtection="1" pivotButton="0" quotePrefix="0" xfId="0">
      <alignment horizontal="center" vertical="center"/>
      <protection locked="0" hidden="0"/>
    </xf>
    <xf numFmtId="0" fontId="8" fillId="0" borderId="0" applyAlignment="1" applyProtection="1" pivotButton="0" quotePrefix="0" xfId="0">
      <alignment vertical="center"/>
      <protection locked="0" hidden="0"/>
    </xf>
    <xf numFmtId="17" fontId="5" fillId="0" borderId="0" applyAlignment="1" applyProtection="1" pivotButton="0" quotePrefix="0" xfId="0">
      <alignment horizontal="left" vertical="center"/>
      <protection locked="0" hidden="0"/>
    </xf>
    <xf numFmtId="165" fontId="2" fillId="0" borderId="0" applyAlignment="1" applyProtection="1" pivotButton="0" quotePrefix="0" xfId="0">
      <alignment horizontal="left" vertical="center"/>
      <protection locked="0" hidden="0"/>
    </xf>
    <xf numFmtId="166" fontId="2" fillId="0" borderId="0" applyAlignment="1" applyProtection="1" pivotButton="0" quotePrefix="0" xfId="0">
      <alignment horizontal="left" vertical="center"/>
      <protection locked="0" hidden="0"/>
    </xf>
    <xf numFmtId="167" fontId="2" fillId="0" borderId="0" applyAlignment="1" applyProtection="1" pivotButton="0" quotePrefix="0" xfId="0">
      <alignment horizontal="left" vertical="center"/>
      <protection locked="0" hidden="0"/>
    </xf>
    <xf numFmtId="0" fontId="13" fillId="0" borderId="1" applyAlignment="1" applyProtection="1" pivotButton="0" quotePrefix="0" xfId="0">
      <alignment horizontal="center" vertical="center" wrapText="1"/>
      <protection locked="0" hidden="0"/>
    </xf>
    <xf numFmtId="0" fontId="13" fillId="0" borderId="2" applyAlignment="1" applyProtection="1" pivotButton="0" quotePrefix="0" xfId="0">
      <alignment horizontal="center" vertical="center" wrapText="1"/>
      <protection locked="0" hidden="0"/>
    </xf>
    <xf numFmtId="0" fontId="7" fillId="0" borderId="0" applyAlignment="1" applyProtection="1" pivotButton="0" quotePrefix="0" xfId="0">
      <alignment horizontal="left" vertical="center"/>
      <protection locked="0" hidden="0"/>
    </xf>
    <xf numFmtId="168" fontId="29" fillId="0" borderId="0" applyProtection="1" pivotButton="0" quotePrefix="0" xfId="3">
      <protection locked="0" hidden="0"/>
    </xf>
    <xf numFmtId="0" fontId="3" fillId="0" borderId="0" applyAlignment="1" applyProtection="1" pivotButton="0" quotePrefix="0" xfId="0">
      <alignment vertical="center"/>
      <protection locked="0" hidden="0"/>
    </xf>
    <xf numFmtId="0" fontId="2" fillId="2" borderId="0" applyAlignment="1" applyProtection="1" pivotButton="0" quotePrefix="0" xfId="0">
      <alignment vertical="center"/>
      <protection locked="0" hidden="0"/>
    </xf>
    <xf numFmtId="0" fontId="5" fillId="2" borderId="0" applyAlignment="1" applyProtection="1" pivotButton="0" quotePrefix="0" xfId="0">
      <alignment vertical="center"/>
      <protection locked="0" hidden="0"/>
    </xf>
    <xf numFmtId="0" fontId="12" fillId="0" borderId="0" applyAlignment="1" pivotButton="0" quotePrefix="0" xfId="5">
      <alignment vertical="center"/>
    </xf>
    <xf numFmtId="0" fontId="12" fillId="0" borderId="0" applyAlignment="1" pivotButton="0" quotePrefix="0" xfId="5">
      <alignment horizontal="center" vertical="center"/>
    </xf>
    <xf numFmtId="0" fontId="2" fillId="0" borderId="0" applyAlignment="1" pivotButton="0" quotePrefix="0" xfId="0">
      <alignment vertical="center"/>
    </xf>
    <xf numFmtId="0" fontId="12" fillId="0" borderId="0" applyAlignment="1" pivotButton="0" quotePrefix="0" xfId="0">
      <alignment horizontal="right" vertical="center"/>
    </xf>
    <xf numFmtId="0" fontId="12" fillId="0" borderId="0" applyAlignment="1" pivotButton="0" quotePrefix="0" xfId="0">
      <alignment horizontal="center" vertical="center"/>
    </xf>
    <xf numFmtId="0" fontId="12" fillId="0" borderId="0" applyAlignment="1" pivotButton="0" quotePrefix="0" xfId="5">
      <alignment horizontal="right" vertical="center"/>
    </xf>
    <xf numFmtId="0" fontId="13" fillId="0" borderId="3" applyAlignment="1" pivotButton="0" quotePrefix="0" xfId="0">
      <alignment horizontal="center" vertical="center" wrapText="1"/>
    </xf>
    <xf numFmtId="0" fontId="13" fillId="0" borderId="1" applyAlignment="1" pivotButton="0" quotePrefix="0" xfId="0">
      <alignment horizontal="center" vertical="center" wrapText="1"/>
    </xf>
    <xf numFmtId="0" fontId="14" fillId="0" borderId="4" applyAlignment="1" pivotButton="0" quotePrefix="0" xfId="5">
      <alignment vertical="center"/>
    </xf>
    <xf numFmtId="0" fontId="2" fillId="0" borderId="4" applyAlignment="1" pivotButton="0" quotePrefix="0" xfId="5">
      <alignment vertical="center"/>
    </xf>
    <xf numFmtId="0" fontId="2" fillId="0" borderId="0" applyAlignment="1" pivotButton="0" quotePrefix="0" xfId="5">
      <alignment horizontal="right" vertical="center"/>
    </xf>
    <xf numFmtId="0" fontId="9" fillId="0" borderId="0" applyAlignment="1" pivotButton="0" quotePrefix="0" xfId="0">
      <alignment vertical="center" wrapText="1"/>
    </xf>
    <xf numFmtId="0" fontId="2" fillId="0" borderId="0" applyAlignment="1" applyProtection="1" pivotButton="0" quotePrefix="0" xfId="0">
      <alignment horizontal="center" vertical="center"/>
      <protection locked="0" hidden="0"/>
    </xf>
    <xf numFmtId="0" fontId="2" fillId="0" borderId="5" applyAlignment="1" applyProtection="1" pivotButton="0" quotePrefix="0" xfId="0">
      <alignment horizontal="center" vertical="center"/>
      <protection locked="0" hidden="0"/>
    </xf>
    <xf numFmtId="0" fontId="12" fillId="3" borderId="0" applyAlignment="1" pivotButton="0" quotePrefix="0" xfId="5">
      <alignment vertical="center"/>
    </xf>
    <xf numFmtId="0" fontId="12" fillId="3" borderId="0" applyAlignment="1" pivotButton="0" quotePrefix="0" xfId="5">
      <alignment horizontal="center" vertical="center"/>
    </xf>
    <xf numFmtId="0" fontId="12" fillId="3" borderId="0" applyAlignment="1" pivotButton="0" quotePrefix="0" xfId="0">
      <alignment horizontal="right" vertical="center"/>
    </xf>
    <xf numFmtId="0" fontId="12" fillId="3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/>
    </xf>
    <xf numFmtId="0" fontId="12" fillId="3" borderId="0" applyAlignment="1" pivotButton="0" quotePrefix="0" xfId="5">
      <alignment horizontal="right" vertical="center"/>
    </xf>
    <xf numFmtId="167" fontId="2" fillId="3" borderId="0" applyAlignment="1" pivotButton="0" quotePrefix="0" xfId="0">
      <alignment horizontal="left" vertical="center"/>
    </xf>
    <xf numFmtId="0" fontId="18" fillId="3" borderId="0" applyAlignment="1" pivotButton="0" quotePrefix="0" xfId="0">
      <alignment vertical="center"/>
    </xf>
    <xf numFmtId="0" fontId="17" fillId="3" borderId="0" pivotButton="0" quotePrefix="0" xfId="0"/>
    <xf numFmtId="0" fontId="30" fillId="3" borderId="0" applyAlignment="1" pivotButton="0" quotePrefix="1" xfId="4">
      <alignment vertical="center"/>
    </xf>
    <xf numFmtId="0" fontId="30" fillId="3" borderId="0" applyAlignment="1" pivotButton="0" quotePrefix="1" xfId="4">
      <alignment horizontal="left" vertical="center"/>
    </xf>
    <xf numFmtId="0" fontId="31" fillId="3" borderId="0" applyAlignment="1" pivotButton="0" quotePrefix="0" xfId="4">
      <alignment horizontal="right" vertical="center"/>
    </xf>
    <xf numFmtId="0" fontId="9" fillId="3" borderId="0" applyAlignment="1" pivotButton="0" quotePrefix="0" xfId="0">
      <alignment vertical="center" wrapText="1"/>
    </xf>
    <xf numFmtId="0" fontId="20" fillId="3" borderId="6" pivotButton="0" quotePrefix="0" xfId="3"/>
    <xf numFmtId="0" fontId="20" fillId="3" borderId="0" applyProtection="1" pivotButton="0" quotePrefix="0" xfId="3">
      <protection locked="1" hidden="1"/>
    </xf>
    <xf numFmtId="1" fontId="32" fillId="0" borderId="0" applyAlignment="1" applyProtection="1" pivotButton="0" quotePrefix="0" xfId="6">
      <alignment horizontal="center" vertical="center"/>
      <protection locked="0" hidden="0"/>
    </xf>
    <xf numFmtId="1" fontId="2" fillId="0" borderId="0" applyAlignment="1" applyProtection="1" pivotButton="0" quotePrefix="0" xfId="6">
      <alignment horizontal="center" vertical="center"/>
      <protection locked="0" hidden="0"/>
    </xf>
    <xf numFmtId="1" fontId="2" fillId="0" borderId="0" applyAlignment="1" applyProtection="1" pivotButton="0" quotePrefix="0" xfId="6">
      <alignment vertical="center"/>
      <protection locked="0" hidden="0"/>
    </xf>
    <xf numFmtId="0" fontId="20" fillId="3" borderId="7" applyAlignment="1" applyProtection="1" pivotButton="0" quotePrefix="0" xfId="3">
      <alignment horizontal="center"/>
      <protection locked="1" hidden="1"/>
    </xf>
    <xf numFmtId="0" fontId="20" fillId="3" borderId="0" pivotButton="0" quotePrefix="0" xfId="3"/>
    <xf numFmtId="0" fontId="19" fillId="3" borderId="0" pivotButton="0" quotePrefix="0" xfId="3"/>
    <xf numFmtId="0" fontId="20" fillId="3" borderId="7" applyAlignment="1" applyProtection="1" pivotButton="0" quotePrefix="0" xfId="3">
      <alignment horizontal="right"/>
      <protection locked="1" hidden="1"/>
    </xf>
    <xf numFmtId="169" fontId="20" fillId="3" borderId="7" applyAlignment="1" applyProtection="1" pivotButton="0" quotePrefix="0" xfId="3">
      <alignment horizontal="center"/>
      <protection locked="1" hidden="1"/>
    </xf>
    <xf numFmtId="0" fontId="19" fillId="3" borderId="6" pivotButton="0" quotePrefix="0" xfId="3"/>
    <xf numFmtId="0" fontId="19" fillId="3" borderId="0" applyProtection="1" pivotButton="0" quotePrefix="0" xfId="3">
      <protection locked="1" hidden="1"/>
    </xf>
    <xf numFmtId="0" fontId="20" fillId="3" borderId="7" applyAlignment="1" applyProtection="1" pivotButton="0" quotePrefix="0" xfId="3">
      <alignment horizontal="center" vertical="center"/>
      <protection locked="1" hidden="1"/>
    </xf>
    <xf numFmtId="2" fontId="20" fillId="3" borderId="7" applyAlignment="1" applyProtection="1" pivotButton="0" quotePrefix="0" xfId="3">
      <alignment horizontal="center"/>
      <protection locked="1" hidden="1"/>
    </xf>
    <xf numFmtId="168" fontId="20" fillId="3" borderId="7" applyAlignment="1" applyProtection="1" pivotButton="0" quotePrefix="0" xfId="3">
      <alignment horizontal="center"/>
      <protection locked="1" hidden="1"/>
    </xf>
    <xf numFmtId="0" fontId="20" fillId="3" borderId="8" applyProtection="1" pivotButton="0" quotePrefix="0" xfId="3">
      <protection locked="1" hidden="1"/>
    </xf>
    <xf numFmtId="169" fontId="20" fillId="3" borderId="9" applyAlignment="1" applyProtection="1" pivotButton="0" quotePrefix="0" xfId="3">
      <alignment horizontal="center"/>
      <protection locked="1" hidden="1"/>
    </xf>
    <xf numFmtId="0" fontId="20" fillId="3" borderId="9" applyProtection="1" pivotButton="0" quotePrefix="0" xfId="3">
      <protection locked="1" hidden="1"/>
    </xf>
    <xf numFmtId="2" fontId="20" fillId="3" borderId="0" pivotButton="0" quotePrefix="0" xfId="3"/>
    <xf numFmtId="0" fontId="19" fillId="3" borderId="10" applyProtection="1" pivotButton="0" quotePrefix="0" xfId="3">
      <protection locked="1" hidden="1"/>
    </xf>
    <xf numFmtId="0" fontId="2" fillId="0" borderId="7" applyAlignment="1" applyProtection="1" pivotButton="0" quotePrefix="0" xfId="0">
      <alignment vertical="center"/>
      <protection locked="0" hidden="0"/>
    </xf>
    <xf numFmtId="0" fontId="2" fillId="3" borderId="11" applyAlignment="1" pivotButton="0" quotePrefix="0" xfId="3">
      <alignment vertical="center"/>
    </xf>
    <xf numFmtId="168" fontId="2" fillId="3" borderId="7" applyAlignment="1" applyProtection="1" pivotButton="0" quotePrefix="0" xfId="3">
      <alignment horizontal="center" vertical="center"/>
      <protection locked="0" hidden="0"/>
    </xf>
    <xf numFmtId="169" fontId="2" fillId="3" borderId="7" applyAlignment="1" pivotButton="0" quotePrefix="0" xfId="3">
      <alignment horizontal="center" vertical="center"/>
    </xf>
    <xf numFmtId="168" fontId="2" fillId="0" borderId="7" applyAlignment="1" pivotButton="0" quotePrefix="0" xfId="3">
      <alignment horizontal="center" vertical="center"/>
    </xf>
    <xf numFmtId="168" fontId="2" fillId="3" borderId="12" applyAlignment="1" applyProtection="1" pivotButton="0" quotePrefix="0" xfId="3">
      <alignment horizontal="center" vertical="center"/>
      <protection locked="0" hidden="0"/>
    </xf>
    <xf numFmtId="168" fontId="2" fillId="3" borderId="13" applyAlignment="1" applyProtection="1" pivotButton="0" quotePrefix="0" xfId="3">
      <alignment horizontal="center" vertical="center"/>
      <protection locked="0" hidden="0"/>
    </xf>
    <xf numFmtId="168" fontId="2" fillId="0" borderId="14" applyAlignment="1" pivotButton="0" quotePrefix="0" xfId="3">
      <alignment horizontal="center" vertical="center"/>
    </xf>
    <xf numFmtId="169" fontId="33" fillId="3" borderId="15" applyAlignment="1" pivotButton="0" quotePrefix="0" xfId="3">
      <alignment horizontal="center" vertical="center"/>
    </xf>
    <xf numFmtId="168" fontId="12" fillId="3" borderId="16" applyAlignment="1" applyProtection="1" pivotButton="0" quotePrefix="0" xfId="3">
      <alignment horizontal="center" vertical="center"/>
      <protection locked="0" hidden="0"/>
    </xf>
    <xf numFmtId="169" fontId="2" fillId="3" borderId="15" applyAlignment="1" pivotButton="0" quotePrefix="0" xfId="3">
      <alignment horizontal="center" vertical="center"/>
    </xf>
    <xf numFmtId="0" fontId="2" fillId="0" borderId="6" applyAlignment="1" applyProtection="1" pivotButton="0" quotePrefix="0" xfId="0">
      <alignment vertical="center"/>
      <protection locked="0" hidden="0"/>
    </xf>
    <xf numFmtId="169" fontId="2" fillId="3" borderId="14" applyAlignment="1" pivotButton="0" quotePrefix="0" xfId="3">
      <alignment horizontal="center" vertical="center"/>
    </xf>
    <xf numFmtId="0" fontId="2" fillId="0" borderId="14" applyAlignment="1" applyProtection="1" pivotButton="0" quotePrefix="0" xfId="0">
      <alignment vertical="center"/>
      <protection locked="0" hidden="0"/>
    </xf>
    <xf numFmtId="0" fontId="2" fillId="0" borderId="15" applyAlignment="1" applyProtection="1" pivotButton="0" quotePrefix="0" xfId="0">
      <alignment vertical="center"/>
      <protection locked="0" hidden="0"/>
    </xf>
    <xf numFmtId="2" fontId="2" fillId="3" borderId="17" applyAlignment="1" pivotButton="0" quotePrefix="0" xfId="3">
      <alignment horizontal="center" vertical="center"/>
    </xf>
    <xf numFmtId="2" fontId="2" fillId="3" borderId="16" applyAlignment="1" pivotButton="0" quotePrefix="0" xfId="3">
      <alignment horizontal="center" vertical="center"/>
    </xf>
    <xf numFmtId="2" fontId="2" fillId="3" borderId="15" applyAlignment="1" pivotButton="0" quotePrefix="0" xfId="3">
      <alignment horizontal="center" vertical="center"/>
    </xf>
    <xf numFmtId="0" fontId="2" fillId="3" borderId="18" applyAlignment="1" pivotButton="0" quotePrefix="0" xfId="3">
      <alignment vertical="center"/>
    </xf>
    <xf numFmtId="0" fontId="2" fillId="3" borderId="19" applyAlignment="1" pivotButton="0" quotePrefix="0" xfId="3">
      <alignment vertical="center"/>
    </xf>
    <xf numFmtId="0" fontId="2" fillId="3" borderId="16" applyAlignment="1" pivotButton="0" quotePrefix="0" xfId="3">
      <alignment horizontal="center" vertical="center"/>
    </xf>
    <xf numFmtId="0" fontId="2" fillId="0" borderId="20" applyAlignment="1" applyProtection="1" pivotButton="0" quotePrefix="0" xfId="0">
      <alignment horizontal="center" vertical="center"/>
      <protection locked="0" hidden="0"/>
    </xf>
    <xf numFmtId="0" fontId="2" fillId="3" borderId="12" applyAlignment="1" pivotButton="0" quotePrefix="0" xfId="3">
      <alignment horizontal="center" vertical="center"/>
    </xf>
    <xf numFmtId="0" fontId="17" fillId="0" borderId="21" applyAlignment="1" applyProtection="1" pivotButton="0" quotePrefix="0" xfId="3">
      <alignment horizontal="center" vertical="center"/>
      <protection locked="1" hidden="1"/>
    </xf>
    <xf numFmtId="0" fontId="17" fillId="0" borderId="22" applyAlignment="1" applyProtection="1" pivotButton="0" quotePrefix="0" xfId="3">
      <alignment horizontal="center" vertical="center"/>
      <protection locked="1" hidden="1"/>
    </xf>
    <xf numFmtId="168" fontId="2" fillId="3" borderId="17" applyAlignment="1" pivotButton="0" quotePrefix="0" xfId="3">
      <alignment horizontal="center" vertical="center"/>
    </xf>
    <xf numFmtId="168" fontId="2" fillId="3" borderId="16" applyAlignment="1" pivotButton="0" quotePrefix="0" xfId="3">
      <alignment horizontal="center" vertical="center"/>
    </xf>
    <xf numFmtId="170" fontId="8" fillId="0" borderId="0" applyAlignment="1" applyProtection="1" pivotButton="0" quotePrefix="0" xfId="0">
      <alignment vertical="center"/>
      <protection locked="0" hidden="0"/>
    </xf>
    <xf numFmtId="0" fontId="2" fillId="0" borderId="3" applyAlignment="1" pivotButton="0" quotePrefix="0" xfId="5">
      <alignment vertical="center"/>
    </xf>
    <xf numFmtId="171" fontId="2" fillId="0" borderId="5" applyAlignment="1" applyProtection="1" pivotButton="0" quotePrefix="0" xfId="0">
      <alignment vertical="center"/>
      <protection locked="0" hidden="0"/>
    </xf>
    <xf numFmtId="0" fontId="21" fillId="0" borderId="0" applyAlignment="1" pivotButton="0" quotePrefix="0" xfId="0">
      <alignment vertical="center"/>
    </xf>
    <xf numFmtId="0" fontId="19" fillId="0" borderId="0" applyAlignment="1" pivotButton="0" quotePrefix="0" xfId="0">
      <alignment vertical="center"/>
    </xf>
    <xf numFmtId="0" fontId="20" fillId="0" borderId="0" applyAlignment="1" pivotButton="0" quotePrefix="0" xfId="0">
      <alignment vertical="center"/>
    </xf>
    <xf numFmtId="0" fontId="12" fillId="0" borderId="0" applyAlignment="1" applyProtection="1" pivotButton="0" quotePrefix="0" xfId="3">
      <alignment vertical="center"/>
      <protection locked="0" hidden="0"/>
    </xf>
    <xf numFmtId="0" fontId="17" fillId="0" borderId="0" applyAlignment="1" applyProtection="1" pivotButton="0" quotePrefix="0" xfId="0">
      <alignment vertical="center"/>
      <protection locked="0" hidden="0"/>
    </xf>
    <xf numFmtId="0" fontId="19" fillId="0" borderId="0" applyAlignment="1" applyProtection="1" pivotButton="0" quotePrefix="0" xfId="0">
      <alignment horizontal="center" vertical="center"/>
      <protection locked="0" hidden="0"/>
    </xf>
    <xf numFmtId="0" fontId="2" fillId="0" borderId="0" applyAlignment="1" applyProtection="1" pivotButton="0" quotePrefix="0" xfId="0">
      <alignment horizontal="left" vertical="center"/>
      <protection locked="0" hidden="0"/>
    </xf>
    <xf numFmtId="0" fontId="9" fillId="0" borderId="0" applyAlignment="1" applyProtection="1" pivotButton="0" quotePrefix="0" xfId="0">
      <alignment vertical="center"/>
      <protection locked="0" hidden="0"/>
    </xf>
    <xf numFmtId="0" fontId="9" fillId="0" borderId="0" applyAlignment="1" applyProtection="1" pivotButton="0" quotePrefix="0" xfId="0">
      <alignment horizontal="left" vertical="center"/>
      <protection locked="0" hidden="0"/>
    </xf>
    <xf numFmtId="164" fontId="9" fillId="0" borderId="0" applyAlignment="1" applyProtection="1" pivotButton="0" quotePrefix="0" xfId="0">
      <alignment vertical="center"/>
      <protection locked="0" hidden="0"/>
    </xf>
    <xf numFmtId="17" fontId="9" fillId="0" borderId="0" applyAlignment="1" applyProtection="1" pivotButton="0" quotePrefix="0" xfId="0">
      <alignment horizontal="left" vertical="center"/>
      <protection locked="0" hidden="0"/>
    </xf>
    <xf numFmtId="0" fontId="20" fillId="0" borderId="0" applyAlignment="1" applyProtection="1" pivotButton="0" quotePrefix="0" xfId="0">
      <alignment vertical="center"/>
      <protection locked="0" hidden="0"/>
    </xf>
    <xf numFmtId="0" fontId="20" fillId="0" borderId="23" applyAlignment="1" pivotButton="0" quotePrefix="0" xfId="0">
      <alignment vertical="center"/>
    </xf>
    <xf numFmtId="0" fontId="20" fillId="0" borderId="10" applyAlignment="1" pivotButton="0" quotePrefix="0" xfId="0">
      <alignment vertical="center"/>
    </xf>
    <xf numFmtId="0" fontId="19" fillId="0" borderId="10" applyAlignment="1" pivotButton="0" quotePrefix="0" xfId="0">
      <alignment vertical="center"/>
    </xf>
    <xf numFmtId="0" fontId="20" fillId="0" borderId="10" applyAlignment="1" applyProtection="1" pivotButton="0" quotePrefix="0" xfId="0">
      <alignment vertical="center"/>
      <protection locked="0" hidden="0"/>
    </xf>
    <xf numFmtId="0" fontId="20" fillId="0" borderId="21" applyAlignment="1" applyProtection="1" pivotButton="0" quotePrefix="0" xfId="0">
      <alignment vertical="center"/>
      <protection locked="0" hidden="0"/>
    </xf>
    <xf numFmtId="0" fontId="20" fillId="0" borderId="1" applyAlignment="1" pivotButton="0" quotePrefix="0" xfId="0">
      <alignment vertical="center"/>
    </xf>
    <xf numFmtId="0" fontId="20" fillId="0" borderId="1" applyAlignment="1" pivotButton="0" quotePrefix="0" xfId="0">
      <alignment horizontal="right" vertical="center"/>
    </xf>
    <xf numFmtId="0" fontId="19" fillId="0" borderId="1" applyAlignment="1" pivotButton="0" quotePrefix="0" xfId="0">
      <alignment horizontal="center" vertical="center"/>
    </xf>
    <xf numFmtId="0" fontId="20" fillId="0" borderId="1" applyAlignment="1" applyProtection="1" pivotButton="0" quotePrefix="0" xfId="0">
      <alignment vertical="center"/>
      <protection locked="0" hidden="0"/>
    </xf>
    <xf numFmtId="169" fontId="20" fillId="0" borderId="1" applyAlignment="1" applyProtection="1" pivotButton="0" quotePrefix="0" xfId="0">
      <alignment vertical="center"/>
      <protection locked="0" hidden="0"/>
    </xf>
    <xf numFmtId="172" fontId="20" fillId="0" borderId="0" applyAlignment="1" applyProtection="1" pivotButton="0" quotePrefix="0" xfId="0">
      <alignment vertical="center"/>
      <protection locked="0" hidden="0"/>
    </xf>
    <xf numFmtId="0" fontId="2" fillId="0" borderId="8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 vertical="center"/>
    </xf>
    <xf numFmtId="0" fontId="20" fillId="3" borderId="0" applyAlignment="1" pivotButton="0" quotePrefix="0" xfId="3">
      <alignment horizontal="left" vertical="center"/>
    </xf>
    <xf numFmtId="0" fontId="20" fillId="0" borderId="0" applyAlignment="1" applyProtection="1" pivotButton="0" quotePrefix="1" xfId="0">
      <alignment vertical="center"/>
      <protection locked="0" hidden="0"/>
    </xf>
    <xf numFmtId="0" fontId="20" fillId="0" borderId="0" applyAlignment="1" applyProtection="1" pivotButton="0" quotePrefix="0" xfId="0">
      <alignment horizontal="center" vertical="center"/>
      <protection locked="0" hidden="0"/>
    </xf>
    <xf numFmtId="1" fontId="20" fillId="0" borderId="0" applyAlignment="1" applyProtection="1" pivotButton="0" quotePrefix="0" xfId="0">
      <alignment vertical="center"/>
      <protection locked="0" hidden="0"/>
    </xf>
    <xf numFmtId="0" fontId="20" fillId="0" borderId="0" applyAlignment="1" applyProtection="1" pivotButton="0" quotePrefix="0" xfId="0">
      <alignment horizontal="right" vertical="center"/>
      <protection locked="0" hidden="0"/>
    </xf>
    <xf numFmtId="0" fontId="21" fillId="3" borderId="0" applyAlignment="1" pivotButton="0" quotePrefix="0" xfId="0">
      <alignment vertical="center"/>
    </xf>
    <xf numFmtId="0" fontId="20" fillId="3" borderId="0" applyAlignment="1" pivotButton="0" quotePrefix="0" xfId="0">
      <alignment vertical="center"/>
    </xf>
    <xf numFmtId="0" fontId="19" fillId="3" borderId="0" applyAlignment="1" pivotButton="0" quotePrefix="0" xfId="0">
      <alignment vertical="center"/>
    </xf>
    <xf numFmtId="0" fontId="12" fillId="3" borderId="0" applyAlignment="1" pivotButton="0" quotePrefix="0" xfId="3">
      <alignment vertical="center"/>
    </xf>
    <xf numFmtId="0" fontId="17" fillId="3" borderId="0" applyAlignment="1" pivotButton="0" quotePrefix="0" xfId="0">
      <alignment vertical="center"/>
    </xf>
    <xf numFmtId="0" fontId="19" fillId="3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9" fillId="3" borderId="0" applyAlignment="1" pivotButton="0" quotePrefix="0" xfId="0">
      <alignment vertical="center"/>
    </xf>
    <xf numFmtId="0" fontId="9" fillId="3" borderId="0" applyAlignment="1" pivotButton="0" quotePrefix="0" xfId="0">
      <alignment horizontal="left" vertical="center"/>
    </xf>
    <xf numFmtId="164" fontId="9" fillId="3" borderId="0" applyAlignment="1" pivotButton="0" quotePrefix="0" xfId="0">
      <alignment vertical="center"/>
    </xf>
    <xf numFmtId="0" fontId="20" fillId="3" borderId="24" applyAlignment="1" pivotButton="0" quotePrefix="0" xfId="0">
      <alignment vertical="center"/>
    </xf>
    <xf numFmtId="0" fontId="20" fillId="3" borderId="3" applyAlignment="1" pivotButton="0" quotePrefix="0" xfId="0">
      <alignment vertical="center"/>
    </xf>
    <xf numFmtId="0" fontId="20" fillId="3" borderId="1" applyAlignment="1" pivotButton="0" quotePrefix="0" xfId="0">
      <alignment horizontal="right" vertical="center"/>
    </xf>
    <xf numFmtId="0" fontId="20" fillId="3" borderId="1" applyAlignment="1" pivotButton="0" quotePrefix="0" xfId="0">
      <alignment vertical="center"/>
    </xf>
    <xf numFmtId="0" fontId="20" fillId="3" borderId="1" applyAlignment="1" pivotButton="0" quotePrefix="0" xfId="0">
      <alignment horizontal="left" vertical="center"/>
    </xf>
    <xf numFmtId="168" fontId="20" fillId="3" borderId="1" applyAlignment="1" pivotButton="0" quotePrefix="0" xfId="0">
      <alignment horizontal="left" vertical="center"/>
    </xf>
    <xf numFmtId="169" fontId="20" fillId="3" borderId="1" applyAlignment="1" pivotButton="0" quotePrefix="0" xfId="0">
      <alignment vertical="center"/>
    </xf>
    <xf numFmtId="0" fontId="20" fillId="3" borderId="2" applyAlignment="1" pivotButton="0" quotePrefix="0" xfId="0">
      <alignment vertical="center"/>
    </xf>
    <xf numFmtId="0" fontId="12" fillId="3" borderId="4" applyAlignment="1" pivotButton="0" quotePrefix="0" xfId="0">
      <alignment vertical="center"/>
    </xf>
    <xf numFmtId="0" fontId="2" fillId="3" borderId="0" applyAlignment="1" pivotButton="0" quotePrefix="0" xfId="0">
      <alignment horizontal="center" vertical="center"/>
    </xf>
    <xf numFmtId="0" fontId="12" fillId="3" borderId="0" applyAlignment="1" pivotButton="0" quotePrefix="0" xfId="0">
      <alignment horizontal="left" vertical="center"/>
    </xf>
    <xf numFmtId="0" fontId="20" fillId="3" borderId="5" applyAlignment="1" pivotButton="0" quotePrefix="0" xfId="0">
      <alignment vertical="center"/>
    </xf>
    <xf numFmtId="0" fontId="2" fillId="3" borderId="24" applyAlignment="1" pivotButton="0" quotePrefix="0" xfId="0">
      <alignment vertical="center"/>
    </xf>
    <xf numFmtId="0" fontId="2" fillId="3" borderId="4" applyAlignment="1" pivotButton="0" quotePrefix="0" xfId="0">
      <alignment horizontal="left" vertical="center"/>
    </xf>
    <xf numFmtId="0" fontId="2" fillId="3" borderId="5" applyAlignment="1" pivotButton="0" quotePrefix="0" xfId="0">
      <alignment vertical="center"/>
    </xf>
    <xf numFmtId="2" fontId="2" fillId="3" borderId="0" applyAlignment="1" pivotButton="0" quotePrefix="0" xfId="0">
      <alignment horizontal="center" vertical="center"/>
    </xf>
    <xf numFmtId="0" fontId="2" fillId="3" borderId="0" applyAlignment="1" pivotButton="0" quotePrefix="1" xfId="0">
      <alignment horizontal="center" vertical="center"/>
    </xf>
    <xf numFmtId="168" fontId="2" fillId="3" borderId="0" applyAlignment="1" pivotButton="0" quotePrefix="0" xfId="0">
      <alignment horizontal="center" vertical="center"/>
    </xf>
    <xf numFmtId="169" fontId="2" fillId="3" borderId="0" applyAlignment="1" pivotButton="0" quotePrefix="0" xfId="0">
      <alignment horizontal="center" vertical="center"/>
    </xf>
    <xf numFmtId="169" fontId="2" fillId="3" borderId="0" applyAlignment="1" pivotButton="0" quotePrefix="1" xfId="0">
      <alignment horizontal="center" vertical="center"/>
    </xf>
    <xf numFmtId="0" fontId="2" fillId="3" borderId="4" applyAlignment="1" pivotButton="0" quotePrefix="0" xfId="0">
      <alignment vertical="center"/>
    </xf>
    <xf numFmtId="0" fontId="2" fillId="3" borderId="6" applyAlignment="1" pivotButton="0" quotePrefix="0" xfId="0">
      <alignment vertical="center"/>
    </xf>
    <xf numFmtId="0" fontId="12" fillId="3" borderId="4" applyAlignment="1" pivotButton="0" quotePrefix="0" xfId="0">
      <alignment horizontal="center" vertical="center"/>
    </xf>
    <xf numFmtId="0" fontId="16" fillId="3" borderId="4" applyAlignment="1" pivotButton="0" quotePrefix="0" xfId="0">
      <alignment horizontal="center" vertical="center"/>
    </xf>
    <xf numFmtId="0" fontId="16" fillId="3" borderId="0" applyAlignment="1" pivotButton="0" quotePrefix="0" xfId="0">
      <alignment horizontal="center" vertical="center"/>
    </xf>
    <xf numFmtId="2" fontId="16" fillId="3" borderId="0" applyAlignment="1" pivotButton="0" quotePrefix="0" xfId="0">
      <alignment horizontal="center" vertical="center"/>
    </xf>
    <xf numFmtId="169" fontId="2" fillId="3" borderId="4" applyAlignment="1" pivotButton="0" quotePrefix="0" xfId="0">
      <alignment horizontal="center" vertical="center"/>
    </xf>
    <xf numFmtId="1" fontId="2" fillId="3" borderId="0" applyAlignment="1" pivotButton="0" quotePrefix="0" xfId="0">
      <alignment horizontal="center" vertical="center"/>
    </xf>
    <xf numFmtId="0" fontId="20" fillId="3" borderId="0" applyAlignment="1" pivotButton="0" quotePrefix="0" xfId="0">
      <alignment horizontal="center" vertical="center"/>
    </xf>
    <xf numFmtId="169" fontId="20" fillId="0" borderId="14" applyAlignment="1" pivotButton="0" quotePrefix="0" xfId="0">
      <alignment horizontal="center" vertical="center"/>
    </xf>
    <xf numFmtId="168" fontId="20" fillId="0" borderId="7" applyAlignment="1" applyProtection="1" pivotButton="0" quotePrefix="0" xfId="0">
      <alignment horizontal="center" vertical="center"/>
      <protection locked="0" hidden="0"/>
    </xf>
    <xf numFmtId="169" fontId="19" fillId="3" borderId="4" applyAlignment="1" pivotButton="0" quotePrefix="0" xfId="0">
      <alignment vertical="center"/>
    </xf>
    <xf numFmtId="169" fontId="19" fillId="3" borderId="0" applyAlignment="1" pivotButton="0" quotePrefix="0" xfId="0">
      <alignment vertical="center"/>
    </xf>
    <xf numFmtId="169" fontId="19" fillId="3" borderId="0" applyAlignment="1" pivotButton="0" quotePrefix="0" xfId="0">
      <alignment horizontal="center" vertical="center"/>
    </xf>
    <xf numFmtId="0" fontId="16" fillId="3" borderId="0" applyAlignment="1" pivotButton="0" quotePrefix="0" xfId="0">
      <alignment vertical="center"/>
    </xf>
    <xf numFmtId="1" fontId="20" fillId="3" borderId="0" applyAlignment="1" pivotButton="0" quotePrefix="0" xfId="0">
      <alignment horizontal="center" vertical="center"/>
    </xf>
    <xf numFmtId="0" fontId="20" fillId="3" borderId="25" applyAlignment="1" pivotButton="0" quotePrefix="0" xfId="0">
      <alignment vertical="center"/>
    </xf>
    <xf numFmtId="0" fontId="20" fillId="3" borderId="26" applyAlignment="1" pivotButton="0" quotePrefix="0" xfId="0">
      <alignment vertical="center"/>
    </xf>
    <xf numFmtId="0" fontId="20" fillId="3" borderId="26" applyAlignment="1" pivotButton="0" quotePrefix="0" xfId="0">
      <alignment horizontal="right" vertical="center"/>
    </xf>
    <xf numFmtId="168" fontId="20" fillId="3" borderId="26" applyAlignment="1" pivotButton="0" quotePrefix="0" xfId="0">
      <alignment horizontal="center" vertical="center"/>
    </xf>
    <xf numFmtId="169" fontId="20" fillId="3" borderId="27" applyAlignment="1" pivotButton="0" quotePrefix="0" xfId="0">
      <alignment horizontal="left" vertical="center"/>
    </xf>
    <xf numFmtId="0" fontId="22" fillId="3" borderId="28" applyAlignment="1" pivotButton="0" quotePrefix="0" xfId="0">
      <alignment vertical="center"/>
    </xf>
    <xf numFmtId="0" fontId="20" fillId="3" borderId="29" applyAlignment="1" pivotButton="0" quotePrefix="0" xfId="0">
      <alignment vertical="center"/>
    </xf>
    <xf numFmtId="0" fontId="20" fillId="3" borderId="29" applyAlignment="1" pivotButton="0" quotePrefix="0" xfId="0">
      <alignment horizontal="right" vertical="center"/>
    </xf>
    <xf numFmtId="168" fontId="20" fillId="3" borderId="29" applyAlignment="1" pivotButton="0" quotePrefix="0" xfId="0">
      <alignment horizontal="center" vertical="center"/>
    </xf>
    <xf numFmtId="0" fontId="20" fillId="3" borderId="30" applyAlignment="1" pivotButton="0" quotePrefix="0" xfId="0">
      <alignment vertical="center"/>
    </xf>
    <xf numFmtId="0" fontId="20" fillId="3" borderId="25" applyAlignment="1" pivotButton="0" quotePrefix="0" xfId="0">
      <alignment horizontal="right" vertical="center"/>
    </xf>
    <xf numFmtId="0" fontId="20" fillId="3" borderId="27" applyAlignment="1" pivotButton="0" quotePrefix="0" xfId="0">
      <alignment vertical="center"/>
    </xf>
    <xf numFmtId="0" fontId="20" fillId="3" borderId="31" applyAlignment="1" pivotButton="0" quotePrefix="0" xfId="0">
      <alignment horizontal="right" vertical="center"/>
    </xf>
    <xf numFmtId="0" fontId="20" fillId="3" borderId="0" applyAlignment="1" pivotButton="0" quotePrefix="0" xfId="0">
      <alignment horizontal="right" vertical="center"/>
    </xf>
    <xf numFmtId="0" fontId="20" fillId="3" borderId="32" applyAlignment="1" pivotButton="0" quotePrefix="0" xfId="0">
      <alignment vertical="center"/>
    </xf>
    <xf numFmtId="0" fontId="34" fillId="3" borderId="0" applyAlignment="1" pivotButton="0" quotePrefix="0" xfId="0">
      <alignment vertical="center"/>
    </xf>
    <xf numFmtId="0" fontId="20" fillId="3" borderId="28" applyAlignment="1" pivotButton="0" quotePrefix="0" xfId="0">
      <alignment horizontal="right" vertical="center"/>
    </xf>
    <xf numFmtId="0" fontId="20" fillId="3" borderId="4" applyAlignment="1" pivotButton="0" quotePrefix="0" xfId="0">
      <alignment vertical="center"/>
    </xf>
    <xf numFmtId="0" fontId="34" fillId="3" borderId="0" applyAlignment="1" pivotButton="0" quotePrefix="0" xfId="0">
      <alignment horizontal="right" vertical="center"/>
    </xf>
    <xf numFmtId="168" fontId="34" fillId="3" borderId="0" applyAlignment="1" pivotButton="0" quotePrefix="0" xfId="0">
      <alignment vertical="center"/>
    </xf>
    <xf numFmtId="173" fontId="35" fillId="3" borderId="0" applyAlignment="1" pivotButton="0" quotePrefix="0" xfId="0">
      <alignment vertical="center"/>
    </xf>
    <xf numFmtId="0" fontId="2" fillId="2" borderId="33" applyAlignment="1" pivotButton="0" quotePrefix="0" xfId="3">
      <alignment horizontal="left" vertical="center"/>
    </xf>
    <xf numFmtId="0" fontId="2" fillId="2" borderId="34" applyAlignment="1" pivotButton="0" quotePrefix="0" xfId="3">
      <alignment horizontal="center" vertical="center"/>
    </xf>
    <xf numFmtId="0" fontId="2" fillId="2" borderId="20" applyAlignment="1" pivotButton="0" quotePrefix="0" xfId="3">
      <alignment horizontal="left" vertical="center"/>
    </xf>
    <xf numFmtId="0" fontId="2" fillId="2" borderId="20" applyAlignment="1" pivotButton="0" quotePrefix="0" xfId="3">
      <alignment horizontal="center" vertical="center"/>
    </xf>
    <xf numFmtId="168" fontId="2" fillId="2" borderId="13" applyAlignment="1" pivotButton="0" quotePrefix="0" xfId="3">
      <alignment horizontal="center" vertical="center"/>
    </xf>
    <xf numFmtId="0" fontId="2" fillId="2" borderId="15" applyAlignment="1" pivotButton="0" quotePrefix="0" xfId="3">
      <alignment horizontal="center" vertical="center"/>
    </xf>
    <xf numFmtId="0" fontId="15" fillId="3" borderId="0" pivotButton="0" quotePrefix="0" xfId="0"/>
    <xf numFmtId="1" fontId="13" fillId="3" borderId="0" applyAlignment="1" pivotButton="0" quotePrefix="0" xfId="0">
      <alignment horizontal="center" vertical="center"/>
    </xf>
    <xf numFmtId="0" fontId="15" fillId="3" borderId="0" applyProtection="1" pivotButton="0" quotePrefix="0" xfId="0">
      <protection locked="0" hidden="0"/>
    </xf>
    <xf numFmtId="0" fontId="20" fillId="3" borderId="0" applyAlignment="1" pivotButton="0" quotePrefix="1" xfId="0">
      <alignment vertical="center"/>
    </xf>
    <xf numFmtId="0" fontId="15" fillId="3" borderId="0" applyAlignment="1" pivotButton="0" quotePrefix="0" xfId="0">
      <alignment vertical="top" wrapText="1"/>
    </xf>
    <xf numFmtId="174" fontId="2" fillId="0" borderId="5" applyAlignment="1" applyProtection="1" pivotButton="0" quotePrefix="0" xfId="3">
      <alignment horizontal="left" vertical="center"/>
      <protection locked="0" hidden="0"/>
    </xf>
    <xf numFmtId="165" fontId="2" fillId="0" borderId="5" applyAlignment="1" applyProtection="1" pivotButton="0" quotePrefix="0" xfId="3">
      <alignment horizontal="left" vertical="center"/>
      <protection locked="0" hidden="0"/>
    </xf>
    <xf numFmtId="169" fontId="20" fillId="3" borderId="4" applyAlignment="1" pivotButton="0" quotePrefix="0" xfId="0">
      <alignment horizontal="center" vertical="center"/>
    </xf>
    <xf numFmtId="1" fontId="2" fillId="3" borderId="26" applyAlignment="1" applyProtection="1" pivotButton="0" quotePrefix="0" xfId="5">
      <alignment vertical="center"/>
      <protection locked="1" hidden="1"/>
    </xf>
    <xf numFmtId="1" fontId="2" fillId="3" borderId="0" applyAlignment="1" applyProtection="1" pivotButton="0" quotePrefix="0" xfId="5">
      <alignment vertical="center"/>
      <protection locked="1" hidden="1"/>
    </xf>
    <xf numFmtId="1" fontId="2" fillId="3" borderId="29" applyAlignment="1" applyProtection="1" pivotButton="0" quotePrefix="0" xfId="5">
      <alignment vertical="center"/>
      <protection locked="1" hidden="1"/>
    </xf>
    <xf numFmtId="14" fontId="20" fillId="2" borderId="14" applyAlignment="1" applyProtection="1" pivotButton="0" quotePrefix="0" xfId="3">
      <alignment horizontal="center" vertical="center"/>
      <protection locked="0" hidden="0"/>
    </xf>
    <xf numFmtId="20" fontId="20" fillId="2" borderId="7" applyAlignment="1" applyProtection="1" pivotButton="0" quotePrefix="0" xfId="3">
      <alignment horizontal="center" vertical="center"/>
      <protection locked="0" hidden="0"/>
    </xf>
    <xf numFmtId="2" fontId="20" fillId="2" borderId="7" applyAlignment="1" applyProtection="1" pivotButton="0" quotePrefix="0" xfId="3">
      <alignment horizontal="center" vertical="center"/>
      <protection locked="1" hidden="1"/>
    </xf>
    <xf numFmtId="168" fontId="20" fillId="2" borderId="7" applyAlignment="1" pivotButton="0" quotePrefix="0" xfId="3">
      <alignment horizontal="center" vertical="center"/>
    </xf>
    <xf numFmtId="168" fontId="20" fillId="2" borderId="13" applyAlignment="1" pivotButton="0" quotePrefix="0" xfId="3">
      <alignment horizontal="center" vertical="center"/>
    </xf>
    <xf numFmtId="14" fontId="20" fillId="2" borderId="15" applyAlignment="1" applyProtection="1" pivotButton="0" quotePrefix="0" xfId="3">
      <alignment horizontal="center" vertical="center"/>
      <protection locked="0" hidden="0"/>
    </xf>
    <xf numFmtId="20" fontId="20" fillId="2" borderId="17" applyAlignment="1" applyProtection="1" pivotButton="0" quotePrefix="0" xfId="3">
      <alignment horizontal="center" vertical="center"/>
      <protection locked="0" hidden="0"/>
    </xf>
    <xf numFmtId="0" fontId="20" fillId="2" borderId="17" applyAlignment="1" applyProtection="1" pivotButton="0" quotePrefix="0" xfId="3">
      <alignment horizontal="center" vertical="center"/>
      <protection locked="1" hidden="1"/>
    </xf>
    <xf numFmtId="2" fontId="20" fillId="2" borderId="17" applyAlignment="1" applyProtection="1" pivotButton="0" quotePrefix="0" xfId="3">
      <alignment horizontal="center" vertical="center"/>
      <protection locked="1" hidden="1"/>
    </xf>
    <xf numFmtId="168" fontId="20" fillId="2" borderId="17" applyAlignment="1" pivotButton="0" quotePrefix="0" xfId="3">
      <alignment horizontal="center" vertical="center"/>
    </xf>
    <xf numFmtId="168" fontId="20" fillId="2" borderId="16" applyAlignment="1" pivotButton="0" quotePrefix="0" xfId="3">
      <alignment horizontal="center" vertical="center"/>
    </xf>
    <xf numFmtId="0" fontId="19" fillId="0" borderId="35" applyAlignment="1" applyProtection="1" pivotButton="0" quotePrefix="0" xfId="3">
      <alignment horizontal="center" vertical="center"/>
      <protection locked="1" hidden="1"/>
    </xf>
    <xf numFmtId="0" fontId="20" fillId="0" borderId="7" applyAlignment="1" pivotButton="0" quotePrefix="0" xfId="0">
      <alignment horizontal="center"/>
    </xf>
    <xf numFmtId="0" fontId="2" fillId="0" borderId="1" applyAlignment="1" pivotButton="0" quotePrefix="0" xfId="5">
      <alignment horizontal="right" vertical="center"/>
    </xf>
    <xf numFmtId="0" fontId="12" fillId="0" borderId="1" applyAlignment="1" pivotButton="0" quotePrefix="0" xfId="0">
      <alignment horizontal="center" vertical="center"/>
    </xf>
    <xf numFmtId="0" fontId="2" fillId="0" borderId="36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vertical="center"/>
      <protection locked="0" hidden="0"/>
    </xf>
    <xf numFmtId="0" fontId="2" fillId="0" borderId="4" applyAlignment="1" applyProtection="1" pivotButton="0" quotePrefix="0" xfId="0">
      <alignment vertical="center"/>
      <protection locked="0" hidden="0"/>
    </xf>
    <xf numFmtId="0" fontId="8" fillId="0" borderId="4" applyAlignment="1" applyProtection="1" pivotButton="0" quotePrefix="0" xfId="0">
      <alignment vertical="center"/>
      <protection locked="0" hidden="0"/>
    </xf>
    <xf numFmtId="0" fontId="8" fillId="0" borderId="37" applyAlignment="1" applyProtection="1" pivotButton="0" quotePrefix="0" xfId="0">
      <alignment vertical="center"/>
      <protection locked="0" hidden="0"/>
    </xf>
    <xf numFmtId="0" fontId="2" fillId="0" borderId="37" applyAlignment="1" pivotButton="0" quotePrefix="0" xfId="0">
      <alignment vertical="center"/>
    </xf>
    <xf numFmtId="0" fontId="2" fillId="3" borderId="7" applyAlignment="1" pivotButton="0" quotePrefix="0" xfId="3">
      <alignment vertical="center"/>
    </xf>
    <xf numFmtId="0" fontId="2" fillId="0" borderId="7" applyAlignment="1" pivotButton="0" quotePrefix="0" xfId="3">
      <alignment horizontal="center" vertical="center"/>
    </xf>
    <xf numFmtId="0" fontId="20" fillId="3" borderId="8" applyAlignment="1" applyProtection="1" pivotButton="0" quotePrefix="0" xfId="3">
      <alignment horizontal="center" vertical="center"/>
      <protection locked="1" hidden="1"/>
    </xf>
    <xf numFmtId="0" fontId="2" fillId="3" borderId="13" applyAlignment="1" pivotButton="0" quotePrefix="0" xfId="3">
      <alignment horizontal="center" vertical="center"/>
    </xf>
    <xf numFmtId="0" fontId="2" fillId="0" borderId="7" applyAlignment="1" applyProtection="1" pivotButton="0" quotePrefix="0" xfId="0">
      <alignment horizontal="center" vertical="center"/>
      <protection locked="0" hidden="0"/>
    </xf>
    <xf numFmtId="0" fontId="2" fillId="0" borderId="8" applyAlignment="1" applyProtection="1" pivotButton="0" quotePrefix="0" xfId="0">
      <alignment horizontal="center" vertical="center"/>
      <protection locked="0" hidden="0"/>
    </xf>
    <xf numFmtId="0" fontId="2" fillId="3" borderId="18" applyAlignment="1" pivotButton="0" quotePrefix="0" xfId="3">
      <alignment horizontal="left" vertical="center"/>
    </xf>
    <xf numFmtId="0" fontId="2" fillId="3" borderId="9" applyAlignment="1" pivotButton="0" quotePrefix="0" xfId="3">
      <alignment horizontal="left" vertical="center"/>
    </xf>
    <xf numFmtId="0" fontId="2" fillId="0" borderId="8" applyAlignment="1" applyProtection="1" pivotButton="0" quotePrefix="0" xfId="0">
      <alignment horizontal="center" vertical="center" wrapText="1"/>
      <protection locked="0" hidden="0"/>
    </xf>
    <xf numFmtId="0" fontId="2" fillId="0" borderId="9" applyAlignment="1" applyProtection="1" pivotButton="0" quotePrefix="0" xfId="0">
      <alignment horizontal="center" vertical="center" wrapText="1"/>
      <protection locked="0" hidden="0"/>
    </xf>
    <xf numFmtId="169" fontId="2" fillId="3" borderId="4" applyAlignment="1" pivotButton="0" quotePrefix="0" xfId="0">
      <alignment horizontal="left" vertical="center"/>
    </xf>
    <xf numFmtId="169" fontId="2" fillId="3" borderId="0" applyAlignment="1" pivotButton="0" quotePrefix="0" xfId="0">
      <alignment horizontal="left" vertical="center"/>
    </xf>
    <xf numFmtId="175" fontId="2" fillId="3" borderId="0" applyAlignment="1" pivotButton="0" quotePrefix="0" xfId="0">
      <alignment vertical="center"/>
    </xf>
    <xf numFmtId="14" fontId="2" fillId="3" borderId="0" applyAlignment="1" pivotButton="0" quotePrefix="0" xfId="0">
      <alignment vertical="center"/>
    </xf>
    <xf numFmtId="0" fontId="2" fillId="0" borderId="38" applyAlignment="1" applyProtection="1" pivotButton="0" quotePrefix="0" xfId="0">
      <alignment vertical="center"/>
      <protection locked="0" hidden="0"/>
    </xf>
    <xf numFmtId="0" fontId="30" fillId="3" borderId="0" applyAlignment="1" pivotButton="0" quotePrefix="1" xfId="4">
      <alignment vertical="center" wrapText="1"/>
    </xf>
    <xf numFmtId="11" fontId="36" fillId="3" borderId="0" applyAlignment="1" applyProtection="1" pivotButton="0" quotePrefix="0" xfId="0">
      <alignment horizontal="center" vertical="center"/>
      <protection locked="1" hidden="1"/>
    </xf>
    <xf numFmtId="14" fontId="17" fillId="3" borderId="0" applyAlignment="1" applyProtection="1" pivotButton="0" quotePrefix="0" xfId="0">
      <alignment vertical="center"/>
      <protection locked="1" hidden="1"/>
    </xf>
    <xf numFmtId="0" fontId="20" fillId="0" borderId="8" applyAlignment="1" applyProtection="1" pivotButton="0" quotePrefix="0" xfId="0">
      <alignment vertical="center"/>
      <protection locked="0" hidden="0"/>
    </xf>
    <xf numFmtId="0" fontId="20" fillId="0" borderId="11" applyAlignment="1" applyProtection="1" pivotButton="0" quotePrefix="0" xfId="0">
      <alignment vertical="center"/>
      <protection locked="0" hidden="0"/>
    </xf>
    <xf numFmtId="0" fontId="20" fillId="0" borderId="9" applyAlignment="1" applyProtection="1" pivotButton="0" quotePrefix="0" xfId="0">
      <alignment vertical="center"/>
      <protection locked="0" hidden="0"/>
    </xf>
    <xf numFmtId="0" fontId="20" fillId="0" borderId="7" applyAlignment="1" applyProtection="1" pivotButton="0" quotePrefix="0" xfId="0">
      <alignment horizontal="center" vertical="center"/>
      <protection locked="0" hidden="0"/>
    </xf>
    <xf numFmtId="0" fontId="12" fillId="0" borderId="9" applyAlignment="1" applyProtection="1" pivotButton="0" quotePrefix="0" xfId="0">
      <alignment horizontal="left" vertical="center"/>
      <protection locked="0" hidden="0"/>
    </xf>
    <xf numFmtId="0" fontId="2" fillId="0" borderId="7" applyAlignment="1" applyProtection="1" pivotButton="0" quotePrefix="0" xfId="0">
      <alignment horizontal="center" vertical="center" wrapText="1"/>
      <protection locked="0" hidden="0"/>
    </xf>
    <xf numFmtId="0" fontId="2" fillId="0" borderId="11" applyAlignment="1" applyProtection="1" pivotButton="0" quotePrefix="0" xfId="0">
      <alignment vertical="center"/>
      <protection locked="0" hidden="0"/>
    </xf>
    <xf numFmtId="176" fontId="20" fillId="0" borderId="0" applyAlignment="1" applyProtection="1" pivotButton="0" quotePrefix="0" xfId="0">
      <alignment vertical="center"/>
      <protection locked="0" hidden="0"/>
    </xf>
    <xf numFmtId="0" fontId="30" fillId="0" borderId="7" applyAlignment="1" applyProtection="1" pivotButton="0" quotePrefix="0" xfId="0">
      <alignment horizontal="center" vertical="center"/>
      <protection locked="0" hidden="0"/>
    </xf>
    <xf numFmtId="0" fontId="9" fillId="0" borderId="0" pivotButton="0" quotePrefix="0" xfId="0"/>
    <xf numFmtId="2" fontId="2" fillId="0" borderId="0" applyAlignment="1" applyProtection="1" pivotButton="0" quotePrefix="0" xfId="0">
      <alignment vertical="center"/>
      <protection locked="0" hidden="0"/>
    </xf>
    <xf numFmtId="177" fontId="2" fillId="0" borderId="7" applyAlignment="1" applyProtection="1" pivotButton="0" quotePrefix="0" xfId="0">
      <alignment horizontal="center" vertical="center"/>
      <protection locked="0" hidden="0"/>
    </xf>
    <xf numFmtId="2" fontId="20" fillId="0" borderId="0" applyAlignment="1" applyProtection="1" pivotButton="0" quotePrefix="0" xfId="0">
      <alignment vertical="center"/>
      <protection locked="0" hidden="0"/>
    </xf>
    <xf numFmtId="0" fontId="2" fillId="0" borderId="39" applyAlignment="1" applyProtection="1" pivotButton="0" quotePrefix="0" xfId="0">
      <alignment horizontal="center" vertical="center" wrapText="1"/>
      <protection locked="0" hidden="0"/>
    </xf>
    <xf numFmtId="0" fontId="2" fillId="0" borderId="14" applyAlignment="1" applyProtection="1" pivotButton="0" quotePrefix="0" xfId="0">
      <alignment horizontal="center" vertical="center"/>
      <protection locked="0" hidden="0"/>
    </xf>
    <xf numFmtId="0" fontId="2" fillId="0" borderId="14" applyAlignment="1" applyProtection="1" pivotButton="0" quotePrefix="0" xfId="0">
      <alignment horizontal="center" vertical="center" wrapText="1"/>
      <protection locked="0" hidden="0"/>
    </xf>
    <xf numFmtId="0" fontId="2" fillId="0" borderId="13" applyAlignment="1" applyProtection="1" pivotButton="0" quotePrefix="0" xfId="0">
      <alignment horizontal="center" vertical="center" wrapText="1"/>
      <protection locked="0" hidden="0"/>
    </xf>
    <xf numFmtId="2" fontId="20" fillId="0" borderId="7" applyAlignment="1" pivotButton="0" quotePrefix="0" xfId="0">
      <alignment horizontal="center" vertical="center"/>
    </xf>
    <xf numFmtId="168" fontId="20" fillId="0" borderId="13" applyAlignment="1" applyProtection="1" pivotButton="0" quotePrefix="0" xfId="0">
      <alignment horizontal="center" vertical="center"/>
      <protection locked="0" hidden="0"/>
    </xf>
    <xf numFmtId="168" fontId="20" fillId="0" borderId="8" applyAlignment="1" applyProtection="1" pivotButton="0" quotePrefix="0" xfId="0">
      <alignment horizontal="center" vertical="center"/>
      <protection locked="0" hidden="0"/>
    </xf>
    <xf numFmtId="0" fontId="20" fillId="0" borderId="8" applyAlignment="1" applyProtection="1" pivotButton="0" quotePrefix="0" xfId="0">
      <alignment horizontal="center" vertical="center"/>
      <protection locked="0" hidden="0"/>
    </xf>
    <xf numFmtId="169" fontId="20" fillId="4" borderId="14" applyAlignment="1" pivotButton="0" quotePrefix="0" xfId="0">
      <alignment horizontal="center" vertical="center"/>
    </xf>
    <xf numFmtId="2" fontId="20" fillId="4" borderId="7" applyAlignment="1" pivotButton="0" quotePrefix="0" xfId="0">
      <alignment horizontal="center" vertical="center"/>
    </xf>
    <xf numFmtId="0" fontId="20" fillId="4" borderId="8" applyAlignment="1" applyProtection="1" pivotButton="0" quotePrefix="0" xfId="0">
      <alignment horizontal="center" vertical="center"/>
      <protection locked="0" hidden="0"/>
    </xf>
    <xf numFmtId="168" fontId="20" fillId="4" borderId="7" applyAlignment="1" applyProtection="1" pivotButton="0" quotePrefix="0" xfId="0">
      <alignment horizontal="center" vertical="center"/>
      <protection locked="0" hidden="0"/>
    </xf>
    <xf numFmtId="168" fontId="20" fillId="4" borderId="13" applyAlignment="1" applyProtection="1" pivotButton="0" quotePrefix="0" xfId="0">
      <alignment horizontal="center" vertical="center"/>
      <protection locked="0" hidden="0"/>
    </xf>
    <xf numFmtId="168" fontId="20" fillId="4" borderId="8" applyAlignment="1" applyProtection="1" pivotButton="0" quotePrefix="0" xfId="0">
      <alignment horizontal="center" vertical="center"/>
      <protection locked="0" hidden="0"/>
    </xf>
    <xf numFmtId="169" fontId="20" fillId="0" borderId="15" applyAlignment="1" pivotButton="0" quotePrefix="0" xfId="0">
      <alignment horizontal="center" vertical="center"/>
    </xf>
    <xf numFmtId="2" fontId="20" fillId="0" borderId="17" applyAlignment="1" pivotButton="0" quotePrefix="0" xfId="0">
      <alignment horizontal="center" vertical="center"/>
    </xf>
    <xf numFmtId="0" fontId="20" fillId="0" borderId="40" applyAlignment="1" applyProtection="1" pivotButton="0" quotePrefix="0" xfId="0">
      <alignment horizontal="center" vertical="center"/>
      <protection locked="0" hidden="0"/>
    </xf>
    <xf numFmtId="168" fontId="20" fillId="0" borderId="17" applyAlignment="1" applyProtection="1" pivotButton="0" quotePrefix="0" xfId="0">
      <alignment horizontal="center" vertical="center"/>
      <protection locked="0" hidden="0"/>
    </xf>
    <xf numFmtId="168" fontId="20" fillId="0" borderId="16" applyAlignment="1" applyProtection="1" pivotButton="0" quotePrefix="0" xfId="0">
      <alignment horizontal="center" vertical="center"/>
      <protection locked="0" hidden="0"/>
    </xf>
    <xf numFmtId="168" fontId="20" fillId="0" borderId="40" applyAlignment="1" applyProtection="1" pivotButton="0" quotePrefix="0" xfId="0">
      <alignment horizontal="center" vertical="center"/>
      <protection locked="0" hidden="0"/>
    </xf>
    <xf numFmtId="0" fontId="17" fillId="0" borderId="0" applyAlignment="1" applyProtection="1" pivotButton="0" quotePrefix="0" xfId="0">
      <alignment horizontal="left"/>
      <protection locked="0" hidden="0"/>
    </xf>
    <xf numFmtId="0" fontId="20" fillId="0" borderId="0" applyAlignment="1" applyProtection="1" pivotButton="0" quotePrefix="0" xfId="0">
      <alignment horizontal="left" vertical="center"/>
      <protection locked="0" hidden="0"/>
    </xf>
    <xf numFmtId="1" fontId="20" fillId="0" borderId="0" applyAlignment="1" applyProtection="1" pivotButton="0" quotePrefix="0" xfId="0">
      <alignment horizontal="left" vertical="center"/>
      <protection locked="0" hidden="0"/>
    </xf>
    <xf numFmtId="2" fontId="20" fillId="0" borderId="0" applyAlignment="1" applyProtection="1" pivotButton="0" quotePrefix="0" xfId="0">
      <alignment horizontal="left" vertical="center"/>
      <protection locked="0" hidden="0"/>
    </xf>
    <xf numFmtId="0" fontId="9" fillId="0" borderId="0" applyAlignment="1" applyProtection="1" pivotButton="0" quotePrefix="0" xfId="0">
      <alignment horizontal="left"/>
      <protection locked="0" hidden="0"/>
    </xf>
    <xf numFmtId="0" fontId="15" fillId="0" borderId="0" applyAlignment="1" applyProtection="1" pivotButton="0" quotePrefix="0" xfId="0">
      <alignment vertical="top" wrapText="1"/>
      <protection locked="0" hidden="0"/>
    </xf>
    <xf numFmtId="0" fontId="19" fillId="0" borderId="0" applyAlignment="1" applyProtection="1" pivotButton="0" quotePrefix="0" xfId="0">
      <alignment horizontal="left" vertical="center"/>
      <protection locked="0" hidden="0"/>
    </xf>
    <xf numFmtId="0" fontId="9" fillId="0" borderId="0" applyProtection="1" pivotButton="0" quotePrefix="0" xfId="0">
      <protection locked="0" hidden="0"/>
    </xf>
    <xf numFmtId="0" fontId="17" fillId="0" borderId="0" applyProtection="1" pivotButton="0" quotePrefix="0" xfId="0">
      <protection locked="0" hidden="0"/>
    </xf>
    <xf numFmtId="0" fontId="20" fillId="0" borderId="0" applyAlignment="1" applyProtection="1" pivotButton="0" quotePrefix="0" xfId="0">
      <alignment horizontal="right" vertical="center" indent="1"/>
      <protection locked="0" hidden="0"/>
    </xf>
    <xf numFmtId="168" fontId="37" fillId="0" borderId="14" applyAlignment="1" pivotButton="0" quotePrefix="0" xfId="3">
      <alignment horizontal="center" vertical="center"/>
    </xf>
    <xf numFmtId="0" fontId="38" fillId="5" borderId="14" applyAlignment="1" pivotButton="0" quotePrefix="0" xfId="3">
      <alignment horizontal="center"/>
    </xf>
    <xf numFmtId="168" fontId="38" fillId="5" borderId="7" applyAlignment="1" applyProtection="1" pivotButton="0" quotePrefix="0" xfId="3">
      <alignment horizontal="center"/>
      <protection locked="1" hidden="1"/>
    </xf>
    <xf numFmtId="0" fontId="38" fillId="5" borderId="7" applyAlignment="1" applyProtection="1" pivotButton="0" quotePrefix="0" xfId="3">
      <alignment horizontal="center" vertical="center"/>
      <protection locked="0" hidden="0"/>
    </xf>
    <xf numFmtId="169" fontId="38" fillId="5" borderId="14" applyAlignment="1" pivotButton="0" quotePrefix="0" xfId="0">
      <alignment horizontal="center" vertical="center"/>
    </xf>
    <xf numFmtId="168" fontId="38" fillId="5" borderId="7" applyAlignment="1" applyProtection="1" pivotButton="0" quotePrefix="0" xfId="0">
      <alignment horizontal="center" vertical="center"/>
      <protection locked="0" hidden="0"/>
    </xf>
    <xf numFmtId="0" fontId="2" fillId="3" borderId="7" applyAlignment="1" pivotButton="0" quotePrefix="0" xfId="3">
      <alignment horizontal="center" vertical="center" wrapText="1"/>
    </xf>
    <xf numFmtId="1" fontId="2" fillId="0" borderId="14" applyAlignment="1" applyProtection="1" pivotButton="0" quotePrefix="0" xfId="4">
      <alignment horizontal="center" vertical="center"/>
      <protection locked="0" hidden="1"/>
    </xf>
    <xf numFmtId="168" fontId="2" fillId="0" borderId="7" applyAlignment="1" applyProtection="1" pivotButton="0" quotePrefix="0" xfId="4">
      <alignment horizontal="center" vertical="center"/>
      <protection locked="1" hidden="1"/>
    </xf>
    <xf numFmtId="168" fontId="2" fillId="0" borderId="7" applyAlignment="1" applyProtection="1" pivotButton="0" quotePrefix="0" xfId="4">
      <alignment horizontal="center" vertical="center"/>
      <protection locked="0" hidden="0"/>
    </xf>
    <xf numFmtId="0" fontId="2" fillId="3" borderId="13" applyAlignment="1" pivotButton="0" quotePrefix="0" xfId="0">
      <alignment vertical="center"/>
    </xf>
    <xf numFmtId="0" fontId="2" fillId="0" borderId="14" applyAlignment="1" applyProtection="1" pivotButton="0" quotePrefix="0" xfId="4">
      <alignment horizontal="center" vertical="center"/>
      <protection locked="1" hidden="1"/>
    </xf>
    <xf numFmtId="168" fontId="2" fillId="0" borderId="7" applyAlignment="1" applyProtection="1" pivotButton="0" quotePrefix="0" xfId="4">
      <alignment horizontal="center" vertical="center"/>
      <protection locked="0" hidden="1"/>
    </xf>
    <xf numFmtId="0" fontId="2" fillId="0" borderId="15" applyAlignment="1" applyProtection="1" pivotButton="0" quotePrefix="0" xfId="4">
      <alignment horizontal="center" vertical="center"/>
      <protection locked="1" hidden="1"/>
    </xf>
    <xf numFmtId="0" fontId="2" fillId="3" borderId="16" applyAlignment="1" pivotButton="0" quotePrefix="0" xfId="0">
      <alignment vertical="center"/>
    </xf>
    <xf numFmtId="0" fontId="2" fillId="3" borderId="41" applyAlignment="1" pivotButton="0" quotePrefix="0" xfId="3">
      <alignment horizontal="left" vertical="center"/>
    </xf>
    <xf numFmtId="0" fontId="2" fillId="3" borderId="42" applyAlignment="1" pivotButton="0" quotePrefix="0" xfId="3">
      <alignment horizontal="left" vertical="center"/>
    </xf>
    <xf numFmtId="0" fontId="16" fillId="0" borderId="10" applyAlignment="1" pivotButton="0" quotePrefix="0" xfId="0">
      <alignment vertical="center"/>
    </xf>
    <xf numFmtId="0" fontId="15" fillId="0" borderId="0" applyAlignment="1" applyProtection="1" pivotButton="0" quotePrefix="0" xfId="0">
      <alignment vertical="center"/>
      <protection locked="0" hidden="0"/>
    </xf>
    <xf numFmtId="0" fontId="18" fillId="0" borderId="0" applyAlignment="1" pivotButton="0" quotePrefix="0" xfId="0">
      <alignment vertical="center"/>
    </xf>
    <xf numFmtId="0" fontId="10" fillId="0" borderId="0" applyAlignment="1" applyProtection="1" pivotButton="0" quotePrefix="0" xfId="0">
      <alignment vertical="center" wrapText="1"/>
      <protection locked="0" hidden="0"/>
    </xf>
    <xf numFmtId="0" fontId="2" fillId="0" borderId="7" applyAlignment="1" applyProtection="1" pivotButton="0" quotePrefix="0" xfId="4">
      <alignment horizontal="center" vertical="center"/>
      <protection locked="1" hidden="1"/>
    </xf>
    <xf numFmtId="0" fontId="2" fillId="0" borderId="13" applyAlignment="1" applyProtection="1" pivotButton="0" quotePrefix="0" xfId="4">
      <alignment horizontal="center" vertical="center"/>
      <protection locked="1" hidden="1"/>
    </xf>
    <xf numFmtId="0" fontId="20" fillId="3" borderId="14" applyAlignment="1" pivotButton="0" quotePrefix="0" xfId="3">
      <alignment horizontal="center"/>
    </xf>
    <xf numFmtId="0" fontId="20" fillId="3" borderId="7" applyAlignment="1" pivotButton="0" quotePrefix="0" xfId="3">
      <alignment horizontal="center"/>
    </xf>
    <xf numFmtId="0" fontId="2" fillId="3" borderId="33" applyAlignment="1" pivotButton="0" quotePrefix="0" xfId="0">
      <alignment horizontal="center" vertical="center"/>
    </xf>
    <xf numFmtId="0" fontId="2" fillId="3" borderId="34" applyAlignment="1" pivotButton="0" quotePrefix="0" xfId="0">
      <alignment horizontal="center" vertical="center"/>
    </xf>
    <xf numFmtId="0" fontId="2" fillId="3" borderId="20" applyAlignment="1" pivotButton="0" quotePrefix="0" xfId="0">
      <alignment horizontal="center" vertical="center"/>
    </xf>
    <xf numFmtId="0" fontId="2" fillId="3" borderId="14" applyAlignment="1" pivotButton="0" quotePrefix="0" xfId="3">
      <alignment horizontal="center" vertical="center"/>
    </xf>
    <xf numFmtId="0" fontId="20" fillId="0" borderId="7" applyAlignment="1" pivotButton="0" quotePrefix="0" xfId="3">
      <alignment horizontal="center" vertical="center"/>
    </xf>
    <xf numFmtId="0" fontId="9" fillId="0" borderId="0" applyAlignment="1" pivotButton="0" quotePrefix="0" xfId="3">
      <alignment vertical="center"/>
    </xf>
    <xf numFmtId="169" fontId="20" fillId="0" borderId="7" applyAlignment="1" pivotButton="0" quotePrefix="0" xfId="3">
      <alignment horizontal="center" vertical="center"/>
    </xf>
    <xf numFmtId="169" fontId="39" fillId="0" borderId="7" applyAlignment="1" pivotButton="0" quotePrefix="0" xfId="3">
      <alignment horizontal="center" vertical="center"/>
    </xf>
    <xf numFmtId="0" fontId="20" fillId="3" borderId="43" pivotButton="0" quotePrefix="0" xfId="3"/>
    <xf numFmtId="0" fontId="20" fillId="3" borderId="44" pivotButton="0" quotePrefix="0" xfId="3"/>
    <xf numFmtId="0" fontId="20" fillId="3" borderId="44" applyAlignment="1" pivotButton="0" quotePrefix="0" xfId="0">
      <alignment vertical="center"/>
    </xf>
    <xf numFmtId="0" fontId="20" fillId="3" borderId="45" applyAlignment="1" pivotButton="0" quotePrefix="0" xfId="0">
      <alignment vertical="center"/>
    </xf>
    <xf numFmtId="0" fontId="2" fillId="3" borderId="46" applyAlignment="1" pivotButton="0" quotePrefix="0" xfId="0">
      <alignment vertical="center"/>
    </xf>
    <xf numFmtId="0" fontId="2" fillId="3" borderId="47" applyAlignment="1" pivotButton="0" quotePrefix="0" xfId="0">
      <alignment vertical="center"/>
    </xf>
    <xf numFmtId="0" fontId="20" fillId="3" borderId="47" applyProtection="1" pivotButton="0" quotePrefix="0" xfId="3">
      <protection locked="1" hidden="1"/>
    </xf>
    <xf numFmtId="0" fontId="2" fillId="3" borderId="48" applyAlignment="1" pivotButton="0" quotePrefix="0" xfId="0">
      <alignment vertical="center"/>
    </xf>
    <xf numFmtId="169" fontId="2" fillId="0" borderId="0" applyAlignment="1" applyProtection="1" pivotButton="0" quotePrefix="0" xfId="0">
      <alignment horizontal="center" vertical="center"/>
      <protection locked="0" hidden="0"/>
    </xf>
    <xf numFmtId="168" fontId="2" fillId="0" borderId="17" applyAlignment="1" applyProtection="1" pivotButton="0" quotePrefix="0" xfId="4">
      <alignment horizontal="center" vertical="center"/>
      <protection locked="1" hidden="1"/>
    </xf>
    <xf numFmtId="168" fontId="2" fillId="2" borderId="7" applyAlignment="1" pivotButton="0" quotePrefix="0" xfId="3">
      <alignment horizontal="center" vertical="center"/>
    </xf>
    <xf numFmtId="2" fontId="20" fillId="0" borderId="7" applyAlignment="1" pivotButton="0" quotePrefix="0" xfId="3">
      <alignment horizontal="center" vertical="center"/>
    </xf>
    <xf numFmtId="0" fontId="20" fillId="3" borderId="23" applyAlignment="1" pivotButton="0" quotePrefix="0" xfId="0">
      <alignment vertical="center"/>
    </xf>
    <xf numFmtId="0" fontId="2" fillId="0" borderId="1" applyAlignment="1" applyProtection="1" pivotButton="0" quotePrefix="0" xfId="0">
      <alignment horizontal="center" vertical="center"/>
      <protection locked="0" hidden="0"/>
    </xf>
    <xf numFmtId="9" fontId="2" fillId="0" borderId="0" applyAlignment="1" applyProtection="1" pivotButton="0" quotePrefix="0" xfId="0">
      <alignment horizontal="center" vertical="center"/>
      <protection locked="0" hidden="0"/>
    </xf>
    <xf numFmtId="0" fontId="40" fillId="6" borderId="72" applyAlignment="1" pivotButton="0" quotePrefix="0" xfId="0">
      <alignment horizontal="center" vertical="center"/>
    </xf>
    <xf numFmtId="0" fontId="40" fillId="6" borderId="0" pivotButton="0" quotePrefix="0" xfId="0"/>
    <xf numFmtId="0" fontId="41" fillId="6" borderId="73" applyAlignment="1" pivotButton="0" quotePrefix="0" xfId="0">
      <alignment vertical="center"/>
    </xf>
    <xf numFmtId="0" fontId="41" fillId="6" borderId="73" applyAlignment="1" pivotButton="0" quotePrefix="0" xfId="0">
      <alignment vertical="center" wrapText="1"/>
    </xf>
    <xf numFmtId="0" fontId="41" fillId="6" borderId="0" applyAlignment="1" pivotButton="0" quotePrefix="0" xfId="0">
      <alignment vertical="center"/>
    </xf>
    <xf numFmtId="0" fontId="40" fillId="6" borderId="0" applyAlignment="1" pivotButton="0" quotePrefix="0" xfId="0">
      <alignment vertical="center"/>
    </xf>
    <xf numFmtId="0" fontId="43" fillId="6" borderId="0" applyAlignment="1" pivotButton="0" quotePrefix="0" xfId="0">
      <alignment vertical="center"/>
    </xf>
    <xf numFmtId="0" fontId="40" fillId="6" borderId="0" applyAlignment="1" pivotButton="0" quotePrefix="0" xfId="0">
      <alignment horizontal="left" vertical="center"/>
    </xf>
    <xf numFmtId="0" fontId="44" fillId="6" borderId="0" applyAlignment="1" pivotButton="0" quotePrefix="0" xfId="0">
      <alignment horizontal="left" vertical="center"/>
    </xf>
    <xf numFmtId="0" fontId="45" fillId="6" borderId="0" applyAlignment="1" pivotButton="0" quotePrefix="0" xfId="0">
      <alignment vertical="center" wrapText="1"/>
    </xf>
    <xf numFmtId="0" fontId="46" fillId="6" borderId="0" applyAlignment="1" pivotButton="0" quotePrefix="0" xfId="0">
      <alignment vertical="center" wrapText="1"/>
    </xf>
    <xf numFmtId="0" fontId="47" fillId="6" borderId="0" applyAlignment="1" pivotButton="0" quotePrefix="0" xfId="0">
      <alignment vertical="center" wrapText="1"/>
    </xf>
    <xf numFmtId="0" fontId="9" fillId="3" borderId="0" pivotButton="0" quotePrefix="0" xfId="0"/>
    <xf numFmtId="0" fontId="41" fillId="6" borderId="0" applyAlignment="1" pivotButton="0" quotePrefix="0" xfId="0">
      <alignment horizontal="left"/>
    </xf>
    <xf numFmtId="0" fontId="40" fillId="6" borderId="0" applyAlignment="1" pivotButton="0" quotePrefix="0" xfId="0">
      <alignment horizontal="center"/>
    </xf>
    <xf numFmtId="0" fontId="41" fillId="6" borderId="0" pivotButton="0" quotePrefix="0" xfId="0"/>
    <xf numFmtId="0" fontId="40" fillId="6" borderId="0" applyAlignment="1" pivotButton="0" quotePrefix="1" xfId="0">
      <alignment horizontal="left"/>
    </xf>
    <xf numFmtId="0" fontId="40" fillId="6" borderId="0" applyAlignment="1" pivotButton="0" quotePrefix="0" xfId="0">
      <alignment horizontal="left"/>
    </xf>
    <xf numFmtId="0" fontId="41" fillId="6" borderId="72" applyAlignment="1" pivotButton="0" quotePrefix="0" xfId="0">
      <alignment horizontal="center" vertical="center"/>
    </xf>
    <xf numFmtId="0" fontId="37" fillId="3" borderId="7" applyAlignment="1" applyProtection="1" pivotButton="0" quotePrefix="0" xfId="3">
      <alignment horizontal="center"/>
      <protection locked="0" hidden="0"/>
    </xf>
    <xf numFmtId="0" fontId="41" fillId="6" borderId="72" applyAlignment="1" pivotButton="0" quotePrefix="0" xfId="0">
      <alignment horizontal="center"/>
    </xf>
    <xf numFmtId="165" fontId="48" fillId="3" borderId="7" applyAlignment="1" applyProtection="1" pivotButton="0" quotePrefix="0" xfId="3">
      <alignment horizontal="center" vertical="center"/>
      <protection locked="0" hidden="0"/>
    </xf>
    <xf numFmtId="1" fontId="48" fillId="3" borderId="7" applyAlignment="1" applyProtection="1" pivotButton="0" quotePrefix="0" xfId="3">
      <alignment horizontal="center"/>
      <protection locked="0" hidden="0"/>
    </xf>
    <xf numFmtId="168" fontId="48" fillId="6" borderId="72" applyAlignment="1" pivotButton="0" quotePrefix="0" xfId="0">
      <alignment horizontal="center"/>
    </xf>
    <xf numFmtId="0" fontId="40" fillId="6" borderId="72" applyAlignment="1" pivotButton="0" quotePrefix="0" xfId="0">
      <alignment horizontal="center"/>
    </xf>
    <xf numFmtId="0" fontId="41" fillId="6" borderId="72" pivotButton="0" quotePrefix="0" xfId="0"/>
    <xf numFmtId="173" fontId="40" fillId="6" borderId="72" applyAlignment="1" pivotButton="0" quotePrefix="0" xfId="0">
      <alignment horizontal="center"/>
    </xf>
    <xf numFmtId="173" fontId="40" fillId="6" borderId="0" applyAlignment="1" pivotButton="0" quotePrefix="0" xfId="0">
      <alignment horizontal="center"/>
    </xf>
    <xf numFmtId="0" fontId="49" fillId="6" borderId="0" pivotButton="0" quotePrefix="0" xfId="0"/>
    <xf numFmtId="0" fontId="50" fillId="6" borderId="0" applyAlignment="1" pivotButton="0" quotePrefix="0" xfId="0">
      <alignment horizontal="left" vertical="center"/>
    </xf>
    <xf numFmtId="1" fontId="40" fillId="6" borderId="72" applyAlignment="1" pivotButton="0" quotePrefix="0" xfId="0">
      <alignment horizontal="center" vertical="center"/>
    </xf>
    <xf numFmtId="173" fontId="40" fillId="6" borderId="72" applyAlignment="1" pivotButton="0" quotePrefix="0" xfId="0">
      <alignment horizontal="center" vertical="center"/>
    </xf>
    <xf numFmtId="168" fontId="48" fillId="3" borderId="7" applyAlignment="1" pivotButton="0" quotePrefix="0" xfId="0">
      <alignment horizontal="center" vertical="center"/>
    </xf>
    <xf numFmtId="0" fontId="0" fillId="0" borderId="7" pivotButton="0" quotePrefix="0" xfId="0"/>
    <xf numFmtId="0" fontId="0" fillId="3" borderId="0" pivotButton="0" quotePrefix="0" xfId="0"/>
    <xf numFmtId="0" fontId="2" fillId="3" borderId="44" applyAlignment="1" pivotButton="0" quotePrefix="0" xfId="0">
      <alignment vertical="center"/>
    </xf>
    <xf numFmtId="0" fontId="2" fillId="3" borderId="49" applyAlignment="1" pivotButton="0" quotePrefix="0" xfId="0">
      <alignment vertical="center"/>
    </xf>
    <xf numFmtId="0" fontId="2" fillId="3" borderId="45" applyAlignment="1" pivotButton="0" quotePrefix="0" xfId="0">
      <alignment vertical="center"/>
    </xf>
    <xf numFmtId="0" fontId="20" fillId="0" borderId="13" applyAlignment="1" pivotButton="0" quotePrefix="0" xfId="3">
      <alignment horizontal="center" vertical="center"/>
    </xf>
    <xf numFmtId="169" fontId="20" fillId="0" borderId="13" applyAlignment="1" pivotButton="0" quotePrefix="0" xfId="3">
      <alignment horizontal="center" vertical="center"/>
    </xf>
    <xf numFmtId="169" fontId="20" fillId="0" borderId="14" applyAlignment="1" pivotButton="0" quotePrefix="0" xfId="3">
      <alignment horizontal="center" vertical="center"/>
    </xf>
    <xf numFmtId="0" fontId="20" fillId="3" borderId="6" applyAlignment="1" pivotButton="0" quotePrefix="0" xfId="0">
      <alignment vertical="center"/>
    </xf>
    <xf numFmtId="2" fontId="20" fillId="0" borderId="14" applyAlignment="1" pivotButton="0" quotePrefix="0" xfId="3">
      <alignment horizontal="center" vertical="center"/>
    </xf>
    <xf numFmtId="0" fontId="9" fillId="0" borderId="6" applyAlignment="1" pivotButton="0" quotePrefix="0" xfId="3">
      <alignment vertical="center"/>
    </xf>
    <xf numFmtId="0" fontId="20" fillId="3" borderId="46" applyAlignment="1" pivotButton="0" quotePrefix="0" xfId="0">
      <alignment vertical="center"/>
    </xf>
    <xf numFmtId="0" fontId="20" fillId="3" borderId="47" applyAlignment="1" pivotButton="0" quotePrefix="0" xfId="0">
      <alignment vertical="center"/>
    </xf>
    <xf numFmtId="0" fontId="20" fillId="3" borderId="48" applyAlignment="1" pivotButton="0" quotePrefix="0" xfId="0">
      <alignment vertical="center"/>
    </xf>
    <xf numFmtId="2" fontId="9" fillId="0" borderId="6" applyAlignment="1" pivotButton="0" quotePrefix="0" xfId="3">
      <alignment vertical="center"/>
    </xf>
    <xf numFmtId="2" fontId="9" fillId="0" borderId="0" applyAlignment="1" pivotButton="0" quotePrefix="0" xfId="3">
      <alignment vertical="center"/>
    </xf>
    <xf numFmtId="11" fontId="20" fillId="3" borderId="14" applyAlignment="1" applyProtection="1" pivotButton="0" quotePrefix="0" xfId="3">
      <alignment horizontal="center"/>
      <protection locked="0" hidden="0"/>
    </xf>
    <xf numFmtId="0" fontId="20" fillId="3" borderId="7" applyAlignment="1" applyProtection="1" pivotButton="0" quotePrefix="0" xfId="3">
      <alignment horizontal="center"/>
      <protection locked="0" hidden="0"/>
    </xf>
    <xf numFmtId="1" fontId="20" fillId="3" borderId="7" applyAlignment="1" applyProtection="1" pivotButton="0" quotePrefix="0" xfId="3">
      <alignment horizontal="center"/>
      <protection locked="0" hidden="0"/>
    </xf>
    <xf numFmtId="168" fontId="20" fillId="3" borderId="7" applyAlignment="1" applyProtection="1" pivotButton="0" quotePrefix="0" xfId="3">
      <alignment horizontal="center"/>
      <protection locked="0" hidden="0"/>
    </xf>
    <xf numFmtId="2" fontId="20" fillId="3" borderId="7" applyAlignment="1" applyProtection="1" pivotButton="0" quotePrefix="0" xfId="3">
      <alignment horizontal="left" indent="1"/>
      <protection locked="0" hidden="0"/>
    </xf>
    <xf numFmtId="2" fontId="20" fillId="3" borderId="7" applyAlignment="1" applyProtection="1" pivotButton="0" quotePrefix="0" xfId="3">
      <alignment horizontal="center"/>
      <protection locked="0" hidden="0"/>
    </xf>
    <xf numFmtId="0" fontId="9" fillId="5" borderId="50" applyAlignment="1" pivotButton="0" quotePrefix="0" xfId="3">
      <alignment horizontal="center" vertical="center"/>
    </xf>
    <xf numFmtId="0" fontId="9" fillId="5" borderId="51" applyAlignment="1" pivotButton="0" quotePrefix="0" xfId="3">
      <alignment horizontal="center" vertical="center"/>
    </xf>
    <xf numFmtId="0" fontId="9" fillId="5" borderId="51" applyAlignment="1" pivotButton="0" quotePrefix="0" xfId="3">
      <alignment horizontal="center" vertical="center" wrapText="1"/>
    </xf>
    <xf numFmtId="0" fontId="9" fillId="5" borderId="52" applyAlignment="1" pivotButton="0" quotePrefix="0" xfId="3">
      <alignment horizontal="center" vertical="center" wrapText="1"/>
    </xf>
    <xf numFmtId="0" fontId="20" fillId="3" borderId="33" applyAlignment="1" pivotButton="0" quotePrefix="0" xfId="3">
      <alignment vertical="center" wrapText="1"/>
    </xf>
    <xf numFmtId="168" fontId="20" fillId="3" borderId="34" applyAlignment="1" applyProtection="1" pivotButton="0" quotePrefix="1" xfId="3">
      <alignment horizontal="center" vertical="center"/>
      <protection locked="0" hidden="0"/>
    </xf>
    <xf numFmtId="0" fontId="20" fillId="3" borderId="34" applyAlignment="1" pivotButton="0" quotePrefix="1" xfId="3">
      <alignment horizontal="center" vertical="center" wrapText="1"/>
    </xf>
    <xf numFmtId="0" fontId="20" fillId="3" borderId="20" applyAlignment="1" pivotButton="0" quotePrefix="1" xfId="3">
      <alignment horizontal="center" vertical="center" wrapText="1"/>
    </xf>
    <xf numFmtId="0" fontId="20" fillId="5" borderId="14" applyAlignment="1" pivotButton="0" quotePrefix="0" xfId="3">
      <alignment vertical="center" wrapText="1"/>
    </xf>
    <xf numFmtId="2" fontId="20" fillId="5" borderId="7" applyAlignment="1" applyProtection="1" pivotButton="0" quotePrefix="0" xfId="3">
      <alignment horizontal="center" vertical="center"/>
      <protection locked="0" hidden="1"/>
    </xf>
    <xf numFmtId="2" fontId="20" fillId="5" borderId="7" applyAlignment="1" applyProtection="1" pivotButton="0" quotePrefix="1" xfId="3">
      <alignment horizontal="center" vertical="center"/>
      <protection locked="1" hidden="1"/>
    </xf>
    <xf numFmtId="178" fontId="20" fillId="5" borderId="7" applyAlignment="1" applyProtection="1" pivotButton="0" quotePrefix="1" xfId="3">
      <alignment horizontal="center" vertical="center"/>
      <protection locked="1" hidden="1"/>
    </xf>
    <xf numFmtId="169" fontId="20" fillId="5" borderId="7" applyAlignment="1" applyProtection="1" pivotButton="0" quotePrefix="0" xfId="3">
      <alignment horizontal="center" vertical="center" wrapText="1"/>
      <protection locked="1" hidden="1"/>
    </xf>
    <xf numFmtId="11" fontId="20" fillId="5" borderId="7" applyAlignment="1" applyProtection="1" pivotButton="0" quotePrefix="0" xfId="3">
      <alignment horizontal="center" vertical="center"/>
      <protection locked="1" hidden="1"/>
    </xf>
    <xf numFmtId="169" fontId="20" fillId="5" borderId="13" applyAlignment="1" applyProtection="1" pivotButton="0" quotePrefix="0" xfId="3">
      <alignment horizontal="center" vertical="center" wrapText="1"/>
      <protection locked="1" hidden="1"/>
    </xf>
    <xf numFmtId="0" fontId="2" fillId="3" borderId="14" applyAlignment="1" pivotButton="0" quotePrefix="0" xfId="3">
      <alignment vertical="center" wrapText="1"/>
    </xf>
    <xf numFmtId="0" fontId="20" fillId="3" borderId="7" applyAlignment="1" pivotButton="0" quotePrefix="0" xfId="3">
      <alignment vertical="center"/>
    </xf>
    <xf numFmtId="178" fontId="20" fillId="3" borderId="7" applyAlignment="1" applyProtection="1" pivotButton="0" quotePrefix="1" xfId="3">
      <alignment horizontal="center" vertical="center"/>
      <protection locked="0" hidden="0"/>
    </xf>
    <xf numFmtId="2" fontId="20" fillId="3" borderId="7" applyAlignment="1" applyProtection="1" pivotButton="0" quotePrefix="0" xfId="3">
      <alignment vertical="center"/>
      <protection locked="1" hidden="1"/>
    </xf>
    <xf numFmtId="178" fontId="20" fillId="3" borderId="7" applyAlignment="1" applyProtection="1" pivotButton="0" quotePrefix="0" xfId="3">
      <alignment horizontal="center" vertical="center"/>
      <protection locked="1" hidden="1"/>
    </xf>
    <xf numFmtId="178" fontId="20" fillId="3" borderId="7" applyAlignment="1" applyProtection="1" pivotButton="0" quotePrefix="1" xfId="3">
      <alignment horizontal="center" vertical="center" wrapText="1"/>
      <protection locked="1" hidden="1"/>
    </xf>
    <xf numFmtId="178" fontId="20" fillId="3" borderId="13" applyAlignment="1" applyProtection="1" pivotButton="0" quotePrefix="1" xfId="3">
      <alignment horizontal="center" vertical="center" wrapText="1"/>
      <protection locked="1" hidden="1"/>
    </xf>
    <xf numFmtId="2" fontId="20" fillId="3" borderId="7" applyAlignment="1" applyProtection="1" pivotButton="0" quotePrefix="0" xfId="0">
      <alignment vertical="center"/>
      <protection locked="1" hidden="1"/>
    </xf>
    <xf numFmtId="169" fontId="20" fillId="3" borderId="7" applyAlignment="1" applyProtection="1" pivotButton="0" quotePrefix="1" xfId="3">
      <alignment horizontal="center" vertical="center"/>
      <protection locked="0" hidden="0"/>
    </xf>
    <xf numFmtId="2" fontId="20" fillId="3" borderId="7" applyAlignment="1" applyProtection="1" pivotButton="0" quotePrefix="0" xfId="3">
      <alignment horizontal="left" vertical="center"/>
      <protection locked="1" hidden="1"/>
    </xf>
    <xf numFmtId="178" fontId="20" fillId="3" borderId="7" applyAlignment="1" applyProtection="1" pivotButton="0" quotePrefix="0" xfId="0">
      <alignment horizontal="center" vertical="center"/>
      <protection locked="1" hidden="1"/>
    </xf>
    <xf numFmtId="0" fontId="34" fillId="5" borderId="7" applyAlignment="1" applyProtection="1" pivotButton="0" quotePrefix="1" xfId="3">
      <alignment horizontal="center" vertical="center"/>
      <protection locked="1" hidden="1"/>
    </xf>
    <xf numFmtId="0" fontId="20" fillId="5" borderId="7" applyAlignment="1" applyProtection="1" pivotButton="0" quotePrefix="0" xfId="3">
      <alignment horizontal="center" vertical="center"/>
      <protection locked="1" hidden="1"/>
    </xf>
    <xf numFmtId="178" fontId="20" fillId="5" borderId="13" applyAlignment="1" applyProtection="1" pivotButton="0" quotePrefix="0" xfId="3">
      <alignment horizontal="center" vertical="center"/>
      <protection locked="1" hidden="1"/>
    </xf>
    <xf numFmtId="173" fontId="20" fillId="5" borderId="7" applyAlignment="1" applyProtection="1" pivotButton="0" quotePrefix="1" xfId="3">
      <alignment horizontal="center" vertical="center"/>
      <protection locked="1" hidden="1"/>
    </xf>
    <xf numFmtId="173" fontId="20" fillId="5" borderId="13" applyAlignment="1" applyProtection="1" pivotButton="0" quotePrefix="0" xfId="3">
      <alignment horizontal="center" vertical="center"/>
      <protection locked="1" hidden="1"/>
    </xf>
    <xf numFmtId="0" fontId="9" fillId="3" borderId="0" applyAlignment="1" pivotButton="0" quotePrefix="0" xfId="0">
      <alignment horizontal="center"/>
    </xf>
    <xf numFmtId="0" fontId="20" fillId="5" borderId="53" applyAlignment="1" pivotButton="0" quotePrefix="0" xfId="3">
      <alignment horizontal="left" vertical="center" wrapText="1"/>
    </xf>
    <xf numFmtId="178" fontId="20" fillId="5" borderId="54" applyAlignment="1" applyProtection="1" pivotButton="0" quotePrefix="1" xfId="3">
      <alignment horizontal="center" vertical="center"/>
      <protection locked="0" hidden="0"/>
    </xf>
    <xf numFmtId="178" fontId="20" fillId="5" borderId="54" applyAlignment="1" applyProtection="1" pivotButton="0" quotePrefix="1" xfId="3">
      <alignment horizontal="center" vertical="center"/>
      <protection locked="1" hidden="1"/>
    </xf>
    <xf numFmtId="0" fontId="20" fillId="5" borderId="54" applyAlignment="1" applyProtection="1" pivotButton="0" quotePrefix="0" xfId="3">
      <alignment horizontal="center" vertical="center"/>
      <protection locked="1" hidden="1"/>
    </xf>
    <xf numFmtId="2" fontId="20" fillId="5" borderId="54" applyAlignment="1" applyProtection="1" pivotButton="0" quotePrefix="0" xfId="3">
      <alignment vertical="center"/>
      <protection locked="1" hidden="1"/>
    </xf>
    <xf numFmtId="169" fontId="20" fillId="5" borderId="54" applyAlignment="1" applyProtection="1" pivotButton="0" quotePrefix="0" xfId="3">
      <alignment horizontal="center" vertical="center"/>
      <protection locked="1" hidden="1"/>
    </xf>
    <xf numFmtId="178" fontId="20" fillId="5" borderId="54" applyAlignment="1" applyProtection="1" pivotButton="0" quotePrefix="1" xfId="3">
      <alignment horizontal="center" vertical="center" wrapText="1"/>
      <protection locked="1" hidden="1"/>
    </xf>
    <xf numFmtId="178" fontId="20" fillId="5" borderId="55" applyAlignment="1" pivotButton="0" quotePrefix="0" xfId="3">
      <alignment horizontal="center" vertical="center"/>
    </xf>
    <xf numFmtId="2" fontId="20" fillId="3" borderId="7" applyAlignment="1" pivotButton="0" quotePrefix="0" xfId="3">
      <alignment horizontal="center" vertical="center"/>
    </xf>
    <xf numFmtId="2" fontId="20" fillId="3" borderId="7" applyAlignment="1" pivotButton="0" quotePrefix="0" xfId="3">
      <alignment vertical="center"/>
    </xf>
    <xf numFmtId="169" fontId="20" fillId="3" borderId="7" applyAlignment="1" pivotButton="0" quotePrefix="0" xfId="3">
      <alignment vertical="center"/>
    </xf>
    <xf numFmtId="0" fontId="9" fillId="3" borderId="7" pivotButton="0" quotePrefix="0" xfId="0"/>
    <xf numFmtId="0" fontId="0" fillId="5" borderId="7" pivotButton="0" quotePrefix="0" xfId="0"/>
    <xf numFmtId="0" fontId="12" fillId="5" borderId="7" applyAlignment="1" pivotButton="0" quotePrefix="0" xfId="3">
      <alignment vertical="center" wrapText="1"/>
    </xf>
    <xf numFmtId="0" fontId="9" fillId="5" borderId="7" applyAlignment="1" pivotButton="0" quotePrefix="0" xfId="0">
      <alignment horizontal="center"/>
    </xf>
    <xf numFmtId="0" fontId="9" fillId="5" borderId="7" pivotButton="0" quotePrefix="0" xfId="0"/>
    <xf numFmtId="169" fontId="20" fillId="3" borderId="56" applyAlignment="1" applyProtection="1" pivotButton="0" quotePrefix="0" xfId="0">
      <alignment horizontal="center" vertical="center"/>
      <protection locked="0" hidden="0"/>
    </xf>
    <xf numFmtId="169" fontId="20" fillId="3" borderId="7" applyAlignment="1" pivotButton="0" quotePrefix="0" xfId="3">
      <alignment horizontal="center" vertical="center"/>
    </xf>
    <xf numFmtId="0" fontId="23" fillId="3" borderId="0" pivotButton="0" quotePrefix="0" xfId="0"/>
    <xf numFmtId="0" fontId="9" fillId="5" borderId="57" applyAlignment="1" pivotButton="0" quotePrefix="0" xfId="0">
      <alignment horizontal="center" vertical="center"/>
    </xf>
    <xf numFmtId="0" fontId="9" fillId="5" borderId="58" applyAlignment="1" pivotButton="0" quotePrefix="0" xfId="0">
      <alignment horizontal="center" vertical="center" wrapText="1"/>
    </xf>
    <xf numFmtId="0" fontId="9" fillId="5" borderId="59" applyAlignment="1" pivotButton="0" quotePrefix="0" xfId="0">
      <alignment horizontal="center" vertical="center" wrapText="1"/>
    </xf>
    <xf numFmtId="0" fontId="9" fillId="5" borderId="60" applyAlignment="1" pivotButton="0" quotePrefix="0" xfId="0">
      <alignment horizontal="center" vertical="center" wrapText="1"/>
    </xf>
    <xf numFmtId="0" fontId="9" fillId="3" borderId="7" applyAlignment="1" pivotButton="0" quotePrefix="0" xfId="0">
      <alignment horizontal="center" vertical="center"/>
    </xf>
    <xf numFmtId="0" fontId="20" fillId="3" borderId="7" applyAlignment="1" pivotButton="0" quotePrefix="0" xfId="0">
      <alignment horizontal="center" vertical="center"/>
    </xf>
    <xf numFmtId="0" fontId="38" fillId="3" borderId="7" applyAlignment="1" pivotButton="0" quotePrefix="0" xfId="0">
      <alignment horizontal="center" vertical="center"/>
    </xf>
    <xf numFmtId="2" fontId="19" fillId="3" borderId="61" applyAlignment="1" pivotButton="0" quotePrefix="0" xfId="0">
      <alignment vertical="center"/>
    </xf>
    <xf numFmtId="2" fontId="19" fillId="3" borderId="62" applyAlignment="1" applyProtection="1" pivotButton="0" quotePrefix="0" xfId="0">
      <alignment vertical="center"/>
      <protection locked="1" hidden="1"/>
    </xf>
    <xf numFmtId="0" fontId="20" fillId="3" borderId="62" pivotButton="0" quotePrefix="0" xfId="0"/>
    <xf numFmtId="0" fontId="12" fillId="3" borderId="7" applyAlignment="1" pivotButton="0" quotePrefix="0" xfId="3">
      <alignment vertical="center"/>
    </xf>
    <xf numFmtId="0" fontId="12" fillId="5" borderId="7" applyAlignment="1" pivotButton="0" quotePrefix="0" xfId="3">
      <alignment vertical="center"/>
    </xf>
    <xf numFmtId="0" fontId="9" fillId="0" borderId="7" applyAlignment="1" pivotButton="0" quotePrefix="0" xfId="3">
      <alignment horizontal="center" vertical="center" wrapText="1"/>
    </xf>
    <xf numFmtId="1" fontId="9" fillId="3" borderId="7" applyAlignment="1" pivotButton="0" quotePrefix="0" xfId="0">
      <alignment horizontal="center"/>
    </xf>
    <xf numFmtId="0" fontId="9" fillId="3" borderId="0" pivotButton="0" quotePrefix="0" xfId="3"/>
    <xf numFmtId="0" fontId="9" fillId="3" borderId="0" applyAlignment="1" pivotButton="0" quotePrefix="0" xfId="3">
      <alignment horizontal="left"/>
    </xf>
    <xf numFmtId="11" fontId="9" fillId="3" borderId="0" applyAlignment="1" pivotButton="0" quotePrefix="0" xfId="3">
      <alignment horizontal="center"/>
    </xf>
    <xf numFmtId="0" fontId="9" fillId="3" borderId="0" applyAlignment="1" pivotButton="0" quotePrefix="1" xfId="3">
      <alignment horizontal="left"/>
    </xf>
    <xf numFmtId="0" fontId="17" fillId="3" borderId="7" pivotButton="0" quotePrefix="0" xfId="3"/>
    <xf numFmtId="0" fontId="17" fillId="3" borderId="7" applyAlignment="1" pivotButton="0" quotePrefix="0" xfId="3">
      <alignment horizontal="center"/>
    </xf>
    <xf numFmtId="168" fontId="48" fillId="3" borderId="7" applyAlignment="1" applyProtection="1" pivotButton="0" quotePrefix="0" xfId="3">
      <alignment horizontal="center"/>
      <protection locked="0" hidden="0"/>
    </xf>
    <xf numFmtId="168" fontId="9" fillId="3" borderId="0" pivotButton="0" quotePrefix="0" xfId="3"/>
    <xf numFmtId="0" fontId="9" fillId="3" borderId="7" applyAlignment="1" pivotButton="0" quotePrefix="0" xfId="3">
      <alignment horizontal="center"/>
    </xf>
    <xf numFmtId="173" fontId="9" fillId="3" borderId="7" applyAlignment="1" pivotButton="0" quotePrefix="0" xfId="3">
      <alignment horizontal="center"/>
    </xf>
    <xf numFmtId="0" fontId="9" fillId="3" borderId="8" pivotButton="0" quotePrefix="0" xfId="3"/>
    <xf numFmtId="0" fontId="9" fillId="3" borderId="10" applyAlignment="1" pivotButton="0" quotePrefix="0" xfId="3">
      <alignment vertical="center"/>
    </xf>
    <xf numFmtId="0" fontId="9" fillId="3" borderId="0" applyAlignment="1" pivotButton="0" quotePrefix="0" xfId="3">
      <alignment vertical="center"/>
    </xf>
    <xf numFmtId="14" fontId="9" fillId="3" borderId="0" applyAlignment="1" pivotButton="0" quotePrefix="0" xfId="3">
      <alignment horizontal="center" vertical="center"/>
    </xf>
    <xf numFmtId="1" fontId="40" fillId="3" borderId="72" applyAlignment="1" pivotButton="0" quotePrefix="0" xfId="0">
      <alignment horizontal="center" vertical="center"/>
    </xf>
    <xf numFmtId="0" fontId="23" fillId="3" borderId="0" applyAlignment="1" pivotButton="0" quotePrefix="0" xfId="3">
      <alignment horizontal="left"/>
    </xf>
    <xf numFmtId="0" fontId="23" fillId="3" borderId="0" pivotButton="0" quotePrefix="0" xfId="3"/>
    <xf numFmtId="0" fontId="9" fillId="3" borderId="0" applyAlignment="1" applyProtection="1" pivotButton="0" quotePrefix="0" xfId="3">
      <alignment horizontal="center" vertical="center"/>
      <protection locked="0" hidden="0"/>
    </xf>
    <xf numFmtId="0" fontId="0" fillId="3" borderId="8" pivotButton="0" quotePrefix="0" xfId="0"/>
    <xf numFmtId="0" fontId="9" fillId="3" borderId="11" applyAlignment="1" pivotButton="0" quotePrefix="0" xfId="3">
      <alignment horizontal="right" vertical="center" indent="1"/>
    </xf>
    <xf numFmtId="0" fontId="9" fillId="3" borderId="9" pivotButton="0" quotePrefix="0" xfId="3"/>
    <xf numFmtId="0" fontId="9" fillId="3" borderId="11" applyAlignment="1" pivotButton="0" quotePrefix="0" xfId="3">
      <alignment horizontal="left"/>
    </xf>
    <xf numFmtId="2" fontId="9" fillId="3" borderId="7" applyAlignment="1" pivotButton="0" quotePrefix="0" xfId="3">
      <alignment horizontal="center" vertical="center"/>
    </xf>
    <xf numFmtId="173" fontId="9" fillId="3" borderId="7" applyAlignment="1" pivotButton="0" quotePrefix="0" xfId="3">
      <alignment horizontal="center" vertical="center"/>
    </xf>
    <xf numFmtId="17" fontId="36" fillId="3" borderId="0" applyAlignment="1" pivotButton="0" quotePrefix="0" xfId="0">
      <alignment horizontal="center"/>
    </xf>
    <xf numFmtId="168" fontId="51" fillId="3" borderId="7" applyAlignment="1" applyProtection="1" pivotButton="0" quotePrefix="0" xfId="3">
      <alignment horizontal="center" vertical="center"/>
      <protection locked="0" hidden="0"/>
    </xf>
    <xf numFmtId="1" fontId="9" fillId="3" borderId="7" applyAlignment="1" pivotButton="0" quotePrefix="0" xfId="4">
      <alignment horizontal="center" vertical="center"/>
    </xf>
    <xf numFmtId="1" fontId="9" fillId="3" borderId="42" applyAlignment="1" pivotButton="0" quotePrefix="0" xfId="4">
      <alignment horizontal="center" vertical="center"/>
    </xf>
    <xf numFmtId="0" fontId="9" fillId="3" borderId="0" applyAlignment="1" pivotButton="0" quotePrefix="0" xfId="0">
      <alignment horizontal="center" vertical="center"/>
    </xf>
    <xf numFmtId="178" fontId="9" fillId="3" borderId="0" applyAlignment="1" pivotButton="0" quotePrefix="0" xfId="0">
      <alignment horizontal="center"/>
    </xf>
    <xf numFmtId="0" fontId="9" fillId="3" borderId="7" applyAlignment="1" pivotButton="0" quotePrefix="0" xfId="0">
      <alignment horizontal="left" vertical="center" wrapText="1"/>
    </xf>
    <xf numFmtId="173" fontId="9" fillId="3" borderId="7" applyAlignment="1" pivotButton="0" quotePrefix="0" xfId="0">
      <alignment horizontal="center" vertical="center"/>
    </xf>
    <xf numFmtId="2" fontId="20" fillId="3" borderId="17" applyAlignment="1" pivotButton="0" quotePrefix="0" xfId="3">
      <alignment horizontal="center" vertical="center"/>
    </xf>
    <xf numFmtId="2" fontId="20" fillId="3" borderId="17" applyAlignment="1" pivotButton="0" quotePrefix="0" xfId="3">
      <alignment vertical="center"/>
    </xf>
    <xf numFmtId="0" fontId="0" fillId="0" borderId="17" pivotButton="0" quotePrefix="0" xfId="0"/>
    <xf numFmtId="169" fontId="20" fillId="3" borderId="17" applyAlignment="1" pivotButton="0" quotePrefix="0" xfId="3">
      <alignment vertical="center"/>
    </xf>
    <xf numFmtId="169" fontId="20" fillId="3" borderId="16" applyAlignment="1" pivotButton="0" quotePrefix="0" xfId="3">
      <alignment horizontal="center" vertical="center"/>
    </xf>
    <xf numFmtId="168" fontId="20" fillId="5" borderId="7" applyAlignment="1" applyProtection="1" pivotButton="0" quotePrefix="0" xfId="3">
      <alignment horizontal="center" vertical="center"/>
      <protection locked="0" hidden="1"/>
    </xf>
    <xf numFmtId="168" fontId="20" fillId="3" borderId="7" applyAlignment="1" pivotButton="0" quotePrefix="0" xfId="3">
      <alignment vertical="center"/>
    </xf>
    <xf numFmtId="0" fontId="9" fillId="5" borderId="7" applyAlignment="1" pivotButton="0" quotePrefix="0" xfId="3">
      <alignment horizontal="center" vertical="center"/>
    </xf>
    <xf numFmtId="0" fontId="9" fillId="5" borderId="7" applyAlignment="1" pivotButton="0" quotePrefix="0" xfId="3">
      <alignment horizontal="center" vertical="center" wrapText="1"/>
    </xf>
    <xf numFmtId="2" fontId="19" fillId="3" borderId="7" applyAlignment="1" pivotButton="0" quotePrefix="0" xfId="0">
      <alignment vertical="center"/>
    </xf>
    <xf numFmtId="0" fontId="20" fillId="3" borderId="7" pivotButton="0" quotePrefix="0" xfId="0"/>
    <xf numFmtId="0" fontId="2" fillId="3" borderId="7" applyAlignment="1" pivotButton="0" quotePrefix="0" xfId="3">
      <alignment vertical="center" wrapText="1"/>
    </xf>
    <xf numFmtId="169" fontId="20" fillId="3" borderId="7" applyAlignment="1" applyProtection="1" pivotButton="0" quotePrefix="0" xfId="0">
      <alignment horizontal="center" vertical="center"/>
      <protection locked="0" hidden="0"/>
    </xf>
    <xf numFmtId="0" fontId="20" fillId="0" borderId="7" applyAlignment="1" pivotButton="0" quotePrefix="0" xfId="0">
      <alignment horizontal="center" vertical="center"/>
    </xf>
    <xf numFmtId="168" fontId="20" fillId="5" borderId="7" applyAlignment="1" pivotButton="0" quotePrefix="0" xfId="0">
      <alignment horizontal="center" vertical="center"/>
    </xf>
    <xf numFmtId="1" fontId="2" fillId="5" borderId="7" applyAlignment="1" applyProtection="1" pivotButton="0" quotePrefix="0" xfId="3">
      <alignment horizontal="center" vertical="center"/>
      <protection locked="0" hidden="0"/>
    </xf>
    <xf numFmtId="1" fontId="2" fillId="3" borderId="7" applyAlignment="1" applyProtection="1" pivotButton="0" quotePrefix="0" xfId="3">
      <alignment horizontal="center" vertical="center"/>
      <protection locked="0" hidden="0"/>
    </xf>
    <xf numFmtId="0" fontId="2" fillId="5" borderId="7" applyAlignment="1" pivotButton="0" quotePrefix="0" xfId="3">
      <alignment vertical="center"/>
    </xf>
    <xf numFmtId="0" fontId="0" fillId="3" borderId="0" applyAlignment="1" pivotButton="0" quotePrefix="0" xfId="0">
      <alignment horizontal="center" vertical="center"/>
    </xf>
    <xf numFmtId="2" fontId="38" fillId="3" borderId="7" applyAlignment="1" pivotButton="0" quotePrefix="0" xfId="0">
      <alignment horizontal="center" vertical="center"/>
    </xf>
    <xf numFmtId="2" fontId="19" fillId="3" borderId="63" applyAlignment="1" pivotButton="0" quotePrefix="0" xfId="0">
      <alignment vertical="center"/>
    </xf>
    <xf numFmtId="2" fontId="19" fillId="3" borderId="64" applyAlignment="1" pivotButton="0" quotePrefix="0" xfId="0">
      <alignment vertical="center"/>
    </xf>
    <xf numFmtId="0" fontId="20" fillId="3" borderId="64" pivotButton="0" quotePrefix="0" xfId="0"/>
    <xf numFmtId="178" fontId="20" fillId="0" borderId="7" applyAlignment="1" applyProtection="1" pivotButton="0" quotePrefix="0" xfId="0">
      <alignment horizontal="center" vertical="center"/>
      <protection locked="0" hidden="0"/>
    </xf>
    <xf numFmtId="169" fontId="20" fillId="0" borderId="7" pivotButton="0" quotePrefix="0" xfId="0"/>
    <xf numFmtId="2" fontId="20" fillId="0" borderId="7" applyAlignment="1" applyProtection="1" pivotButton="0" quotePrefix="0" xfId="0">
      <alignment vertical="center"/>
      <protection locked="1" hidden="1"/>
    </xf>
    <xf numFmtId="178" fontId="20" fillId="0" borderId="7" applyAlignment="1" applyProtection="1" pivotButton="0" quotePrefix="0" xfId="0">
      <alignment horizontal="center" vertical="center"/>
      <protection locked="1" hidden="1"/>
    </xf>
    <xf numFmtId="169" fontId="20" fillId="0" borderId="7" applyAlignment="1" applyProtection="1" pivotButton="0" quotePrefix="1" xfId="0">
      <alignment horizontal="center" vertical="center" wrapText="1"/>
      <protection locked="1" hidden="1"/>
    </xf>
    <xf numFmtId="178" fontId="20" fillId="0" borderId="7" applyAlignment="1" applyProtection="1" pivotButton="0" quotePrefix="1" xfId="0">
      <alignment horizontal="center" vertical="center"/>
      <protection locked="0" hidden="0"/>
    </xf>
    <xf numFmtId="2" fontId="20" fillId="0" borderId="7" applyAlignment="1" applyProtection="1" pivotButton="0" quotePrefix="0" xfId="0">
      <alignment horizontal="left" vertical="center"/>
      <protection locked="1" hidden="1"/>
    </xf>
    <xf numFmtId="0" fontId="20" fillId="5" borderId="7" applyAlignment="1" pivotButton="0" quotePrefix="0" xfId="0">
      <alignment horizontal="center"/>
    </xf>
    <xf numFmtId="0" fontId="20" fillId="5" borderId="7" applyAlignment="1" applyProtection="1" pivotButton="0" quotePrefix="1" xfId="0">
      <alignment horizontal="center" vertical="center"/>
      <protection locked="1" hidden="1"/>
    </xf>
    <xf numFmtId="2" fontId="20" fillId="5" borderId="7" applyAlignment="1" applyProtection="1" pivotButton="0" quotePrefix="1" xfId="0">
      <alignment horizontal="center" vertical="center"/>
      <protection locked="1" hidden="1"/>
    </xf>
    <xf numFmtId="169" fontId="20" fillId="5" borderId="7" applyAlignment="1" applyProtection="1" pivotButton="0" quotePrefix="1" xfId="3">
      <alignment horizontal="center" vertical="center"/>
      <protection locked="1" hidden="1"/>
    </xf>
    <xf numFmtId="0" fontId="19" fillId="5" borderId="14" applyAlignment="1" pivotButton="0" quotePrefix="0" xfId="3">
      <alignment vertical="center" wrapText="1"/>
    </xf>
    <xf numFmtId="0" fontId="2" fillId="0" borderId="14" applyAlignment="1" pivotButton="0" quotePrefix="0" xfId="0">
      <alignment vertical="center" wrapText="1"/>
    </xf>
    <xf numFmtId="178" fontId="20" fillId="0" borderId="13" applyAlignment="1" applyProtection="1" pivotButton="0" quotePrefix="1" xfId="0">
      <alignment horizontal="center" vertical="center" wrapText="1"/>
      <protection locked="1" hidden="1"/>
    </xf>
    <xf numFmtId="0" fontId="19" fillId="5" borderId="14" applyAlignment="1" pivotButton="0" quotePrefix="0" xfId="0">
      <alignment vertical="center" wrapText="1"/>
    </xf>
    <xf numFmtId="178" fontId="20" fillId="5" borderId="13" applyAlignment="1" applyProtection="1" pivotButton="0" quotePrefix="0" xfId="0">
      <alignment horizontal="center" vertical="center"/>
      <protection locked="1" hidden="1"/>
    </xf>
    <xf numFmtId="0" fontId="19" fillId="3" borderId="41" applyAlignment="1" pivotButton="0" quotePrefix="0" xfId="0">
      <alignment vertical="center" wrapText="1"/>
    </xf>
    <xf numFmtId="0" fontId="20" fillId="3" borderId="42" applyAlignment="1" pivotButton="0" quotePrefix="0" xfId="0">
      <alignment horizontal="center"/>
    </xf>
    <xf numFmtId="2" fontId="20" fillId="3" borderId="42" applyAlignment="1" applyProtection="1" pivotButton="0" quotePrefix="1" xfId="3">
      <alignment horizontal="center" vertical="center"/>
      <protection locked="0" hidden="0"/>
    </xf>
    <xf numFmtId="0" fontId="20" fillId="3" borderId="42" applyAlignment="1" pivotButton="0" quotePrefix="1" xfId="0">
      <alignment horizontal="center" vertical="center" wrapText="1"/>
    </xf>
    <xf numFmtId="0" fontId="20" fillId="3" borderId="12" applyAlignment="1" pivotButton="0" quotePrefix="1" xfId="0">
      <alignment horizontal="center" vertical="center" wrapText="1"/>
    </xf>
    <xf numFmtId="0" fontId="19" fillId="3" borderId="42" applyAlignment="1" pivotButton="0" quotePrefix="0" xfId="0">
      <alignment horizontal="center" vertical="center"/>
    </xf>
    <xf numFmtId="0" fontId="19" fillId="3" borderId="7" applyAlignment="1" pivotButton="0" quotePrefix="0" xfId="0">
      <alignment horizontal="center" vertical="center"/>
    </xf>
    <xf numFmtId="2" fontId="52" fillId="3" borderId="7" applyAlignment="1" pivotButton="0" quotePrefix="0" xfId="0">
      <alignment horizontal="center" vertical="center"/>
    </xf>
    <xf numFmtId="178" fontId="20" fillId="3" borderId="7" applyAlignment="1" pivotButton="0" quotePrefix="0" xfId="0">
      <alignment horizontal="center" vertical="center"/>
    </xf>
    <xf numFmtId="0" fontId="12" fillId="3" borderId="7" applyAlignment="1" pivotButton="0" quotePrefix="0" xfId="0">
      <alignment horizontal="center" vertical="center"/>
    </xf>
    <xf numFmtId="0" fontId="19" fillId="3" borderId="9" pivotButton="0" quotePrefix="0" xfId="0"/>
    <xf numFmtId="2" fontId="40" fillId="6" borderId="0" pivotButton="0" quotePrefix="0" xfId="0"/>
    <xf numFmtId="2" fontId="20" fillId="3" borderId="7" applyAlignment="1" pivotButton="0" quotePrefix="0" xfId="0">
      <alignment horizontal="center" vertical="center"/>
    </xf>
    <xf numFmtId="0" fontId="0" fillId="3" borderId="7" applyAlignment="1" pivotButton="0" quotePrefix="0" xfId="0">
      <alignment horizontal="center" vertical="center"/>
    </xf>
    <xf numFmtId="2" fontId="19" fillId="3" borderId="65" applyAlignment="1" pivotButton="0" quotePrefix="0" xfId="0">
      <alignment horizontal="center" vertical="center"/>
    </xf>
    <xf numFmtId="2" fontId="19" fillId="3" borderId="66" applyAlignment="1" pivotButton="0" quotePrefix="0" xfId="0">
      <alignment horizontal="center" vertical="center"/>
    </xf>
    <xf numFmtId="2" fontId="19" fillId="3" borderId="13" applyAlignment="1" pivotButton="0" quotePrefix="0" xfId="0">
      <alignment horizontal="center" vertical="center"/>
    </xf>
    <xf numFmtId="2" fontId="19" fillId="3" borderId="16" applyAlignment="1" applyProtection="1" pivotButton="0" quotePrefix="0" xfId="0">
      <alignment horizontal="center" vertical="center"/>
      <protection locked="1" hidden="1"/>
    </xf>
    <xf numFmtId="0" fontId="20" fillId="3" borderId="7" applyAlignment="1" pivotButton="0" quotePrefix="0" xfId="3">
      <alignment horizontal="center" vertical="center"/>
    </xf>
    <xf numFmtId="1" fontId="20" fillId="5" borderId="7" applyAlignment="1" pivotButton="0" quotePrefix="0" xfId="0">
      <alignment horizontal="center" vertical="center"/>
    </xf>
    <xf numFmtId="0" fontId="20" fillId="5" borderId="7" pivotButton="0" quotePrefix="0" xfId="0"/>
    <xf numFmtId="0" fontId="20" fillId="5" borderId="7" applyAlignment="1" pivotButton="0" quotePrefix="0" xfId="3">
      <alignment horizontal="center" vertical="center"/>
    </xf>
    <xf numFmtId="0" fontId="20" fillId="5" borderId="7" applyAlignment="1" pivotButton="0" quotePrefix="0" xfId="0">
      <alignment horizontal="center" vertical="center"/>
    </xf>
    <xf numFmtId="2" fontId="20" fillId="5" borderId="7" applyAlignment="1" pivotButton="0" quotePrefix="0" xfId="0">
      <alignment horizontal="center" vertical="center"/>
    </xf>
    <xf numFmtId="169" fontId="20" fillId="5" borderId="7" applyAlignment="1" pivotButton="0" quotePrefix="0" xfId="0">
      <alignment horizontal="center" vertical="center"/>
    </xf>
    <xf numFmtId="168" fontId="20" fillId="5" borderId="7" applyAlignment="1" applyProtection="1" pivotButton="0" quotePrefix="0" xfId="3">
      <alignment horizontal="center" vertical="center"/>
      <protection locked="0" hidden="0"/>
    </xf>
    <xf numFmtId="0" fontId="20" fillId="3" borderId="9" applyAlignment="1" pivotButton="0" quotePrefix="0" xfId="0">
      <alignment horizontal="center" vertical="center"/>
    </xf>
    <xf numFmtId="169" fontId="20" fillId="5" borderId="7" applyAlignment="1" applyProtection="1" pivotButton="0" quotePrefix="0" xfId="3">
      <alignment horizontal="center" vertical="center"/>
      <protection locked="0" hidden="0"/>
    </xf>
    <xf numFmtId="0" fontId="20" fillId="5" borderId="9" applyAlignment="1" pivotButton="0" quotePrefix="0" xfId="0">
      <alignment horizontal="center" vertical="center"/>
    </xf>
    <xf numFmtId="2" fontId="20" fillId="5" borderId="13" applyAlignment="1" applyProtection="1" pivotButton="0" quotePrefix="0" xfId="0">
      <alignment horizontal="center" vertical="center"/>
      <protection locked="1" hidden="1"/>
    </xf>
    <xf numFmtId="178" fontId="20" fillId="5" borderId="7" applyAlignment="1" pivotButton="0" quotePrefix="0" xfId="0">
      <alignment horizontal="center" vertical="center"/>
    </xf>
    <xf numFmtId="169" fontId="19" fillId="3" borderId="7" applyAlignment="1" pivotButton="0" quotePrefix="0" xfId="0">
      <alignment horizontal="center" vertical="center"/>
    </xf>
    <xf numFmtId="168" fontId="20" fillId="3" borderId="7" applyAlignment="1" pivotButton="0" quotePrefix="0" xfId="0">
      <alignment horizontal="center" vertical="center"/>
    </xf>
    <xf numFmtId="11" fontId="20" fillId="0" borderId="7" applyAlignment="1" applyProtection="1" pivotButton="0" quotePrefix="0" xfId="0">
      <alignment horizontal="center" vertical="center"/>
      <protection locked="0" hidden="0"/>
    </xf>
    <xf numFmtId="0" fontId="53" fillId="5" borderId="7" applyAlignment="1" applyProtection="1" pivotButton="0" quotePrefix="0" xfId="0">
      <alignment horizontal="center" vertical="center"/>
      <protection locked="0" hidden="0"/>
    </xf>
    <xf numFmtId="0" fontId="2" fillId="0" borderId="8" applyAlignment="1" pivotButton="0" quotePrefix="0" xfId="5">
      <alignment vertical="center"/>
    </xf>
    <xf numFmtId="0" fontId="9" fillId="0" borderId="11" applyAlignment="1" applyProtection="1" pivotButton="0" quotePrefix="0" xfId="0">
      <alignment vertical="center"/>
      <protection locked="0" hidden="0"/>
    </xf>
    <xf numFmtId="179" fontId="2" fillId="3" borderId="0" applyAlignment="1" pivotButton="0" quotePrefix="0" xfId="0">
      <alignment horizontal="left" vertical="center"/>
    </xf>
    <xf numFmtId="9" fontId="53" fillId="5" borderId="7" applyAlignment="1" applyProtection="1" pivotButton="0" quotePrefix="0" xfId="0">
      <alignment horizontal="center" vertical="center"/>
      <protection locked="0" hidden="0"/>
    </xf>
    <xf numFmtId="169" fontId="20" fillId="3" borderId="32" applyAlignment="1" pivotButton="0" quotePrefix="0" xfId="0">
      <alignment horizontal="left" vertical="center"/>
    </xf>
    <xf numFmtId="0" fontId="54" fillId="0" borderId="0" applyAlignment="1" applyProtection="1" pivotButton="0" quotePrefix="0" xfId="0">
      <alignment vertical="center"/>
      <protection locked="0" hidden="0"/>
    </xf>
    <xf numFmtId="0" fontId="20" fillId="0" borderId="7" applyAlignment="1" applyProtection="1" pivotButton="0" quotePrefix="0" xfId="0">
      <alignment horizontal="left" vertical="center"/>
      <protection locked="0" hidden="0"/>
    </xf>
    <xf numFmtId="0" fontId="25" fillId="0" borderId="0" applyAlignment="1" applyProtection="1" pivotButton="0" quotePrefix="0" xfId="0">
      <alignment vertical="center"/>
      <protection locked="0" hidden="0"/>
    </xf>
    <xf numFmtId="0" fontId="2" fillId="3" borderId="7" applyAlignment="1" pivotButton="0" quotePrefix="0" xfId="0">
      <alignment horizontal="center" vertical="center"/>
    </xf>
    <xf numFmtId="0" fontId="39" fillId="0" borderId="0" applyAlignment="1" applyProtection="1" pivotButton="0" quotePrefix="0" xfId="0">
      <alignment vertical="center"/>
      <protection locked="0" hidden="0"/>
    </xf>
    <xf numFmtId="0" fontId="2" fillId="3" borderId="7" applyAlignment="1" pivotButton="0" quotePrefix="0" xfId="3">
      <alignment horizontal="left" vertical="center"/>
    </xf>
    <xf numFmtId="168" fontId="32" fillId="5" borderId="41" applyAlignment="1" applyProtection="1" pivotButton="0" quotePrefix="0" xfId="3">
      <alignment horizontal="center" vertical="center"/>
      <protection locked="0" hidden="0"/>
    </xf>
    <xf numFmtId="0" fontId="2" fillId="0" borderId="13" applyAlignment="1" pivotButton="0" quotePrefix="0" xfId="3">
      <alignment horizontal="center" vertical="center"/>
    </xf>
    <xf numFmtId="169" fontId="2" fillId="0" borderId="7" applyAlignment="1" pivotButton="0" quotePrefix="0" xfId="3">
      <alignment horizontal="center" vertical="center"/>
    </xf>
    <xf numFmtId="169" fontId="2" fillId="0" borderId="13" applyAlignment="1" pivotButton="0" quotePrefix="0" xfId="3">
      <alignment horizontal="center" vertical="center"/>
    </xf>
    <xf numFmtId="178" fontId="2" fillId="0" borderId="14" applyAlignment="1" pivotButton="0" quotePrefix="0" xfId="3">
      <alignment horizontal="center" vertical="center"/>
    </xf>
    <xf numFmtId="179" fontId="2" fillId="0" borderId="0" applyAlignment="1" applyProtection="1" pivotButton="0" quotePrefix="0" xfId="5">
      <alignment horizontal="left" vertical="center"/>
      <protection locked="0" hidden="0"/>
    </xf>
    <xf numFmtId="168" fontId="20" fillId="0" borderId="0" applyAlignment="1" applyProtection="1" pivotButton="0" quotePrefix="0" xfId="0">
      <alignment vertical="center"/>
      <protection locked="0" hidden="0"/>
    </xf>
    <xf numFmtId="172" fontId="2" fillId="0" borderId="0" applyAlignment="1" applyProtection="1" pivotButton="0" quotePrefix="0" xfId="0">
      <alignment vertical="center"/>
      <protection locked="0" hidden="0"/>
    </xf>
    <xf numFmtId="0" fontId="9" fillId="0" borderId="0" applyAlignment="1" pivotButton="0" quotePrefix="0" xfId="0">
      <alignment vertical="center"/>
    </xf>
    <xf numFmtId="168" fontId="9" fillId="0" borderId="0" applyAlignment="1" applyProtection="1" pivotButton="0" quotePrefix="0" xfId="3">
      <alignment vertical="center"/>
      <protection locked="0" hidden="0"/>
    </xf>
    <xf numFmtId="0" fontId="26" fillId="3" borderId="0" applyAlignment="1" pivotButton="0" quotePrefix="0" xfId="4">
      <alignment horizontal="right" vertical="center"/>
    </xf>
    <xf numFmtId="168" fontId="38" fillId="5" borderId="14" applyAlignment="1" applyProtection="1" pivotButton="0" quotePrefix="0" xfId="0">
      <alignment horizontal="center" vertical="center"/>
      <protection locked="0" hidden="0"/>
    </xf>
    <xf numFmtId="168" fontId="38" fillId="5" borderId="9" applyAlignment="1" applyProtection="1" pivotButton="0" quotePrefix="0" xfId="0">
      <alignment horizontal="center" vertical="center"/>
      <protection locked="0" hidden="0"/>
    </xf>
    <xf numFmtId="0" fontId="2" fillId="0" borderId="7" applyAlignment="1" pivotButton="0" quotePrefix="0" xfId="0">
      <alignment vertical="center" wrapText="1"/>
    </xf>
    <xf numFmtId="2" fontId="20" fillId="0" borderId="7" applyAlignment="1" applyProtection="1" pivotButton="0" quotePrefix="1" xfId="0">
      <alignment horizontal="center" vertical="center"/>
      <protection locked="0" hidden="0"/>
    </xf>
    <xf numFmtId="0" fontId="9" fillId="3" borderId="7" applyAlignment="1" pivotButton="0" quotePrefix="0" xfId="0">
      <alignment horizontal="center"/>
    </xf>
    <xf numFmtId="168" fontId="9" fillId="3" borderId="7" applyAlignment="1" pivotButton="0" quotePrefix="0" xfId="0">
      <alignment horizontal="center"/>
    </xf>
    <xf numFmtId="168" fontId="20" fillId="3" borderId="7" applyAlignment="1" applyProtection="1" pivotButton="0" quotePrefix="0" xfId="4">
      <alignment horizontal="center" vertical="center"/>
      <protection locked="1" hidden="1"/>
    </xf>
    <xf numFmtId="178" fontId="20" fillId="0" borderId="7" applyAlignment="1" applyProtection="1" pivotButton="0" quotePrefix="0" xfId="4">
      <alignment horizontal="center" vertical="center" wrapText="1"/>
      <protection locked="1" hidden="1"/>
    </xf>
    <xf numFmtId="173" fontId="20" fillId="3" borderId="7" applyAlignment="1" pivotButton="0" quotePrefix="0" xfId="0">
      <alignment horizontal="center" vertical="center"/>
    </xf>
    <xf numFmtId="180" fontId="40" fillId="6" borderId="0" pivotButton="0" quotePrefix="0" xfId="0"/>
    <xf numFmtId="2" fontId="9" fillId="5" borderId="7" applyAlignment="1" pivotButton="0" quotePrefix="0" xfId="0">
      <alignment horizontal="center"/>
    </xf>
    <xf numFmtId="178" fontId="9" fillId="5" borderId="7" applyAlignment="1" pivotButton="0" quotePrefix="0" xfId="0">
      <alignment horizontal="center"/>
    </xf>
    <xf numFmtId="2" fontId="20" fillId="3" borderId="0" applyAlignment="1" pivotButton="0" quotePrefix="0" xfId="0">
      <alignment vertical="center"/>
    </xf>
    <xf numFmtId="2" fontId="20" fillId="3" borderId="0" applyAlignment="1" applyProtection="1" pivotButton="0" quotePrefix="0" xfId="0">
      <alignment vertical="center"/>
      <protection locked="1" hidden="1"/>
    </xf>
    <xf numFmtId="0" fontId="20" fillId="3" borderId="0" pivotButton="0" quotePrefix="0" xfId="0"/>
    <xf numFmtId="2" fontId="20" fillId="3" borderId="0" applyAlignment="1" pivotButton="0" quotePrefix="0" xfId="0">
      <alignment horizontal="center" vertical="center"/>
    </xf>
    <xf numFmtId="2" fontId="20" fillId="3" borderId="0" applyAlignment="1" applyProtection="1" pivotButton="0" quotePrefix="0" xfId="0">
      <alignment horizontal="center" vertical="center"/>
      <protection locked="1" hidden="1"/>
    </xf>
    <xf numFmtId="11" fontId="20" fillId="5" borderId="7" applyAlignment="1" applyProtection="1" pivotButton="0" quotePrefix="0" xfId="4">
      <alignment horizontal="center" vertical="center"/>
      <protection locked="1" hidden="1"/>
    </xf>
    <xf numFmtId="178" fontId="20" fillId="5" borderId="7" applyAlignment="1" applyProtection="1" pivotButton="0" quotePrefix="0" xfId="4">
      <alignment horizontal="center" vertical="center" wrapText="1"/>
      <protection locked="1" hidden="1"/>
    </xf>
    <xf numFmtId="0" fontId="9" fillId="3" borderId="7" applyAlignment="1" pivotButton="0" quotePrefix="0" xfId="3">
      <alignment horizontal="center" vertical="center" wrapText="1"/>
    </xf>
    <xf numFmtId="0" fontId="9" fillId="5" borderId="7" applyAlignment="1" pivotButton="0" quotePrefix="0" xfId="0">
      <alignment horizontal="center" vertical="center"/>
    </xf>
    <xf numFmtId="0" fontId="9" fillId="5" borderId="7" applyAlignment="1" pivotButton="0" quotePrefix="0" xfId="0">
      <alignment horizontal="center" vertical="center" wrapText="1"/>
    </xf>
    <xf numFmtId="0" fontId="19" fillId="3" borderId="7" applyAlignment="1" pivotButton="0" quotePrefix="0" xfId="0">
      <alignment vertical="center" wrapText="1"/>
    </xf>
    <xf numFmtId="2" fontId="20" fillId="3" borderId="7" applyAlignment="1" applyProtection="1" pivotButton="0" quotePrefix="1" xfId="3">
      <alignment horizontal="center" vertical="center"/>
      <protection locked="0" hidden="0"/>
    </xf>
    <xf numFmtId="0" fontId="19" fillId="5" borderId="7" applyAlignment="1" pivotButton="0" quotePrefix="0" xfId="0">
      <alignment vertical="center" wrapText="1"/>
    </xf>
    <xf numFmtId="2" fontId="19" fillId="3" borderId="7" applyAlignment="1" pivotButton="0" quotePrefix="0" xfId="0">
      <alignment horizontal="center" vertical="center"/>
    </xf>
    <xf numFmtId="2" fontId="19" fillId="3" borderId="7" applyAlignment="1" applyProtection="1" pivotButton="0" quotePrefix="0" xfId="0">
      <alignment vertical="center"/>
      <protection locked="1" hidden="1"/>
    </xf>
    <xf numFmtId="2" fontId="19" fillId="3" borderId="7" applyAlignment="1" applyProtection="1" pivotButton="0" quotePrefix="0" xfId="0">
      <alignment horizontal="center" vertical="center"/>
      <protection locked="1" hidden="1"/>
    </xf>
    <xf numFmtId="169" fontId="2" fillId="3" borderId="7" applyAlignment="1" pivotButton="0" quotePrefix="0" xfId="0">
      <alignment horizontal="left" vertical="center"/>
    </xf>
    <xf numFmtId="169" fontId="12" fillId="5" borderId="7" applyAlignment="1" pivotButton="0" quotePrefix="0" xfId="0">
      <alignment horizontal="left" vertical="center"/>
    </xf>
    <xf numFmtId="0" fontId="2" fillId="3" borderId="7" applyAlignment="1" pivotButton="0" quotePrefix="0" xfId="4">
      <alignment vertical="center" wrapText="1"/>
    </xf>
    <xf numFmtId="178" fontId="0" fillId="0" borderId="7" applyAlignment="1" pivotButton="0" quotePrefix="0" xfId="0">
      <alignment horizontal="center" vertical="center"/>
    </xf>
    <xf numFmtId="0" fontId="18" fillId="3" borderId="7" applyAlignment="1" pivotButton="0" quotePrefix="0" xfId="0">
      <alignment horizontal="left" vertical="center"/>
    </xf>
    <xf numFmtId="169" fontId="2" fillId="5" borderId="7" applyAlignment="1" pivotButton="0" quotePrefix="0" xfId="0">
      <alignment horizontal="left" vertical="center"/>
    </xf>
    <xf numFmtId="0" fontId="2" fillId="5" borderId="7" applyAlignment="1" pivotButton="0" quotePrefix="0" xfId="3">
      <alignment vertical="center" wrapText="1"/>
    </xf>
    <xf numFmtId="169" fontId="52" fillId="5" borderId="7" applyAlignment="1" pivotButton="0" quotePrefix="0" xfId="0">
      <alignment horizontal="center" vertical="center"/>
    </xf>
    <xf numFmtId="0" fontId="20" fillId="5" borderId="7" applyAlignment="1" pivotButton="0" quotePrefix="0" xfId="3">
      <alignment horizontal="left" vertical="center" wrapText="1"/>
    </xf>
    <xf numFmtId="169" fontId="20" fillId="5" borderId="7" applyAlignment="1" applyProtection="1" pivotButton="0" quotePrefix="1" xfId="3">
      <alignment horizontal="center" vertical="center"/>
      <protection locked="0" hidden="0"/>
    </xf>
    <xf numFmtId="2" fontId="20" fillId="5" borderId="7" applyAlignment="1" applyProtection="1" pivotButton="0" quotePrefix="0" xfId="3">
      <alignment vertical="center"/>
      <protection locked="1" hidden="1"/>
    </xf>
    <xf numFmtId="169" fontId="20" fillId="5" borderId="7" applyAlignment="1" applyProtection="1" pivotButton="0" quotePrefix="0" xfId="3">
      <alignment horizontal="center" vertical="center"/>
      <protection locked="1" hidden="1"/>
    </xf>
    <xf numFmtId="178" fontId="20" fillId="5" borderId="7" applyAlignment="1" applyProtection="1" pivotButton="0" quotePrefix="1" xfId="3">
      <alignment horizontal="center" vertical="center" wrapText="1"/>
      <protection locked="1" hidden="1"/>
    </xf>
    <xf numFmtId="178" fontId="20" fillId="5" borderId="7" applyAlignment="1" pivotButton="0" quotePrefix="0" xfId="3">
      <alignment horizontal="center" vertical="center"/>
    </xf>
    <xf numFmtId="2" fontId="20" fillId="3" borderId="7" applyAlignment="1" pivotButton="0" quotePrefix="0" xfId="0">
      <alignment vertical="center"/>
    </xf>
    <xf numFmtId="2" fontId="20" fillId="3" borderId="7" applyAlignment="1" applyProtection="1" pivotButton="0" quotePrefix="0" xfId="0">
      <alignment horizontal="center" vertical="center"/>
      <protection locked="1" hidden="1"/>
    </xf>
    <xf numFmtId="0" fontId="20" fillId="0" borderId="7" applyAlignment="1" pivotButton="0" quotePrefix="0" xfId="3">
      <alignment horizontal="center" vertical="center" wrapText="1"/>
    </xf>
    <xf numFmtId="2" fontId="20" fillId="3" borderId="15" applyAlignment="1" pivotButton="0" quotePrefix="0" xfId="3">
      <alignment vertical="center"/>
    </xf>
    <xf numFmtId="0" fontId="40" fillId="6" borderId="0" applyAlignment="1" pivotButton="0" quotePrefix="0" xfId="0">
      <alignment horizontal="center" vertical="center"/>
    </xf>
    <xf numFmtId="181" fontId="40" fillId="6" borderId="0" applyAlignment="1" pivotButton="0" quotePrefix="0" xfId="0">
      <alignment horizontal="center" vertical="center"/>
    </xf>
    <xf numFmtId="14" fontId="40" fillId="6" borderId="0" applyAlignment="1" pivotButton="0" quotePrefix="0" xfId="0">
      <alignment horizontal="center" vertical="center"/>
    </xf>
    <xf numFmtId="0" fontId="42" fillId="6" borderId="3" pivotButton="0" quotePrefix="0" xfId="0"/>
    <xf numFmtId="0" fontId="42" fillId="6" borderId="2" pivotButton="0" quotePrefix="0" xfId="0"/>
    <xf numFmtId="0" fontId="9" fillId="3" borderId="4" pivotButton="0" quotePrefix="0" xfId="0"/>
    <xf numFmtId="0" fontId="9" fillId="3" borderId="5" pivotButton="0" quotePrefix="0" xfId="0"/>
    <xf numFmtId="0" fontId="9" fillId="3" borderId="23" pivotButton="0" quotePrefix="0" xfId="0"/>
    <xf numFmtId="0" fontId="9" fillId="3" borderId="21" pivotButton="0" quotePrefix="0" xfId="0"/>
    <xf numFmtId="169" fontId="2" fillId="0" borderId="7" applyAlignment="1" applyProtection="1" pivotButton="0" quotePrefix="0" xfId="0">
      <alignment horizontal="center" vertical="center"/>
      <protection locked="0" hidden="0"/>
    </xf>
    <xf numFmtId="0" fontId="20" fillId="0" borderId="7" applyAlignment="1" applyProtection="1" pivotButton="0" quotePrefix="0" xfId="0">
      <alignment vertical="center"/>
      <protection locked="0" hidden="0"/>
    </xf>
    <xf numFmtId="168" fontId="20" fillId="3" borderId="7" applyAlignment="1" applyProtection="1" pivotButton="0" quotePrefix="0" xfId="0">
      <alignment horizontal="center" vertical="center"/>
      <protection locked="0" hidden="0"/>
    </xf>
    <xf numFmtId="0" fontId="28" fillId="3" borderId="0" pivotButton="0" quotePrefix="0" xfId="0"/>
    <xf numFmtId="0" fontId="42" fillId="3" borderId="0" pivotButton="0" quotePrefix="0" xfId="0"/>
    <xf numFmtId="15" fontId="9" fillId="3" borderId="7" applyAlignment="1" applyProtection="1" pivotButton="0" quotePrefix="0" xfId="0">
      <alignment horizontal="center"/>
      <protection locked="0" hidden="0"/>
    </xf>
    <xf numFmtId="0" fontId="2" fillId="3" borderId="7" applyAlignment="1" pivotButton="0" quotePrefix="0" xfId="0">
      <alignment vertical="center" wrapText="1"/>
    </xf>
    <xf numFmtId="0" fontId="48" fillId="3" borderId="7" applyAlignment="1" applyProtection="1" pivotButton="0" quotePrefix="0" xfId="0">
      <alignment horizontal="center" vertical="center"/>
      <protection locked="0" hidden="0"/>
    </xf>
    <xf numFmtId="178" fontId="9" fillId="3" borderId="7" applyAlignment="1" pivotButton="0" quotePrefix="0" xfId="0">
      <alignment horizontal="center" vertical="center"/>
    </xf>
    <xf numFmtId="178" fontId="48" fillId="3" borderId="7" applyAlignment="1" applyProtection="1" pivotButton="0" quotePrefix="0" xfId="0">
      <alignment horizontal="center" vertical="center"/>
      <protection locked="0" hidden="0"/>
    </xf>
    <xf numFmtId="1" fontId="9" fillId="3" borderId="0" applyAlignment="1" pivotButton="0" quotePrefix="0" xfId="4">
      <alignment horizontal="center" vertical="center"/>
    </xf>
    <xf numFmtId="2" fontId="9" fillId="3" borderId="0" applyAlignment="1" pivotButton="0" quotePrefix="0" xfId="4">
      <alignment horizontal="center" vertical="center"/>
    </xf>
    <xf numFmtId="0" fontId="55" fillId="3" borderId="0" pivotButton="0" quotePrefix="0" xfId="0"/>
    <xf numFmtId="0" fontId="9" fillId="3" borderId="0" pivotButton="0" quotePrefix="0" xfId="4"/>
    <xf numFmtId="0" fontId="9" fillId="3" borderId="7" applyAlignment="1" pivotButton="0" quotePrefix="0" xfId="0">
      <alignment horizontal="center" wrapText="1"/>
    </xf>
    <xf numFmtId="1" fontId="20" fillId="3" borderId="7" applyAlignment="1" pivotButton="0" quotePrefix="0" xfId="0">
      <alignment horizontal="center" vertical="center"/>
    </xf>
    <xf numFmtId="1" fontId="20" fillId="0" borderId="7" applyAlignment="1" pivotButton="0" quotePrefix="0" xfId="3">
      <alignment horizontal="center" vertical="center"/>
    </xf>
    <xf numFmtId="168" fontId="20" fillId="7" borderId="7" applyAlignment="1" applyProtection="1" pivotButton="0" quotePrefix="0" xfId="0">
      <alignment horizontal="center" vertical="center"/>
      <protection locked="0" hidden="0"/>
    </xf>
    <xf numFmtId="168" fontId="2" fillId="0" borderId="0" applyAlignment="1" applyProtection="1" pivotButton="0" quotePrefix="0" xfId="0">
      <alignment vertical="center"/>
      <protection locked="0" hidden="0"/>
    </xf>
    <xf numFmtId="0" fontId="56" fillId="0" borderId="7" applyAlignment="1" applyProtection="1" pivotButton="0" quotePrefix="0" xfId="0">
      <alignment horizontal="center" vertical="center"/>
      <protection locked="0" hidden="0"/>
    </xf>
    <xf numFmtId="0" fontId="19" fillId="3" borderId="8" applyAlignment="1" pivotButton="0" quotePrefix="0" xfId="0">
      <alignment vertical="center"/>
    </xf>
    <xf numFmtId="0" fontId="52" fillId="0" borderId="7" applyAlignment="1" applyProtection="1" pivotButton="0" quotePrefix="0" xfId="0">
      <alignment horizontal="center" vertical="center"/>
      <protection locked="0" hidden="0"/>
    </xf>
    <xf numFmtId="168" fontId="52" fillId="0" borderId="7" applyAlignment="1" applyProtection="1" pivotButton="0" quotePrefix="0" xfId="0">
      <alignment horizontal="center" vertical="center"/>
      <protection locked="0" hidden="0"/>
    </xf>
    <xf numFmtId="1" fontId="52" fillId="0" borderId="7" applyAlignment="1" applyProtection="1" pivotButton="0" quotePrefix="0" xfId="0">
      <alignment horizontal="center" vertical="center"/>
      <protection locked="0" hidden="0"/>
    </xf>
    <xf numFmtId="1" fontId="9" fillId="3" borderId="7" applyAlignment="1" pivotButton="0" quotePrefix="0" xfId="0">
      <alignment horizontal="center" vertical="center"/>
    </xf>
    <xf numFmtId="1" fontId="40" fillId="6" borderId="7" applyAlignment="1" pivotButton="0" quotePrefix="0" xfId="0">
      <alignment horizontal="center"/>
    </xf>
    <xf numFmtId="0" fontId="39" fillId="0" borderId="9" applyAlignment="1" applyProtection="1" pivotButton="0" quotePrefix="0" xfId="0">
      <alignment horizontal="center" vertical="center"/>
      <protection locked="0" hidden="0"/>
    </xf>
    <xf numFmtId="0" fontId="19" fillId="3" borderId="0" pivotButton="0" quotePrefix="0" xfId="0"/>
    <xf numFmtId="0" fontId="57" fillId="6" borderId="0" applyAlignment="1" pivotButton="0" quotePrefix="0" xfId="0">
      <alignment horizontal="center" vertical="center"/>
    </xf>
    <xf numFmtId="0" fontId="57" fillId="6" borderId="0" pivotButton="0" quotePrefix="0" xfId="0"/>
    <xf numFmtId="0" fontId="38" fillId="3" borderId="0" applyAlignment="1" pivotButton="0" quotePrefix="0" xfId="0">
      <alignment horizontal="center" vertical="center"/>
    </xf>
    <xf numFmtId="2" fontId="52" fillId="3" borderId="0" applyAlignment="1" pivotButton="0" quotePrefix="0" xfId="0">
      <alignment horizontal="center" vertical="center"/>
    </xf>
    <xf numFmtId="2" fontId="38" fillId="3" borderId="0" applyAlignment="1" pivotButton="0" quotePrefix="0" xfId="0">
      <alignment horizontal="center" vertical="center"/>
    </xf>
    <xf numFmtId="178" fontId="20" fillId="3" borderId="0" applyAlignment="1" pivotButton="0" quotePrefix="0" xfId="0">
      <alignment horizontal="center" vertical="center"/>
    </xf>
    <xf numFmtId="0" fontId="30" fillId="6" borderId="0" pivotButton="0" quotePrefix="0" xfId="0"/>
    <xf numFmtId="0" fontId="19" fillId="3" borderId="0" applyAlignment="1" pivotButton="0" quotePrefix="0" xfId="0">
      <alignment horizontal="left" vertical="center"/>
    </xf>
    <xf numFmtId="2" fontId="52" fillId="0" borderId="7" applyAlignment="1" applyProtection="1" pivotButton="0" quotePrefix="0" xfId="0">
      <alignment horizontal="center" vertical="center"/>
      <protection locked="0" hidden="0"/>
    </xf>
    <xf numFmtId="2" fontId="0" fillId="3" borderId="7" applyAlignment="1" pivotButton="0" quotePrefix="0" xfId="0">
      <alignment horizontal="center" vertical="center"/>
    </xf>
    <xf numFmtId="178" fontId="9" fillId="3" borderId="7" applyAlignment="1" pivotButton="0" quotePrefix="0" xfId="0">
      <alignment horizontal="center"/>
    </xf>
    <xf numFmtId="9" fontId="2" fillId="0" borderId="7" applyAlignment="1" applyProtection="1" pivotButton="0" quotePrefix="0" xfId="0">
      <alignment horizontal="center" vertical="center"/>
      <protection locked="0" hidden="0"/>
    </xf>
    <xf numFmtId="11" fontId="40" fillId="3" borderId="0" applyAlignment="1" pivotButton="0" quotePrefix="0" xfId="0">
      <alignment horizontal="center" vertical="center"/>
    </xf>
    <xf numFmtId="11" fontId="40" fillId="6" borderId="0" applyAlignment="1" pivotButton="0" quotePrefix="0" xfId="0">
      <alignment horizontal="center"/>
    </xf>
    <xf numFmtId="0" fontId="19" fillId="0" borderId="7" applyAlignment="1" applyProtection="1" pivotButton="0" quotePrefix="0" xfId="0">
      <alignment horizontal="center" vertical="center"/>
      <protection locked="0" hidden="0"/>
    </xf>
    <xf numFmtId="0" fontId="2" fillId="0" borderId="7" applyAlignment="1" pivotButton="0" quotePrefix="0" xfId="0">
      <alignment horizontal="center" vertical="center"/>
    </xf>
    <xf numFmtId="14" fontId="20" fillId="0" borderId="7" applyAlignment="1" applyProtection="1" pivotButton="0" quotePrefix="0" xfId="0">
      <alignment horizontal="center" vertical="center"/>
      <protection locked="0" hidden="0"/>
    </xf>
    <xf numFmtId="0" fontId="17" fillId="0" borderId="7" applyAlignment="1" applyProtection="1" pivotButton="0" quotePrefix="0" xfId="0">
      <alignment horizontal="center" vertical="center"/>
      <protection locked="0" hidden="0"/>
    </xf>
    <xf numFmtId="0" fontId="19" fillId="0" borderId="8" applyAlignment="1" applyProtection="1" pivotButton="0" quotePrefix="0" xfId="0">
      <alignment vertical="center"/>
      <protection locked="0" hidden="0"/>
    </xf>
    <xf numFmtId="0" fontId="19" fillId="0" borderId="9" applyAlignment="1" applyProtection="1" pivotButton="0" quotePrefix="0" xfId="0">
      <alignment vertical="center"/>
      <protection locked="0" hidden="0"/>
    </xf>
    <xf numFmtId="0" fontId="4" fillId="0" borderId="3" applyAlignment="1" applyProtection="1" pivotButton="0" quotePrefix="0" xfId="0">
      <alignment vertical="center"/>
      <protection locked="0" hidden="0"/>
    </xf>
    <xf numFmtId="0" fontId="4" fillId="0" borderId="1" applyAlignment="1" applyProtection="1" pivotButton="0" quotePrefix="0" xfId="0">
      <alignment vertical="center"/>
      <protection locked="0" hidden="0"/>
    </xf>
    <xf numFmtId="0" fontId="4" fillId="0" borderId="2" applyAlignment="1" applyProtection="1" pivotButton="0" quotePrefix="0" xfId="0">
      <alignment vertical="center"/>
      <protection locked="0" hidden="0"/>
    </xf>
    <xf numFmtId="0" fontId="4" fillId="0" borderId="5" applyAlignment="1" applyProtection="1" pivotButton="0" quotePrefix="0" xfId="0">
      <alignment vertical="center"/>
      <protection locked="0" hidden="0"/>
    </xf>
    <xf numFmtId="0" fontId="4" fillId="0" borderId="23" applyAlignment="1" applyProtection="1" pivotButton="0" quotePrefix="0" xfId="0">
      <alignment vertical="center"/>
      <protection locked="0" hidden="0"/>
    </xf>
    <xf numFmtId="0" fontId="4" fillId="0" borderId="10" applyAlignment="1" applyProtection="1" pivotButton="0" quotePrefix="0" xfId="0">
      <alignment vertical="center"/>
      <protection locked="0" hidden="0"/>
    </xf>
    <xf numFmtId="0" fontId="4" fillId="0" borderId="21" applyAlignment="1" applyProtection="1" pivotButton="0" quotePrefix="0" xfId="0">
      <alignment vertical="center"/>
      <protection locked="0" hidden="0"/>
    </xf>
    <xf numFmtId="0" fontId="40" fillId="6" borderId="8" applyAlignment="1" pivotButton="0" quotePrefix="0" xfId="0">
      <alignment horizontal="left" vertical="center"/>
    </xf>
    <xf numFmtId="0" fontId="0" fillId="3" borderId="11" applyAlignment="1" pivotButton="0" quotePrefix="0" xfId="0">
      <alignment horizontal="center" vertical="center"/>
    </xf>
    <xf numFmtId="0" fontId="9" fillId="3" borderId="11" pivotButton="0" quotePrefix="0" xfId="0"/>
    <xf numFmtId="0" fontId="9" fillId="3" borderId="9" pivotButton="0" quotePrefix="0" xfId="0"/>
    <xf numFmtId="0" fontId="40" fillId="6" borderId="79" applyAlignment="1" pivotButton="0" quotePrefix="0" xfId="0">
      <alignment horizontal="left" vertical="center"/>
    </xf>
    <xf numFmtId="0" fontId="42" fillId="6" borderId="0" applyAlignment="1" pivotButton="0" quotePrefix="0" xfId="0">
      <alignment vertical="center"/>
    </xf>
    <xf numFmtId="0" fontId="40" fillId="6" borderId="75" pivotButton="0" quotePrefix="0" xfId="0"/>
    <xf numFmtId="0" fontId="42" fillId="6" borderId="11" applyAlignment="1" pivotButton="0" quotePrefix="0" xfId="0">
      <alignment vertical="center"/>
    </xf>
    <xf numFmtId="0" fontId="40" fillId="6" borderId="11" pivotButton="0" quotePrefix="0" xfId="0"/>
    <xf numFmtId="0" fontId="40" fillId="6" borderId="9" pivotButton="0" quotePrefix="0" xfId="0"/>
    <xf numFmtId="0" fontId="1" fillId="6" borderId="0" pivotButton="0" quotePrefix="0" xfId="0"/>
    <xf numFmtId="0" fontId="1" fillId="3" borderId="0" pivotButton="0" quotePrefix="0" xfId="0"/>
    <xf numFmtId="0" fontId="60" fillId="3" borderId="0" pivotButton="0" quotePrefix="0" xfId="0"/>
    <xf numFmtId="15" fontId="1" fillId="3" borderId="7" applyAlignment="1" applyProtection="1" pivotButton="0" quotePrefix="0" xfId="0">
      <alignment horizontal="center"/>
      <protection locked="0" hidden="0"/>
    </xf>
    <xf numFmtId="17" fontId="1" fillId="3" borderId="0" applyAlignment="1" pivotButton="0" quotePrefix="0" xfId="0">
      <alignment horizontal="center"/>
    </xf>
    <xf numFmtId="0" fontId="61" fillId="3" borderId="0" pivotButton="0" quotePrefix="0" xfId="0"/>
    <xf numFmtId="0" fontId="1" fillId="3" borderId="7" applyAlignment="1" pivotButton="0" quotePrefix="0" xfId="0">
      <alignment horizontal="left" vertical="center" wrapText="1"/>
    </xf>
    <xf numFmtId="2" fontId="20" fillId="0" borderId="7" applyAlignment="1" applyProtection="1" pivotButton="0" quotePrefix="0" xfId="0">
      <alignment horizontal="center" vertical="center"/>
      <protection locked="0" hidden="0"/>
    </xf>
    <xf numFmtId="1" fontId="20" fillId="0" borderId="7" applyAlignment="1" applyProtection="1" pivotButton="0" quotePrefix="0" xfId="0">
      <alignment horizontal="center" vertical="center"/>
      <protection locked="0" hidden="0"/>
    </xf>
    <xf numFmtId="0" fontId="20" fillId="3" borderId="7" applyAlignment="1" applyProtection="1" pivotButton="0" quotePrefix="0" xfId="0">
      <alignment horizontal="center" vertical="center"/>
      <protection locked="0" hidden="0"/>
    </xf>
    <xf numFmtId="0" fontId="48" fillId="3" borderId="7" applyAlignment="1" applyProtection="1" pivotButton="0" quotePrefix="0" xfId="3">
      <alignment horizontal="center" vertical="center"/>
      <protection locked="0" hidden="0"/>
    </xf>
    <xf numFmtId="182" fontId="32" fillId="5" borderId="41" applyAlignment="1" applyProtection="1" pivotButton="0" quotePrefix="0" xfId="3">
      <alignment horizontal="center" vertical="center"/>
      <protection locked="0" hidden="0"/>
    </xf>
    <xf numFmtId="182" fontId="38" fillId="5" borderId="14" applyAlignment="1" applyProtection="1" pivotButton="0" quotePrefix="0" xfId="0">
      <alignment horizontal="center" vertical="center"/>
      <protection locked="0" hidden="0"/>
    </xf>
    <xf numFmtId="183" fontId="2" fillId="0" borderId="0" applyAlignment="1" applyProtection="1" pivotButton="0" quotePrefix="0" xfId="5">
      <alignment horizontal="left" vertical="center"/>
      <protection locked="0" hidden="0"/>
    </xf>
    <xf numFmtId="184" fontId="2" fillId="0" borderId="0" applyAlignment="1" applyProtection="1" pivotButton="0" quotePrefix="0" xfId="5">
      <alignment horizontal="left" vertical="center"/>
      <protection locked="0" hidden="0"/>
    </xf>
    <xf numFmtId="183" fontId="2" fillId="3" borderId="0" applyAlignment="1" pivotButton="0" quotePrefix="0" xfId="0">
      <alignment horizontal="left" vertical="center"/>
    </xf>
    <xf numFmtId="0" fontId="18" fillId="3" borderId="0" applyAlignment="1" pivotButton="0" quotePrefix="0" xfId="0">
      <alignment horizontal="center" vertical="center"/>
    </xf>
    <xf numFmtId="0" fontId="17" fillId="3" borderId="3" applyAlignment="1" pivotButton="0" quotePrefix="0" xfId="0">
      <alignment vertical="center"/>
    </xf>
    <xf numFmtId="0" fontId="17" fillId="3" borderId="1" applyAlignment="1" pivotButton="0" quotePrefix="0" xfId="0">
      <alignment vertical="center"/>
    </xf>
    <xf numFmtId="0" fontId="17" fillId="3" borderId="2" applyAlignment="1" pivotButton="0" quotePrefix="0" xfId="0">
      <alignment vertical="center"/>
    </xf>
    <xf numFmtId="0" fontId="17" fillId="3" borderId="4" applyAlignment="1" pivotButton="0" quotePrefix="0" xfId="0">
      <alignment vertical="center"/>
    </xf>
    <xf numFmtId="0" fontId="17" fillId="3" borderId="5" applyAlignment="1" pivotButton="0" quotePrefix="0" xfId="0">
      <alignment vertical="center"/>
    </xf>
    <xf numFmtId="0" fontId="17" fillId="3" borderId="23" applyAlignment="1" pivotButton="0" quotePrefix="0" xfId="0">
      <alignment vertical="center"/>
    </xf>
    <xf numFmtId="0" fontId="17" fillId="3" borderId="10" applyAlignment="1" pivotButton="0" quotePrefix="0" xfId="0">
      <alignment vertical="center"/>
    </xf>
    <xf numFmtId="0" fontId="17" fillId="3" borderId="21" applyAlignment="1" pivotButton="0" quotePrefix="0" xfId="0">
      <alignment vertical="center"/>
    </xf>
    <xf numFmtId="0" fontId="20" fillId="3" borderId="42" applyAlignment="1" pivotButton="0" quotePrefix="0" xfId="0">
      <alignment horizontal="center" vertical="center"/>
    </xf>
    <xf numFmtId="0" fontId="20" fillId="3" borderId="0" applyProtection="1" pivotButton="0" quotePrefix="0" xfId="0">
      <protection locked="1" hidden="1"/>
    </xf>
    <xf numFmtId="0" fontId="38" fillId="3" borderId="0" applyAlignment="1" pivotButton="0" quotePrefix="0" xfId="0">
      <alignment vertical="center"/>
    </xf>
    <xf numFmtId="168" fontId="20" fillId="3" borderId="0" applyAlignment="1" pivotButton="0" quotePrefix="0" xfId="0">
      <alignment horizontal="left" vertical="center"/>
    </xf>
    <xf numFmtId="0" fontId="2" fillId="3" borderId="4" applyAlignment="1" pivotButton="0" quotePrefix="0" xfId="3">
      <alignment horizontal="left" vertical="center"/>
    </xf>
    <xf numFmtId="0" fontId="20" fillId="3" borderId="0" applyAlignment="1" pivotButton="0" quotePrefix="0" xfId="3">
      <alignment horizontal="left" vertical="center" wrapText="1"/>
    </xf>
    <xf numFmtId="0" fontId="20" fillId="3" borderId="0" applyAlignment="1" pivotButton="0" quotePrefix="0" xfId="3">
      <alignment horizontal="center" vertical="center" wrapText="1"/>
    </xf>
    <xf numFmtId="0" fontId="19" fillId="3" borderId="7" applyAlignment="1" pivotButton="0" quotePrefix="1" xfId="0">
      <alignment horizontal="center" vertical="center"/>
    </xf>
    <xf numFmtId="0" fontId="20" fillId="3" borderId="8" applyAlignment="1" pivotButton="0" quotePrefix="0" xfId="0">
      <alignment horizontal="center" vertical="center"/>
    </xf>
    <xf numFmtId="20" fontId="20" fillId="3" borderId="7" applyAlignment="1" pivotButton="0" quotePrefix="1" xfId="0">
      <alignment horizontal="center" vertical="center"/>
    </xf>
    <xf numFmtId="169" fontId="20" fillId="3" borderId="7" applyAlignment="1" pivotButton="0" quotePrefix="0" xfId="0">
      <alignment horizontal="center" vertical="center"/>
    </xf>
    <xf numFmtId="20" fontId="19" fillId="3" borderId="7" applyAlignment="1" pivotButton="0" quotePrefix="1" xfId="0">
      <alignment horizontal="center" vertical="center"/>
    </xf>
    <xf numFmtId="0" fontId="20" fillId="3" borderId="0" applyAlignment="1" applyProtection="1" pivotButton="0" quotePrefix="0" xfId="0">
      <alignment vertical="center"/>
      <protection locked="1" hidden="1"/>
    </xf>
    <xf numFmtId="185" fontId="11" fillId="3" borderId="0" applyAlignment="1" applyProtection="1" pivotButton="0" quotePrefix="0" xfId="0">
      <alignment horizontal="center" vertical="center"/>
      <protection locked="1" hidden="1"/>
    </xf>
    <xf numFmtId="0" fontId="19" fillId="3" borderId="0" applyAlignment="1" pivotButton="0" quotePrefix="0" xfId="5">
      <alignment vertical="center"/>
    </xf>
    <xf numFmtId="0" fontId="19" fillId="3" borderId="0" applyAlignment="1" pivotButton="0" quotePrefix="0" xfId="5">
      <alignment horizontal="center" vertical="center"/>
    </xf>
    <xf numFmtId="0" fontId="20" fillId="3" borderId="0" applyAlignment="1" pivotButton="0" quotePrefix="0" xfId="0">
      <alignment horizontal="left" vertical="center" wrapText="1"/>
    </xf>
    <xf numFmtId="17" fontId="20" fillId="3" borderId="0" applyAlignment="1" pivotButton="0" quotePrefix="0" xfId="0">
      <alignment vertical="center"/>
    </xf>
    <xf numFmtId="0" fontId="19" fillId="3" borderId="3" applyAlignment="1" pivotButton="0" quotePrefix="0" xfId="5">
      <alignment vertical="center"/>
    </xf>
    <xf numFmtId="0" fontId="19" fillId="3" borderId="1" applyAlignment="1" pivotButton="0" quotePrefix="0" xfId="5">
      <alignment horizontal="center" vertical="center"/>
    </xf>
    <xf numFmtId="0" fontId="20" fillId="3" borderId="1" applyAlignment="1" pivotButton="0" quotePrefix="0" xfId="0">
      <alignment horizontal="left" vertical="center" wrapText="1"/>
    </xf>
    <xf numFmtId="17" fontId="20" fillId="3" borderId="1" applyAlignment="1" pivotButton="0" quotePrefix="0" xfId="0">
      <alignment vertical="center"/>
    </xf>
    <xf numFmtId="0" fontId="20" fillId="3" borderId="1" applyProtection="1" pivotButton="0" quotePrefix="0" xfId="0">
      <protection locked="1" hidden="1"/>
    </xf>
    <xf numFmtId="0" fontId="20" fillId="3" borderId="2" applyProtection="1" pivotButton="0" quotePrefix="0" xfId="0">
      <protection locked="1" hidden="1"/>
    </xf>
    <xf numFmtId="0" fontId="20" fillId="3" borderId="4" applyAlignment="1" pivotButton="0" quotePrefix="0" xfId="0">
      <alignment horizontal="left" vertical="center"/>
    </xf>
    <xf numFmtId="0" fontId="20" fillId="3" borderId="0" applyAlignment="1" applyProtection="1" pivotButton="0" quotePrefix="0" xfId="0">
      <alignment horizontal="left" vertical="center"/>
      <protection locked="1" hidden="1"/>
    </xf>
    <xf numFmtId="169" fontId="20" fillId="3" borderId="0" applyAlignment="1" pivotButton="0" quotePrefix="0" xfId="0">
      <alignment vertical="center"/>
    </xf>
    <xf numFmtId="0" fontId="20" fillId="3" borderId="4" applyAlignment="1" pivotButton="0" quotePrefix="0" xfId="0">
      <alignment horizontal="right" vertical="center"/>
    </xf>
    <xf numFmtId="0" fontId="20" fillId="3" borderId="0" applyAlignment="1" applyProtection="1" pivotButton="0" quotePrefix="0" xfId="0">
      <alignment horizontal="right" vertical="center"/>
      <protection locked="1" hidden="1"/>
    </xf>
    <xf numFmtId="0" fontId="20" fillId="3" borderId="23" applyAlignment="1" pivotButton="0" quotePrefix="0" xfId="0">
      <alignment horizontal="left" vertical="center"/>
    </xf>
    <xf numFmtId="0" fontId="20" fillId="3" borderId="10" applyAlignment="1" pivotButton="0" quotePrefix="0" xfId="0">
      <alignment vertical="center"/>
    </xf>
    <xf numFmtId="0" fontId="20" fillId="3" borderId="10" applyAlignment="1" pivotButton="0" quotePrefix="0" xfId="0">
      <alignment horizontal="center" vertical="center"/>
    </xf>
    <xf numFmtId="0" fontId="20" fillId="3" borderId="0" applyAlignment="1" pivotButton="0" quotePrefix="0" xfId="3">
      <alignment horizontal="center" vertical="center"/>
    </xf>
    <xf numFmtId="0" fontId="20" fillId="3" borderId="5" applyAlignment="1" pivotButton="0" quotePrefix="0" xfId="3">
      <alignment horizontal="center" vertical="center"/>
    </xf>
    <xf numFmtId="0" fontId="19" fillId="3" borderId="4" applyAlignment="1" pivotButton="0" quotePrefix="0" xfId="0">
      <alignment horizontal="left" vertical="center"/>
    </xf>
    <xf numFmtId="168" fontId="20" fillId="3" borderId="0" applyAlignment="1" pivotButton="0" quotePrefix="0" xfId="0">
      <alignment vertical="center"/>
    </xf>
    <xf numFmtId="0" fontId="20" fillId="3" borderId="54" applyAlignment="1" pivotButton="0" quotePrefix="0" xfId="0">
      <alignment horizontal="center" vertical="center"/>
    </xf>
    <xf numFmtId="0" fontId="20" fillId="3" borderId="4" applyAlignment="1" pivotButton="0" quotePrefix="0" xfId="0">
      <alignment horizontal="center" vertical="center"/>
    </xf>
    <xf numFmtId="0" fontId="20" fillId="3" borderId="80" applyAlignment="1" pivotButton="0" quotePrefix="0" xfId="0">
      <alignment horizontal="center" vertical="center"/>
    </xf>
    <xf numFmtId="0" fontId="20" fillId="3" borderId="7" applyAlignment="1" applyProtection="1" pivotButton="0" quotePrefix="0" xfId="0">
      <alignment horizontal="center" vertical="center"/>
      <protection locked="1" hidden="1"/>
    </xf>
    <xf numFmtId="0" fontId="20" fillId="3" borderId="8" applyAlignment="1" applyProtection="1" pivotButton="0" quotePrefix="0" xfId="0">
      <alignment horizontal="center" vertical="center"/>
      <protection locked="0" hidden="0"/>
    </xf>
    <xf numFmtId="0" fontId="19" fillId="3" borderId="0" applyProtection="1" pivotButton="0" quotePrefix="0" xfId="0">
      <protection locked="1" hidden="1"/>
    </xf>
    <xf numFmtId="0" fontId="20" fillId="3" borderId="7" applyAlignment="1" pivotButton="0" quotePrefix="1" xfId="0">
      <alignment horizontal="center" vertical="center"/>
    </xf>
    <xf numFmtId="0" fontId="20" fillId="3" borderId="7" applyProtection="1" pivotButton="0" quotePrefix="0" xfId="0">
      <protection locked="1" hidden="1"/>
    </xf>
    <xf numFmtId="1" fontId="38" fillId="3" borderId="4" applyAlignment="1" pivotButton="0" quotePrefix="0" xfId="0">
      <alignment horizontal="center" vertical="center"/>
    </xf>
    <xf numFmtId="0" fontId="2" fillId="3" borderId="8" applyAlignment="1" applyProtection="1" pivotButton="0" quotePrefix="0" xfId="0">
      <alignment horizontal="left" vertical="center" indent="1"/>
      <protection locked="1" hidden="1"/>
    </xf>
    <xf numFmtId="0" fontId="2" fillId="3" borderId="11" applyAlignment="1" applyProtection="1" pivotButton="0" quotePrefix="0" xfId="0">
      <alignment horizontal="left" vertical="center" indent="1"/>
      <protection locked="1" hidden="1"/>
    </xf>
    <xf numFmtId="0" fontId="2" fillId="3" borderId="9" applyAlignment="1" applyProtection="1" pivotButton="0" quotePrefix="0" xfId="0">
      <alignment horizontal="left" vertical="center" indent="1"/>
      <protection locked="1" hidden="1"/>
    </xf>
    <xf numFmtId="1" fontId="63" fillId="3" borderId="4" applyAlignment="1" pivotButton="0" quotePrefix="0" xfId="0">
      <alignment horizontal="center" vertical="center"/>
    </xf>
    <xf numFmtId="0" fontId="63" fillId="3" borderId="4" applyAlignment="1" pivotButton="0" quotePrefix="0" xfId="0">
      <alignment horizontal="center" vertical="center"/>
    </xf>
    <xf numFmtId="0" fontId="19" fillId="3" borderId="10" applyAlignment="1" pivotButton="0" quotePrefix="0" xfId="0">
      <alignment vertical="center"/>
    </xf>
    <xf numFmtId="168" fontId="20" fillId="3" borderId="10" applyAlignment="1" pivotButton="0" quotePrefix="0" xfId="0">
      <alignment vertical="center"/>
    </xf>
    <xf numFmtId="0" fontId="20" fillId="3" borderId="8" applyAlignment="1" pivotButton="0" quotePrefix="0" xfId="0">
      <alignment vertical="center"/>
    </xf>
    <xf numFmtId="0" fontId="20" fillId="3" borderId="11" applyAlignment="1" pivotButton="0" quotePrefix="0" xfId="0">
      <alignment vertical="center"/>
    </xf>
    <xf numFmtId="0" fontId="19" fillId="3" borderId="9" applyAlignment="1" pivotButton="0" quotePrefix="0" xfId="0">
      <alignment vertical="center"/>
    </xf>
    <xf numFmtId="0" fontId="20" fillId="3" borderId="21" applyAlignment="1" pivotButton="0" quotePrefix="0" xfId="0">
      <alignment vertical="center"/>
    </xf>
    <xf numFmtId="0" fontId="19" fillId="3" borderId="3" applyAlignment="1" applyProtection="1" pivotButton="0" quotePrefix="0" xfId="0">
      <alignment horizontal="left" vertical="center"/>
      <protection locked="1" hidden="1"/>
    </xf>
    <xf numFmtId="0" fontId="19" fillId="3" borderId="1" applyAlignment="1" pivotButton="0" quotePrefix="0" xfId="0">
      <alignment vertical="center"/>
    </xf>
    <xf numFmtId="168" fontId="20" fillId="3" borderId="1" applyAlignment="1" pivotButton="0" quotePrefix="0" xfId="0">
      <alignment vertical="center"/>
    </xf>
    <xf numFmtId="0" fontId="20" fillId="3" borderId="23" applyAlignment="1" applyProtection="1" pivotButton="0" quotePrefix="0" xfId="0">
      <alignment horizontal="left" vertical="center" indent="2"/>
      <protection locked="1" hidden="1"/>
    </xf>
    <xf numFmtId="0" fontId="19" fillId="3" borderId="0" applyAlignment="1" applyProtection="1" pivotButton="0" quotePrefix="0" xfId="0">
      <alignment vertical="center"/>
      <protection locked="1" hidden="1"/>
    </xf>
    <xf numFmtId="0" fontId="17" fillId="3" borderId="0" applyAlignment="1" pivotButton="0" quotePrefix="0" xfId="3">
      <alignment horizontal="left"/>
    </xf>
    <xf numFmtId="0" fontId="17" fillId="3" borderId="0" pivotButton="0" quotePrefix="0" xfId="3"/>
    <xf numFmtId="179" fontId="9" fillId="3" borderId="0" applyAlignment="1" pivotButton="0" quotePrefix="0" xfId="3">
      <alignment horizontal="center" vertical="center"/>
    </xf>
    <xf numFmtId="0" fontId="40" fillId="3" borderId="7" applyAlignment="1" pivotButton="0" quotePrefix="0" xfId="11">
      <alignment horizontal="center" vertical="center"/>
    </xf>
    <xf numFmtId="181" fontId="40" fillId="3" borderId="7" applyAlignment="1" pivotButton="0" quotePrefix="1" xfId="11">
      <alignment horizontal="center" vertical="center"/>
    </xf>
    <xf numFmtId="179" fontId="40" fillId="3" borderId="7" applyAlignment="1" pivotButton="0" quotePrefix="0" xfId="11">
      <alignment horizontal="center" vertical="center"/>
    </xf>
    <xf numFmtId="0" fontId="49" fillId="0" borderId="0" applyAlignment="1" pivotButton="0" quotePrefix="0" xfId="0">
      <alignment horizontal="center" vertical="center"/>
    </xf>
    <xf numFmtId="0" fontId="17" fillId="3" borderId="0" applyAlignment="1" pivotButton="0" quotePrefix="0" xfId="3">
      <alignment horizontal="center" vertical="center"/>
    </xf>
    <xf numFmtId="0" fontId="17" fillId="3" borderId="0" applyAlignment="1" pivotButton="0" quotePrefix="0" xfId="0">
      <alignment horizontal="right"/>
    </xf>
    <xf numFmtId="0" fontId="1" fillId="3" borderId="54" applyAlignment="1" pivotButton="0" quotePrefix="0" xfId="0">
      <alignment horizontal="left" indent="1"/>
    </xf>
    <xf numFmtId="0" fontId="1" fillId="3" borderId="80" applyAlignment="1" pivotButton="0" quotePrefix="0" xfId="0">
      <alignment horizontal="left" indent="1"/>
    </xf>
    <xf numFmtId="0" fontId="0" fillId="3" borderId="80" applyAlignment="1" pivotButton="0" quotePrefix="0" xfId="0">
      <alignment horizontal="left" indent="1"/>
    </xf>
    <xf numFmtId="16" fontId="0" fillId="3" borderId="80" applyAlignment="1" pivotButton="0" quotePrefix="0" xfId="0">
      <alignment horizontal="left" indent="1"/>
    </xf>
    <xf numFmtId="0" fontId="2" fillId="3" borderId="80" applyAlignment="1" pivotButton="0" quotePrefix="0" xfId="5">
      <alignment horizontal="left" vertical="center" indent="1"/>
    </xf>
    <xf numFmtId="0" fontId="2" fillId="3" borderId="42" applyAlignment="1" pivotButton="0" quotePrefix="0" xfId="5">
      <alignment horizontal="left" vertical="center" indent="1"/>
    </xf>
    <xf numFmtId="0" fontId="12" fillId="0" borderId="0" applyAlignment="1" pivotButton="0" quotePrefix="0" xfId="5">
      <alignment horizontal="right" vertical="center" wrapText="1"/>
    </xf>
    <xf numFmtId="0" fontId="20" fillId="3" borderId="7" applyAlignment="1" pivotButton="0" quotePrefix="0" xfId="3">
      <alignment horizontal="center" vertical="center"/>
    </xf>
    <xf numFmtId="0" fontId="0" fillId="0" borderId="11" pivotButton="0" quotePrefix="0" xfId="0"/>
    <xf numFmtId="0" fontId="0" fillId="0" borderId="9" pivotButton="0" quotePrefix="0" xfId="0"/>
    <xf numFmtId="0" fontId="19" fillId="3" borderId="7" applyAlignment="1" pivotButton="0" quotePrefix="0" xfId="3">
      <alignment horizontal="center" vertical="center"/>
    </xf>
    <xf numFmtId="168" fontId="20" fillId="3" borderId="7" applyAlignment="1" pivotButton="0" quotePrefix="0" xfId="0">
      <alignment horizontal="center" vertical="center"/>
    </xf>
    <xf numFmtId="49" fontId="20" fillId="3" borderId="7" applyAlignment="1" pivotButton="0" quotePrefix="0" xfId="3">
      <alignment horizontal="center" vertical="center"/>
    </xf>
    <xf numFmtId="0" fontId="20" fillId="3" borderId="7" applyAlignment="1" pivotButton="0" quotePrefix="0" xfId="3">
      <alignment horizontal="center" vertical="center" wrapText="1"/>
    </xf>
    <xf numFmtId="0" fontId="20" fillId="3" borderId="7" applyAlignment="1" pivotButton="0" quotePrefix="0" xfId="3">
      <alignment horizontal="left" vertical="center"/>
    </xf>
    <xf numFmtId="0" fontId="20" fillId="3" borderId="7" applyAlignment="1" pivotButton="0" quotePrefix="0" xfId="0">
      <alignment horizontal="center" vertical="center"/>
    </xf>
    <xf numFmtId="0" fontId="20" fillId="3" borderId="7" applyAlignment="1" applyProtection="1" pivotButton="0" quotePrefix="0" xfId="0">
      <alignment horizontal="center" vertical="center"/>
      <protection locked="1" hidden="1"/>
    </xf>
    <xf numFmtId="0" fontId="0" fillId="0" borderId="11" applyProtection="1" pivotButton="0" quotePrefix="0" xfId="0">
      <protection locked="1" hidden="1"/>
    </xf>
    <xf numFmtId="0" fontId="0" fillId="0" borderId="9" applyProtection="1" pivotButton="0" quotePrefix="0" xfId="0">
      <protection locked="1" hidden="1"/>
    </xf>
    <xf numFmtId="0" fontId="20" fillId="3" borderId="7" applyAlignment="1" pivotButton="0" quotePrefix="0" xfId="3">
      <alignment horizontal="left" vertical="center" wrapText="1"/>
    </xf>
    <xf numFmtId="0" fontId="0" fillId="0" borderId="2" pivotButton="0" quotePrefix="0" xfId="0"/>
    <xf numFmtId="0" fontId="0" fillId="0" borderId="23" pivotButton="0" quotePrefix="0" xfId="0"/>
    <xf numFmtId="0" fontId="0" fillId="0" borderId="21" pivotButton="0" quotePrefix="0" xfId="0"/>
    <xf numFmtId="0" fontId="11" fillId="3" borderId="80" applyAlignment="1" pivotButton="0" quotePrefix="0" xfId="0">
      <alignment horizontal="center" vertical="center"/>
    </xf>
    <xf numFmtId="0" fontId="20" fillId="3" borderId="0" applyProtection="1" pivotButton="0" quotePrefix="0" xfId="0">
      <protection locked="1" hidden="1"/>
    </xf>
    <xf numFmtId="0" fontId="0" fillId="0" borderId="5" pivotButton="0" quotePrefix="0" xfId="0"/>
    <xf numFmtId="0" fontId="12" fillId="3" borderId="7" applyAlignment="1" applyProtection="1" pivotButton="0" quotePrefix="0" xfId="0">
      <alignment horizontal="center" vertical="center" wrapText="1"/>
      <protection locked="1" hidden="1"/>
    </xf>
    <xf numFmtId="0" fontId="19" fillId="3" borderId="42" applyAlignment="1" applyProtection="1" pivotButton="0" quotePrefix="0" xfId="0">
      <alignment horizontal="center" vertical="center" wrapText="1"/>
      <protection locked="1" hidden="1"/>
    </xf>
    <xf numFmtId="0" fontId="0" fillId="0" borderId="10" applyProtection="1" pivotButton="0" quotePrefix="0" xfId="0">
      <protection locked="1" hidden="1"/>
    </xf>
    <xf numFmtId="0" fontId="0" fillId="0" borderId="21" applyProtection="1" pivotButton="0" quotePrefix="0" xfId="0">
      <protection locked="1" hidden="1"/>
    </xf>
    <xf numFmtId="0" fontId="0" fillId="0" borderId="42" applyProtection="1" pivotButton="0" quotePrefix="0" xfId="0">
      <protection locked="1" hidden="1"/>
    </xf>
    <xf numFmtId="0" fontId="2" fillId="3" borderId="7" applyAlignment="1" applyProtection="1" pivotButton="0" quotePrefix="0" xfId="0">
      <alignment horizontal="left" vertical="center" indent="1"/>
      <protection locked="1" hidden="1"/>
    </xf>
    <xf numFmtId="0" fontId="19" fillId="3" borderId="7" applyAlignment="1" applyProtection="1" pivotButton="0" quotePrefix="0" xfId="0">
      <alignment horizontal="center" vertical="center"/>
      <protection locked="1" hidden="1"/>
    </xf>
    <xf numFmtId="0" fontId="19" fillId="3" borderId="7" applyAlignment="1" pivotButton="0" quotePrefix="0" xfId="5">
      <alignment horizontal="center" vertical="center"/>
    </xf>
    <xf numFmtId="185" fontId="11" fillId="3" borderId="80" applyAlignment="1" applyProtection="1" pivotButton="0" quotePrefix="0" xfId="0">
      <alignment horizontal="center" vertical="center"/>
      <protection locked="1" hidden="1"/>
    </xf>
    <xf numFmtId="0" fontId="0" fillId="0" borderId="0" applyProtection="1" pivotButton="0" quotePrefix="0" xfId="0">
      <protection locked="1" hidden="1"/>
    </xf>
    <xf numFmtId="0" fontId="0" fillId="0" borderId="5" applyProtection="1" pivotButton="0" quotePrefix="0" xfId="0">
      <protection locked="1" hidden="1"/>
    </xf>
    <xf numFmtId="0" fontId="19" fillId="3" borderId="7" applyAlignment="1" pivotButton="0" quotePrefix="0" xfId="3">
      <alignment horizontal="left" vertical="center" wrapText="1"/>
    </xf>
    <xf numFmtId="0" fontId="62" fillId="3" borderId="7" applyAlignment="1" pivotButton="0" quotePrefix="0" xfId="0">
      <alignment horizontal="center" vertical="center"/>
    </xf>
    <xf numFmtId="0" fontId="20" fillId="3" borderId="21" applyAlignment="1" pivotButton="0" quotePrefix="0" xfId="0">
      <alignment horizontal="left" vertical="center"/>
    </xf>
    <xf numFmtId="0" fontId="0" fillId="0" borderId="10" pivotButton="0" quotePrefix="0" xfId="0"/>
    <xf numFmtId="0" fontId="0" fillId="0" borderId="42" pivotButton="0" quotePrefix="0" xfId="0"/>
    <xf numFmtId="0" fontId="19" fillId="3" borderId="54" applyAlignment="1" applyProtection="1" pivotButton="0" quotePrefix="0" xfId="0">
      <alignment horizontal="center" vertical="center" wrapText="1"/>
      <protection locked="1" hidden="1"/>
    </xf>
    <xf numFmtId="0" fontId="0" fillId="0" borderId="1" applyProtection="1" pivotButton="0" quotePrefix="0" xfId="0">
      <protection locked="1" hidden="1"/>
    </xf>
    <xf numFmtId="0" fontId="0" fillId="0" borderId="2" applyProtection="1" pivotButton="0" quotePrefix="0" xfId="0">
      <protection locked="1" hidden="1"/>
    </xf>
    <xf numFmtId="0" fontId="38" fillId="3" borderId="7" applyAlignment="1" pivotButton="0" quotePrefix="0" xfId="0">
      <alignment horizontal="center" vertical="center"/>
    </xf>
    <xf numFmtId="0" fontId="19" fillId="3" borderId="7" applyAlignment="1" pivotButton="0" quotePrefix="0" xfId="0">
      <alignment horizontal="center" vertical="center"/>
    </xf>
    <xf numFmtId="0" fontId="20" fillId="3" borderId="7" applyAlignment="1" pivotButton="0" quotePrefix="0" xfId="0">
      <alignment horizontal="center" vertical="center" wrapText="1"/>
    </xf>
    <xf numFmtId="0" fontId="0" fillId="0" borderId="80" pivotButton="0" quotePrefix="0" xfId="0"/>
    <xf numFmtId="0" fontId="20" fillId="3" borderId="0" applyAlignment="1" pivotButton="0" quotePrefix="0" xfId="10">
      <alignment horizontal="center" vertical="center" wrapText="1"/>
    </xf>
    <xf numFmtId="168" fontId="2" fillId="0" borderId="7" applyAlignment="1" applyProtection="1" pivotButton="0" quotePrefix="0" xfId="0">
      <alignment horizontal="center" vertical="center"/>
      <protection locked="0" hidden="0"/>
    </xf>
    <xf numFmtId="0" fontId="0" fillId="0" borderId="9" applyProtection="1" pivotButton="0" quotePrefix="0" xfId="0">
      <protection locked="0" hidden="0"/>
    </xf>
    <xf numFmtId="169" fontId="20" fillId="0" borderId="7" applyAlignment="1" pivotButton="0" quotePrefix="0" xfId="0">
      <alignment horizontal="center" vertical="center"/>
    </xf>
    <xf numFmtId="168" fontId="2" fillId="0" borderId="7" applyAlignment="1" pivotButton="0" quotePrefix="0" xfId="3">
      <alignment horizontal="center" vertical="center"/>
    </xf>
    <xf numFmtId="0" fontId="12" fillId="3" borderId="7" applyAlignment="1" pivotButton="0" quotePrefix="0" xfId="3">
      <alignment horizontal="center" vertical="center"/>
    </xf>
    <xf numFmtId="1" fontId="20" fillId="0" borderId="7" applyAlignment="1" pivotButton="0" quotePrefix="0" xfId="0">
      <alignment horizontal="center" vertical="center"/>
    </xf>
    <xf numFmtId="0" fontId="2" fillId="0" borderId="7" applyAlignment="1" applyProtection="1" pivotButton="0" quotePrefix="0" xfId="0">
      <alignment horizontal="center" vertical="center"/>
      <protection locked="0" hidden="0"/>
    </xf>
    <xf numFmtId="0" fontId="0" fillId="0" borderId="11" applyProtection="1" pivotButton="0" quotePrefix="0" xfId="0">
      <protection locked="0" hidden="0"/>
    </xf>
    <xf numFmtId="169" fontId="2" fillId="0" borderId="7" applyAlignment="1" pivotButton="0" quotePrefix="0" xfId="3">
      <alignment horizontal="center" vertical="center"/>
    </xf>
    <xf numFmtId="0" fontId="2" fillId="0" borderId="0" applyAlignment="1" applyProtection="1" pivotButton="0" quotePrefix="0" xfId="0">
      <alignment horizontal="left" vertical="center"/>
      <protection locked="0" hidden="0"/>
    </xf>
    <xf numFmtId="0" fontId="0" fillId="0" borderId="0" applyProtection="1" pivotButton="0" quotePrefix="0" xfId="0">
      <protection locked="0" hidden="0"/>
    </xf>
    <xf numFmtId="0" fontId="2" fillId="3" borderId="7" applyAlignment="1" pivotButton="0" quotePrefix="0" xfId="3">
      <alignment horizontal="left" vertical="center"/>
    </xf>
    <xf numFmtId="186" fontId="12" fillId="0" borderId="7" applyAlignment="1" applyProtection="1" pivotButton="0" quotePrefix="0" xfId="0">
      <alignment horizontal="center" vertical="center"/>
      <protection locked="0" hidden="0"/>
    </xf>
    <xf numFmtId="0" fontId="20" fillId="0" borderId="0" applyAlignment="1" applyProtection="1" pivotButton="0" quotePrefix="0" xfId="0">
      <alignment horizontal="left" vertical="center"/>
      <protection locked="0" hidden="0"/>
    </xf>
    <xf numFmtId="0" fontId="19" fillId="0" borderId="7" applyAlignment="1" applyProtection="1" pivotButton="0" quotePrefix="0" xfId="0">
      <alignment horizontal="center" vertical="center"/>
      <protection locked="0" hidden="0"/>
    </xf>
    <xf numFmtId="0" fontId="2" fillId="0" borderId="2" applyAlignment="1" applyProtection="1" pivotButton="0" quotePrefix="0" xfId="0">
      <alignment horizontal="center" vertical="center"/>
      <protection locked="0" hidden="0"/>
    </xf>
    <xf numFmtId="0" fontId="0" fillId="0" borderId="2" applyProtection="1" pivotButton="0" quotePrefix="0" xfId="0">
      <protection locked="0" hidden="0"/>
    </xf>
    <xf numFmtId="0" fontId="2" fillId="0" borderId="7" applyAlignment="1" applyProtection="1" pivotButton="0" quotePrefix="0" xfId="0">
      <alignment horizontal="center" vertical="center" wrapText="1"/>
      <protection locked="0" hidden="0"/>
    </xf>
    <xf numFmtId="0" fontId="11" fillId="0" borderId="0" applyAlignment="1" pivotButton="0" quotePrefix="0" xfId="0">
      <alignment horizontal="center" vertical="center" wrapText="1"/>
    </xf>
    <xf numFmtId="0" fontId="20" fillId="0" borderId="0" applyAlignment="1" applyProtection="1" pivotButton="0" quotePrefix="0" xfId="0">
      <alignment vertical="center"/>
      <protection locked="0" hidden="0"/>
    </xf>
    <xf numFmtId="0" fontId="2" fillId="3" borderId="7" applyAlignment="1" pivotButton="0" quotePrefix="0" xfId="3">
      <alignment horizontal="center" vertical="center"/>
    </xf>
    <xf numFmtId="0" fontId="13" fillId="0" borderId="42" applyAlignment="1" pivotButton="0" quotePrefix="0" xfId="0">
      <alignment horizontal="center" vertical="center" wrapText="1"/>
    </xf>
    <xf numFmtId="0" fontId="2" fillId="0" borderId="7" applyAlignment="1" pivotButton="0" quotePrefix="0" xfId="0">
      <alignment horizontal="center" vertical="center" wrapText="1"/>
    </xf>
    <xf numFmtId="0" fontId="27" fillId="0" borderId="0" applyAlignment="1" applyProtection="1" pivotButton="0" quotePrefix="0" xfId="0">
      <alignment horizontal="center" vertical="center"/>
      <protection locked="0" hidden="0"/>
    </xf>
    <xf numFmtId="0" fontId="13" fillId="0" borderId="54" applyAlignment="1" pivotButton="0" quotePrefix="0" xfId="0">
      <alignment horizontal="center" vertical="center" wrapText="1"/>
    </xf>
    <xf numFmtId="0" fontId="0" fillId="0" borderId="1" pivotButton="0" quotePrefix="0" xfId="0"/>
    <xf numFmtId="187" fontId="11" fillId="0" borderId="0" applyAlignment="1" applyProtection="1" pivotButton="0" quotePrefix="0" xfId="0">
      <alignment horizontal="center" vertical="center" wrapText="1"/>
      <protection locked="0" hidden="0"/>
    </xf>
    <xf numFmtId="188" fontId="2" fillId="0" borderId="0" applyAlignment="1" applyProtection="1" pivotButton="0" quotePrefix="0" xfId="5">
      <alignment horizontal="left" vertical="center"/>
      <protection locked="0" hidden="0"/>
    </xf>
    <xf numFmtId="2" fontId="2" fillId="0" borderId="7" applyAlignment="1" pivotButton="0" quotePrefix="0" xfId="3">
      <alignment horizontal="center" vertical="center"/>
    </xf>
    <xf numFmtId="0" fontId="2" fillId="0" borderId="7" applyAlignment="1" pivotButton="0" quotePrefix="0" xfId="0">
      <alignment horizontal="center" vertical="center"/>
    </xf>
    <xf numFmtId="169" fontId="20" fillId="3" borderId="4" applyAlignment="1" pivotButton="0" quotePrefix="0" xfId="0">
      <alignment horizontal="center" vertical="center"/>
    </xf>
    <xf numFmtId="0" fontId="20" fillId="3" borderId="0" applyAlignment="1" pivotButton="0" quotePrefix="0" xfId="0">
      <alignment vertical="center"/>
    </xf>
    <xf numFmtId="0" fontId="2" fillId="0" borderId="33" applyAlignment="1" applyProtection="1" pivotButton="0" quotePrefix="0" xfId="0">
      <alignment horizontal="center" vertical="center"/>
      <protection locked="0" hidden="0"/>
    </xf>
    <xf numFmtId="0" fontId="0" fillId="0" borderId="41" applyProtection="1" pivotButton="0" quotePrefix="0" xfId="0">
      <protection locked="0" hidden="0"/>
    </xf>
    <xf numFmtId="0" fontId="2" fillId="3" borderId="0" applyAlignment="1" pivotButton="0" quotePrefix="0" xfId="0">
      <alignment horizontal="left" vertical="center"/>
    </xf>
    <xf numFmtId="0" fontId="13" fillId="3" borderId="81" applyAlignment="1" pivotButton="0" quotePrefix="0" xfId="3">
      <alignment horizontal="center" vertical="center"/>
    </xf>
    <xf numFmtId="0" fontId="0" fillId="0" borderId="67" pivotButton="0" quotePrefix="0" xfId="0"/>
    <xf numFmtId="0" fontId="0" fillId="0" borderId="68" pivotButton="0" quotePrefix="0" xfId="0"/>
    <xf numFmtId="0" fontId="30" fillId="3" borderId="0" applyAlignment="1" pivotButton="0" quotePrefix="1" xfId="4">
      <alignment horizontal="left" vertical="center" wrapText="1"/>
    </xf>
    <xf numFmtId="0" fontId="18" fillId="3" borderId="80" applyAlignment="1" pivotButton="0" quotePrefix="0" xfId="0">
      <alignment horizontal="center" vertical="center"/>
    </xf>
    <xf numFmtId="0" fontId="20" fillId="3" borderId="14" applyAlignment="1" pivotButton="0" quotePrefix="0" xfId="3">
      <alignment horizontal="center"/>
    </xf>
    <xf numFmtId="0" fontId="2" fillId="0" borderId="34" applyAlignment="1" applyProtection="1" pivotButton="0" quotePrefix="0" xfId="0">
      <alignment horizontal="center" vertical="center" wrapText="1"/>
      <protection locked="0" hidden="0"/>
    </xf>
    <xf numFmtId="0" fontId="0" fillId="0" borderId="42" applyProtection="1" pivotButton="0" quotePrefix="0" xfId="0">
      <protection locked="0" hidden="0"/>
    </xf>
    <xf numFmtId="187" fontId="11" fillId="3" borderId="0" applyAlignment="1" applyProtection="1" pivotButton="0" quotePrefix="0" xfId="0">
      <alignment horizontal="center" wrapText="1"/>
      <protection locked="1" hidden="1"/>
    </xf>
    <xf numFmtId="0" fontId="30" fillId="0" borderId="0" applyAlignment="1" pivotButton="0" quotePrefix="1" xfId="4">
      <alignment horizontal="left" vertical="center" wrapText="1"/>
    </xf>
    <xf numFmtId="0" fontId="13" fillId="3" borderId="42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13" fillId="3" borderId="54" applyAlignment="1" pivotButton="0" quotePrefix="0" xfId="0">
      <alignment horizontal="center" vertical="center" wrapText="1"/>
    </xf>
    <xf numFmtId="0" fontId="11" fillId="3" borderId="0" applyAlignment="1" pivotButton="0" quotePrefix="0" xfId="0">
      <alignment horizontal="center" vertical="center" wrapText="1"/>
    </xf>
    <xf numFmtId="0" fontId="2" fillId="0" borderId="83" applyAlignment="1" applyProtection="1" pivotButton="0" quotePrefix="0" xfId="0">
      <alignment horizontal="center" vertical="center"/>
      <protection locked="0" hidden="0"/>
    </xf>
    <xf numFmtId="0" fontId="0" fillId="0" borderId="22" applyProtection="1" pivotButton="0" quotePrefix="0" xfId="0">
      <protection locked="0" hidden="0"/>
    </xf>
    <xf numFmtId="0" fontId="12" fillId="3" borderId="15" applyAlignment="1" pivotButton="0" quotePrefix="0" xfId="3">
      <alignment horizontal="left" vertical="center"/>
    </xf>
    <xf numFmtId="0" fontId="0" fillId="0" borderId="70" pivotButton="0" quotePrefix="0" xfId="0"/>
    <xf numFmtId="0" fontId="58" fillId="0" borderId="81" applyAlignment="1" applyProtection="1" pivotButton="0" quotePrefix="0" xfId="0">
      <alignment horizontal="center" vertical="center"/>
      <protection locked="0" hidden="0"/>
    </xf>
    <xf numFmtId="0" fontId="0" fillId="0" borderId="67" applyProtection="1" pivotButton="0" quotePrefix="0" xfId="0">
      <protection locked="0" hidden="0"/>
    </xf>
    <xf numFmtId="0" fontId="0" fillId="0" borderId="68" applyProtection="1" pivotButton="0" quotePrefix="0" xfId="0">
      <protection locked="0" hidden="0"/>
    </xf>
    <xf numFmtId="0" fontId="38" fillId="8" borderId="7" applyAlignment="1" applyProtection="1" pivotButton="0" quotePrefix="0" xfId="0">
      <alignment horizontal="center" vertical="center"/>
      <protection locked="0" hidden="0"/>
    </xf>
    <xf numFmtId="1" fontId="38" fillId="5" borderId="7" applyAlignment="1" applyProtection="1" pivotButton="0" quotePrefix="0" xfId="0">
      <alignment horizontal="center" vertical="center"/>
      <protection locked="0" hidden="0"/>
    </xf>
    <xf numFmtId="0" fontId="54" fillId="0" borderId="0" applyAlignment="1" applyProtection="1" pivotButton="0" quotePrefix="0" xfId="0">
      <alignment horizontal="center" vertical="center" wrapText="1"/>
      <protection locked="0" hidden="0"/>
    </xf>
    <xf numFmtId="0" fontId="2" fillId="3" borderId="14" applyAlignment="1" pivotButton="0" quotePrefix="0" xfId="3">
      <alignment horizontal="center" vertical="center"/>
    </xf>
    <xf numFmtId="0" fontId="19" fillId="0" borderId="34" applyAlignment="1" applyProtection="1" pivotButton="0" quotePrefix="0" xfId="3">
      <alignment horizontal="center" vertical="center"/>
      <protection locked="1" hidden="1"/>
    </xf>
    <xf numFmtId="0" fontId="0" fillId="0" borderId="71" applyProtection="1" pivotButton="0" quotePrefix="0" xfId="0">
      <protection locked="1" hidden="1"/>
    </xf>
    <xf numFmtId="0" fontId="32" fillId="5" borderId="82" applyAlignment="1" pivotButton="0" quotePrefix="0" xfId="3">
      <alignment horizontal="center" vertical="center"/>
    </xf>
    <xf numFmtId="0" fontId="0" fillId="0" borderId="49" pivotButton="0" quotePrefix="0" xfId="0"/>
    <xf numFmtId="0" fontId="0" fillId="0" borderId="69" pivotButton="0" quotePrefix="0" xfId="0"/>
    <xf numFmtId="186" fontId="2" fillId="0" borderId="82" applyAlignment="1" applyProtection="1" pivotButton="0" quotePrefix="0" xfId="0">
      <alignment horizontal="center" vertical="center" wrapText="1"/>
      <protection locked="0" hidden="0"/>
    </xf>
    <xf numFmtId="0" fontId="0" fillId="0" borderId="49" applyProtection="1" pivotButton="0" quotePrefix="0" xfId="0">
      <protection locked="0" hidden="0"/>
    </xf>
    <xf numFmtId="0" fontId="0" fillId="0" borderId="69" applyProtection="1" pivotButton="0" quotePrefix="0" xfId="0">
      <protection locked="0" hidden="0"/>
    </xf>
    <xf numFmtId="0" fontId="20" fillId="0" borderId="7" applyAlignment="1" applyProtection="1" pivotButton="0" quotePrefix="0" xfId="0">
      <alignment horizontal="left" vertical="center"/>
      <protection locked="0" hidden="0"/>
    </xf>
    <xf numFmtId="0" fontId="38" fillId="5" borderId="7" applyAlignment="1" applyProtection="1" pivotButton="0" quotePrefix="0" xfId="0">
      <alignment horizontal="center" vertical="center"/>
      <protection locked="0" hidden="0"/>
    </xf>
    <xf numFmtId="0" fontId="0" fillId="0" borderId="35" applyProtection="1" pivotButton="0" quotePrefix="0" xfId="0">
      <protection locked="1" hidden="1"/>
    </xf>
    <xf numFmtId="0" fontId="0" fillId="0" borderId="23" applyProtection="1" pivotButton="0" quotePrefix="0" xfId="0">
      <protection locked="1" hidden="1"/>
    </xf>
    <xf numFmtId="0" fontId="37" fillId="5" borderId="84" applyAlignment="1" applyProtection="1" pivotButton="0" quotePrefix="0" xfId="3">
      <alignment horizontal="center" vertical="center"/>
      <protection locked="0" hidden="0"/>
    </xf>
    <xf numFmtId="0" fontId="0" fillId="0" borderId="19" applyProtection="1" pivotButton="0" quotePrefix="0" xfId="0">
      <protection locked="0" hidden="0"/>
    </xf>
    <xf numFmtId="0" fontId="58" fillId="0" borderId="50" applyAlignment="1" applyProtection="1" pivotButton="0" quotePrefix="0" xfId="0">
      <alignment horizontal="center" vertical="center"/>
      <protection locked="0" hidden="0"/>
    </xf>
    <xf numFmtId="0" fontId="0" fillId="0" borderId="85" applyProtection="1" pivotButton="0" quotePrefix="0" xfId="0">
      <protection locked="0" hidden="0"/>
    </xf>
    <xf numFmtId="0" fontId="2" fillId="3" borderId="14" applyAlignment="1" pivotButton="0" quotePrefix="0" xfId="3">
      <alignment horizontal="left" vertical="center"/>
    </xf>
    <xf numFmtId="0" fontId="20" fillId="0" borderId="7" applyAlignment="1" pivotButton="0" quotePrefix="0" xfId="0">
      <alignment horizontal="center" vertical="center"/>
    </xf>
    <xf numFmtId="0" fontId="2" fillId="3" borderId="33" applyAlignment="1" pivotButton="0" quotePrefix="0" xfId="3">
      <alignment horizontal="left" vertical="center"/>
    </xf>
    <xf numFmtId="0" fontId="0" fillId="0" borderId="71" pivotButton="0" quotePrefix="0" xfId="0"/>
    <xf numFmtId="0" fontId="12" fillId="3" borderId="14" applyAlignment="1" pivotButton="0" quotePrefix="0" xfId="3">
      <alignment horizontal="left" vertical="center"/>
    </xf>
    <xf numFmtId="0" fontId="0" fillId="0" borderId="71" applyProtection="1" pivotButton="0" quotePrefix="0" xfId="0">
      <protection locked="0" hidden="0"/>
    </xf>
    <xf numFmtId="0" fontId="2" fillId="3" borderId="15" applyAlignment="1" pivotButton="0" quotePrefix="0" xfId="3">
      <alignment horizontal="left" vertical="center"/>
    </xf>
    <xf numFmtId="0" fontId="38" fillId="5" borderId="42" applyAlignment="1" applyProtection="1" pivotButton="0" quotePrefix="0" xfId="0">
      <alignment horizontal="center" vertical="center"/>
      <protection locked="0" hidden="0"/>
    </xf>
    <xf numFmtId="0" fontId="0" fillId="0" borderId="21" applyProtection="1" pivotButton="0" quotePrefix="0" xfId="0">
      <protection locked="0" hidden="0"/>
    </xf>
    <xf numFmtId="0" fontId="12" fillId="0" borderId="14" applyAlignment="1" pivotButton="0" quotePrefix="0" xfId="3">
      <alignment horizontal="left" vertical="center"/>
    </xf>
    <xf numFmtId="0" fontId="12" fillId="3" borderId="33" applyAlignment="1" pivotButton="0" quotePrefix="0" xfId="3">
      <alignment horizontal="center" vertical="center"/>
    </xf>
    <xf numFmtId="2" fontId="20" fillId="0" borderId="7" applyAlignment="1" applyProtection="1" pivotButton="0" quotePrefix="0" xfId="0">
      <alignment horizontal="center" vertical="center"/>
      <protection locked="0" hidden="0"/>
    </xf>
    <xf numFmtId="165" fontId="37" fillId="5" borderId="7" applyAlignment="1" applyProtection="1" pivotButton="0" quotePrefix="0" xfId="0">
      <alignment horizontal="center" vertical="center"/>
      <protection locked="0" hidden="0"/>
    </xf>
    <xf numFmtId="0" fontId="17" fillId="0" borderId="7" applyAlignment="1" applyProtection="1" pivotButton="0" quotePrefix="0" xfId="0">
      <alignment horizontal="center" vertical="center"/>
      <protection locked="0" hidden="0"/>
    </xf>
    <xf numFmtId="2" fontId="38" fillId="0" borderId="7" applyAlignment="1" applyProtection="1" pivotButton="0" quotePrefix="0" xfId="0">
      <alignment horizontal="center" vertical="center"/>
      <protection locked="0" hidden="0"/>
    </xf>
    <xf numFmtId="49" fontId="37" fillId="5" borderId="84" applyAlignment="1" applyProtection="1" pivotButton="0" quotePrefix="0" xfId="3">
      <alignment horizontal="center" vertical="center"/>
      <protection locked="0" hidden="0"/>
    </xf>
    <xf numFmtId="0" fontId="19" fillId="0" borderId="33" applyAlignment="1" applyProtection="1" pivotButton="0" quotePrefix="0" xfId="3">
      <alignment horizontal="center" vertical="center"/>
      <protection locked="1" hidden="1"/>
    </xf>
    <xf numFmtId="0" fontId="0" fillId="0" borderId="41" applyProtection="1" pivotButton="0" quotePrefix="0" xfId="0">
      <protection locked="1" hidden="1"/>
    </xf>
    <xf numFmtId="0" fontId="19" fillId="0" borderId="20" applyAlignment="1" applyProtection="1" pivotButton="0" quotePrefix="0" xfId="3">
      <alignment horizontal="center" vertical="center"/>
      <protection locked="1" hidden="1"/>
    </xf>
    <xf numFmtId="0" fontId="0" fillId="0" borderId="69" applyProtection="1" pivotButton="0" quotePrefix="0" xfId="0">
      <protection locked="1" hidden="1"/>
    </xf>
    <xf numFmtId="0" fontId="20" fillId="0" borderId="7" applyAlignment="1" applyProtection="1" pivotButton="0" quotePrefix="0" xfId="0">
      <alignment horizontal="center" vertical="center"/>
      <protection locked="0" hidden="0"/>
    </xf>
    <xf numFmtId="0" fontId="59" fillId="6" borderId="86" applyAlignment="1" pivotButton="0" quotePrefix="0" xfId="0">
      <alignment horizontal="center" vertical="center" wrapText="1"/>
    </xf>
    <xf numFmtId="0" fontId="0" fillId="3" borderId="0" pivotButton="0" quotePrefix="0" xfId="0"/>
    <xf numFmtId="0" fontId="0" fillId="0" borderId="75" pivotButton="0" quotePrefix="0" xfId="0"/>
    <xf numFmtId="0" fontId="0" fillId="0" borderId="4" pivotButton="0" quotePrefix="0" xfId="0"/>
    <xf numFmtId="0" fontId="0" fillId="0" borderId="76" pivotButton="0" quotePrefix="0" xfId="0"/>
    <xf numFmtId="0" fontId="0" fillId="0" borderId="77" pivotButton="0" quotePrefix="0" xfId="0"/>
    <xf numFmtId="0" fontId="0" fillId="0" borderId="78" pivotButton="0" quotePrefix="0" xfId="0"/>
    <xf numFmtId="0" fontId="24" fillId="3" borderId="7" applyAlignment="1" pivotButton="0" quotePrefix="0" xfId="0">
      <alignment horizontal="center" vertical="center"/>
    </xf>
    <xf numFmtId="179" fontId="9" fillId="3" borderId="7" applyAlignment="1" pivotButton="0" quotePrefix="0" xfId="3">
      <alignment horizontal="center" vertical="center"/>
    </xf>
    <xf numFmtId="0" fontId="17" fillId="3" borderId="0" applyAlignment="1" pivotButton="0" quotePrefix="0" xfId="3">
      <alignment horizontal="center" vertical="center"/>
    </xf>
    <xf numFmtId="179" fontId="40" fillId="0" borderId="7" applyAlignment="1" pivotButton="0" quotePrefix="0" xfId="0">
      <alignment horizontal="center" vertical="center"/>
    </xf>
    <xf numFmtId="0" fontId="41" fillId="0" borderId="0" applyAlignment="1" pivotButton="0" quotePrefix="0" xfId="0">
      <alignment horizontal="center" vertical="center"/>
    </xf>
    <xf numFmtId="0" fontId="40" fillId="0" borderId="7" applyAlignment="1" pivotButton="0" quotePrefix="0" xfId="0">
      <alignment horizontal="center" vertical="center"/>
    </xf>
    <xf numFmtId="0" fontId="49" fillId="6" borderId="0" applyAlignment="1" pivotButton="0" quotePrefix="0" xfId="0">
      <alignment horizontal="center"/>
    </xf>
    <xf numFmtId="0" fontId="30" fillId="6" borderId="72" applyAlignment="1" pivotButton="0" quotePrefix="0" xfId="0">
      <alignment horizontal="left" vertical="center"/>
    </xf>
    <xf numFmtId="0" fontId="0" fillId="0" borderId="74" pivotButton="0" quotePrefix="0" xfId="0"/>
    <xf numFmtId="0" fontId="40" fillId="6" borderId="0" applyAlignment="1" pivotButton="0" quotePrefix="0" xfId="0">
      <alignment horizontal="center"/>
    </xf>
    <xf numFmtId="0" fontId="30" fillId="6" borderId="72" applyAlignment="1" pivotButton="0" quotePrefix="0" xfId="0">
      <alignment horizontal="left" vertical="center" wrapText="1"/>
    </xf>
    <xf numFmtId="173" fontId="1" fillId="0" borderId="7" applyAlignment="1" pivotButton="0" quotePrefix="0" xfId="0">
      <alignment horizontal="center" vertical="center"/>
    </xf>
    <xf numFmtId="169" fontId="9" fillId="0" borderId="7" applyAlignment="1" pivotButton="0" quotePrefix="0" xfId="0">
      <alignment horizontal="center" vertical="center"/>
    </xf>
    <xf numFmtId="173" fontId="9" fillId="0" borderId="7" applyAlignment="1" pivotButton="0" quotePrefix="0" xfId="0">
      <alignment horizontal="center" vertical="center"/>
    </xf>
    <xf numFmtId="178" fontId="9" fillId="0" borderId="7" applyAlignment="1" pivotButton="0" quotePrefix="0" xfId="0">
      <alignment horizontal="center" vertical="center"/>
    </xf>
    <xf numFmtId="2" fontId="9" fillId="0" borderId="7" applyAlignment="1" pivotButton="0" quotePrefix="0" xfId="0">
      <alignment horizontal="center" vertical="center"/>
    </xf>
    <xf numFmtId="189" fontId="9" fillId="0" borderId="7" applyAlignment="1" pivotButton="0" quotePrefix="0" xfId="0">
      <alignment horizontal="center" vertical="center"/>
    </xf>
    <xf numFmtId="0" fontId="9" fillId="3" borderId="7" applyAlignment="1" pivotButton="0" quotePrefix="0" xfId="0">
      <alignment horizontal="center" vertical="center" wrapText="1"/>
    </xf>
    <xf numFmtId="190" fontId="9" fillId="0" borderId="7" applyAlignment="1" pivotButton="0" quotePrefix="0" xfId="0">
      <alignment horizontal="center" vertical="center"/>
    </xf>
    <xf numFmtId="0" fontId="17" fillId="3" borderId="3" applyAlignment="1" applyProtection="1" pivotButton="0" quotePrefix="0" xfId="0">
      <alignment horizontal="left" vertical="center" wrapText="1"/>
      <protection locked="1" hidden="1"/>
    </xf>
    <xf numFmtId="0" fontId="17" fillId="3" borderId="1" applyAlignment="1" applyProtection="1" pivotButton="0" quotePrefix="0" xfId="0">
      <alignment horizontal="left" vertical="center" wrapText="1"/>
      <protection locked="1" hidden="1"/>
    </xf>
    <xf numFmtId="0" fontId="17" fillId="3" borderId="2" applyAlignment="1" applyProtection="1" pivotButton="0" quotePrefix="0" xfId="0">
      <alignment horizontal="left" vertical="center" wrapText="1"/>
      <protection locked="1" hidden="1"/>
    </xf>
    <xf numFmtId="0" fontId="17" fillId="3" borderId="4" applyAlignment="1" applyProtection="1" pivotButton="0" quotePrefix="0" xfId="0">
      <alignment horizontal="left" vertical="center" wrapText="1"/>
      <protection locked="1" hidden="1"/>
    </xf>
    <xf numFmtId="0" fontId="17" fillId="3" borderId="5" applyAlignment="1" applyProtection="1" pivotButton="0" quotePrefix="0" xfId="0">
      <alignment horizontal="left" vertical="center" wrapText="1"/>
      <protection locked="1" hidden="1"/>
    </xf>
    <xf numFmtId="0" fontId="17" fillId="3" borderId="23" applyAlignment="1" applyProtection="1" pivotButton="0" quotePrefix="0" xfId="0">
      <alignment horizontal="left" vertical="center" wrapText="1"/>
      <protection locked="1" hidden="1"/>
    </xf>
    <xf numFmtId="0" fontId="17" fillId="3" borderId="10" applyAlignment="1" applyProtection="1" pivotButton="0" quotePrefix="0" xfId="0">
      <alignment horizontal="left" vertical="center" wrapText="1"/>
      <protection locked="1" hidden="1"/>
    </xf>
    <xf numFmtId="0" fontId="17" fillId="3" borderId="21" applyAlignment="1" applyProtection="1" pivotButton="0" quotePrefix="0" xfId="0">
      <alignment horizontal="left" vertical="center" wrapText="1"/>
      <protection locked="1" hidden="1"/>
    </xf>
    <xf numFmtId="0" fontId="20" fillId="3" borderId="0" applyAlignment="1" applyProtection="1" pivotButton="0" quotePrefix="0" xfId="0">
      <alignment horizontal="left" vertical="center" indent="2"/>
      <protection locked="1" hidden="1"/>
    </xf>
    <xf numFmtId="0" fontId="20" fillId="3" borderId="0" applyAlignment="1" pivotButton="0" quotePrefix="0" xfId="0">
      <alignment vertical="center"/>
    </xf>
    <xf numFmtId="0" fontId="19" fillId="3" borderId="0" applyAlignment="1" pivotButton="0" quotePrefix="0" xfId="0">
      <alignment vertical="center"/>
    </xf>
    <xf numFmtId="168" fontId="20" fillId="3" borderId="0" applyAlignment="1" pivotButton="0" quotePrefix="0" xfId="0">
      <alignment vertical="center"/>
    </xf>
    <xf numFmtId="0" fontId="17" fillId="3" borderId="0" applyAlignment="1" applyProtection="1" pivotButton="0" quotePrefix="0" xfId="0">
      <alignment horizontal="left" vertical="center" wrapText="1"/>
      <protection locked="1" hidden="1"/>
    </xf>
    <xf numFmtId="0" fontId="17" fillId="3" borderId="7" applyAlignment="1" applyProtection="1" pivotButton="0" quotePrefix="0" xfId="0">
      <alignment horizontal="left" vertical="center" wrapText="1"/>
      <protection locked="1" hidden="1"/>
    </xf>
    <xf numFmtId="0" fontId="0" fillId="0" borderId="4" applyProtection="1" pivotButton="0" quotePrefix="0" xfId="0">
      <protection locked="1" hidden="1"/>
    </xf>
    <xf numFmtId="187" fontId="11" fillId="0" borderId="0" applyAlignment="1" applyProtection="1" pivotButton="0" quotePrefix="0" xfId="0">
      <alignment horizontal="center" vertical="center" wrapText="1"/>
      <protection locked="0" hidden="0"/>
    </xf>
    <xf numFmtId="186" fontId="12" fillId="0" borderId="7" applyAlignment="1" applyProtection="1" pivotButton="0" quotePrefix="0" xfId="0">
      <alignment horizontal="center" vertical="center"/>
      <protection locked="0" hidden="0"/>
    </xf>
    <xf numFmtId="187" fontId="11" fillId="3" borderId="0" applyAlignment="1" applyProtection="1" pivotButton="0" quotePrefix="0" xfId="0">
      <alignment horizontal="center" wrapText="1"/>
      <protection locked="1" hidden="1"/>
    </xf>
    <xf numFmtId="186" fontId="2" fillId="0" borderId="82" applyAlignment="1" applyProtection="1" pivotButton="0" quotePrefix="0" xfId="0">
      <alignment horizontal="center" vertical="center" wrapText="1"/>
      <protection locked="0" hidden="0"/>
    </xf>
  </cellXfs>
  <cellStyles count="12">
    <cellStyle name="Normal" xfId="0" builtinId="0"/>
    <cellStyle name="Euro" xfId="1"/>
    <cellStyle name="Millares 2" xfId="2"/>
    <cellStyle name="Normal 2" xfId="3"/>
    <cellStyle name="Normal 2 2" xfId="4"/>
    <cellStyle name="Normal_ENSAYOS" xfId="5"/>
    <cellStyle name="Normal_Sub Base F-001 -GRAN. 21-10-03 2" xfId="6"/>
    <cellStyle name="Porcentaje 2" xfId="7"/>
    <cellStyle name="Porcentual 2" xfId="8"/>
    <cellStyle name="Porcentual 3" xfId="9"/>
    <cellStyle name="Hipervínculo" xfId="10" builtinId="8"/>
    <cellStyle name="Normal 6" xfId="11"/>
  </cellStyles>
  <dxfs count="1">
    <dxf>
      <font>
        <b val="1"/>
        <strike val="0"/>
        <condense val="0"/>
        <extend val="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Relationship Type="http://schemas.microsoft.com/office/2006/relationships/vbaProject" Target="vbaProject.bin" Id="rId1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800" b="1" i="0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s-ES"/>
              <a:t>C.B.R. (56 golpes)</a:t>
            </a:r>
          </a:p>
        </rich>
      </tx>
      <layout>
        <manualLayout>
          <xMode val="edge"/>
          <yMode val="edge"/>
          <wMode val="factor"/>
          <hMode val="factor"/>
          <x val="0.3387528417683849"/>
          <y val="0.02042313967510818"/>
        </manualLayout>
      </layout>
      <overlay val="0"/>
      <spPr>
        <a:noFill xmlns:a="http://schemas.openxmlformats.org/drawingml/2006/main"/>
        <a:ln xmlns:a="http://schemas.openxmlformats.org/drawingml/2006/main" w="25400">
          <a:noFill/>
          <a:prstDash val="solid"/>
        </a:ln>
      </spPr>
    </title>
    <plotArea>
      <layout>
        <manualLayout>
          <layoutTarget val="inner"/>
          <xMode val="edge"/>
          <yMode val="edge"/>
          <wMode val="factor"/>
          <hMode val="factor"/>
          <x val="0.1857759665192099"/>
          <y val="0.09080407178832377"/>
          <w val="0.7572219465127821"/>
          <h val="0.7635699084911683"/>
        </manualLayout>
      </layout>
      <scatterChart>
        <scatterStyle val="lineMarker"/>
        <varyColors val="0"/>
        <ser>
          <idx val="0"/>
          <order val="0"/>
          <tx>
            <v>Curva sin correccion</v>
          </tx>
          <spPr>
            <a:ln xmlns:a="http://schemas.openxmlformats.org/drawingml/2006/main" w="28575">
              <a:noFill/>
              <a:prstDash val="solid"/>
            </a:ln>
          </spPr>
          <marker>
            <symbol val="diamond"/>
            <size val="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FF"/>
                </a:solidFill>
                <a:prstDash val="solid"/>
              </a:ln>
            </spPr>
          </marker>
          <trendline>
            <spPr>
              <a:ln xmlns:a="http://schemas.openxmlformats.org/drawingml/2006/main" w="15875">
                <a:solidFill>
                  <a:srgbClr val="0000FF"/>
                </a:solidFill>
                <a:prstDash val="solid"/>
              </a:ln>
            </spPr>
            <trendlineType val="poly"/>
            <order val="3"/>
            <dispRSqr val="0"/>
            <dispEq val="0"/>
          </trendline>
          <xVal>
            <numRef>
              <f>DATOS!$A$44:$A$55</f>
              <numCache>
                <formatCode>0.000</formatCode>
                <ptCount val="12"/>
                <pt idx="0">
                  <v>0</v>
                </pt>
                <pt idx="1">
                  <v>0.025</v>
                </pt>
                <pt idx="2">
                  <v>0.05</v>
                </pt>
                <pt idx="3">
                  <v>0.075</v>
                </pt>
                <pt idx="4">
                  <v>0.1</v>
                </pt>
                <pt idx="5">
                  <v>0.125</v>
                </pt>
                <pt idx="6">
                  <v>0.15</v>
                </pt>
                <pt idx="7">
                  <v>0.175</v>
                </pt>
                <pt idx="8">
                  <v>0.2</v>
                </pt>
                <pt idx="9">
                  <v>0.3</v>
                </pt>
                <pt idx="10">
                  <v>0.4</v>
                </pt>
                <pt idx="11">
                  <v>0.5</v>
                </pt>
              </numCache>
            </numRef>
          </xVal>
          <yVal>
            <numRef>
              <f>DATOS!$G$44:$G$55</f>
              <numCache>
                <formatCode>0.0</formatCode>
                <ptCount val="12"/>
                <pt idx="0">
                  <v>0</v>
                </pt>
                <pt idx="1">
                  <v>0.7885542237430468</v>
                </pt>
                <pt idx="2">
                  <v>0.7885542237430468</v>
                </pt>
                <pt idx="3">
                  <v>0.7885542237430468</v>
                </pt>
                <pt idx="4">
                  <v>0.7885542237430468</v>
                </pt>
                <pt idx="5">
                  <v>0.7885542237430468</v>
                </pt>
                <pt idx="6">
                  <v>0.7885542237430468</v>
                </pt>
                <pt idx="7">
                  <v>0.7885542237430468</v>
                </pt>
                <pt idx="8">
                  <v>0.7885542237430468</v>
                </pt>
                <pt idx="9">
                  <v>0.7885542237430468</v>
                </pt>
                <pt idx="10">
                  <v>0.7885542237430468</v>
                </pt>
                <pt idx="11">
                  <v>0.7885542237430468</v>
                </pt>
              </numCache>
            </numRef>
          </yVal>
          <smooth val="0"/>
        </ser>
        <ser>
          <idx val="1"/>
          <order val="1"/>
          <spPr>
            <a:ln xmlns:a="http://schemas.openxmlformats.org/drawingml/2006/main" w="3175">
              <a:solidFill>
                <a:srgbClr val="FF0000"/>
              </a:solidFill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FF0000"/>
                </a:solidFill>
                <a:prstDash val="solid"/>
              </a:ln>
            </spPr>
          </marker>
          <xVal>
            <numRef>
              <f>'cbr graficos'!$A$1:$A$1</f>
              <numCache>
                <formatCode>General</formatCode>
                <ptCount val="1"/>
                <pt idx="0">
                  <v>1</v>
                </pt>
              </numCache>
            </numRef>
          </xVal>
          <yVal>
            <numRef>
              <f>'cbr graficos'!$A$1:$A$1</f>
              <numCache>
                <formatCode>General</formatCode>
                <ptCount val="1"/>
                <pt idx="0">
                  <v>1</v>
                </pt>
              </numCache>
            </numRef>
          </yVal>
          <smooth val="0"/>
        </ser>
        <ser>
          <idx val="2"/>
          <order val="2"/>
          <spPr>
            <a:ln xmlns:a="http://schemas.openxmlformats.org/drawingml/2006/main" w="3175">
              <a:solidFill>
                <a:srgbClr val="FF0000"/>
              </a:solidFill>
              <a:prstDash val="solid"/>
            </a:ln>
          </spPr>
          <marker>
            <symbol val="circle"/>
            <size val="3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FF0000"/>
                </a:solidFill>
                <a:prstDash val="solid"/>
              </a:ln>
            </spPr>
          </marker>
          <dLbls>
            <dLbl>
              <idx val="2"/>
              <numFmt formatCode="0.0"/>
              <spPr>
                <a:solidFill xmlns:a="http://schemas.openxmlformats.org/drawingml/2006/main">
                  <a:srgbClr val="FFFFFF"/>
                </a:solidFill>
                <a:ln xmlns:a="http://schemas.openxmlformats.org/drawingml/2006/main" w="3175">
                  <a:solidFill>
                    <a:srgbClr val="000000"/>
                  </a:solidFill>
                  <a:prstDash val="solid"/>
                </a:ln>
              </spPr>
              <txPr>
                <a:bodyPr xmlns:a="http://schemas.openxmlformats.org/drawingml/2006/main"/>
                <a:lstStyle xmlns:a="http://schemas.openxmlformats.org/drawingml/2006/main"/>
                <a:p xmlns:a="http://schemas.openxmlformats.org/drawingml/2006/main">
                  <a:pPr>
                    <a:defRPr sz="550" b="0" i="0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r>
                    <a:t/>
                  </a:r>
                  <a:endParaRPr lang="es-PE"/>
                </a:p>
              </txPr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numFmt formatCode="0.0"/>
            <spPr>
              <a:solidFill xmlns:a="http://schemas.openxmlformats.org/drawingml/2006/main">
                <a:srgbClr val="FFFFFF"/>
              </a:solidFill>
              <a:ln xmlns:a="http://schemas.openxmlformats.org/drawingml/2006/main" w="3175">
                <a:solidFill>
                  <a:srgbClr val="000000"/>
                </a:solidFill>
                <a:prstDash val="solid"/>
              </a:ln>
            </spPr>
            <txPr>
              <a:bodyPr xmlns:a="http://schemas.openxmlformats.org/drawingml/2006/main" wrap="square" lIns="38100" tIns="19050" rIns="38100" bIns="19050" anchor="ctr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550" b="0" i="0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t/>
                </a:r>
                <a:endParaRPr lang="es-PE"/>
              </a:p>
            </txPr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xVal>
            <numRef>
              <f>'cbr graficos'!$A$2:$A$2</f>
              <numCache>
                <formatCode>General</formatCode>
                <ptCount val="1"/>
                <pt idx="0">
                  <v>1</v>
                </pt>
              </numCache>
            </numRef>
          </xVal>
          <yVal>
            <numRef>
              <f>'cbr graficos'!$A$2:$A$2</f>
              <numCache>
                <formatCode>General</formatCode>
                <ptCount val="1"/>
                <pt idx="0">
                  <v>1</v>
                </pt>
              </numCache>
            </numRef>
          </yVal>
          <smooth val="0"/>
        </ser>
        <ser>
          <idx val="3"/>
          <order val="3"/>
          <tx>
            <v>Linea Correccion</v>
          </tx>
          <spPr>
            <a:ln xmlns:a="http://schemas.openxmlformats.org/drawingml/2006/main" w="15875">
              <a:solidFill>
                <a:schemeClr val="tx1"/>
              </a:solidFill>
              <a:prstDash val="solid"/>
            </a:ln>
          </spPr>
          <marker>
            <symbol val="circle"/>
            <size val="2"/>
            <spPr>
              <a:ln xmlns:a="http://schemas.openxmlformats.org/drawingml/2006/main">
                <a:solidFill>
                  <a:schemeClr val="tx1"/>
                </a:solidFill>
                <a:prstDash val="solid"/>
              </a:ln>
            </spPr>
          </marker>
          <dPt>
            <idx val="1"/>
            <marker>
              <symbol val="none"/>
              <spPr>
                <a:ln xmlns:a="http://schemas.openxmlformats.org/drawingml/2006/main">
                  <a:prstDash val="solid"/>
                </a:ln>
              </spPr>
            </marker>
            <bubble3D val="0"/>
            <spPr>
              <a:ln xmlns:a="http://schemas.openxmlformats.org/drawingml/2006/main">
                <a:prstDash val="solid"/>
              </a:ln>
            </spPr>
          </dPt>
          <xVal>
            <numRef>
              <f>'INFORME-2'!$AA$15:$AA$16</f>
              <numCache>
                <formatCode>0.000</formatCode>
                <ptCount val="2"/>
                <pt idx="0">
                  <formatCode>General</formatCode>
                  <v>0</v>
                </pt>
                <pt idx="1">
                  <v>0</v>
                </pt>
              </numCache>
            </numRef>
          </xVal>
          <yVal>
            <numRef>
              <f>'INFORME-2'!$AB$15:$AB$16</f>
              <numCache>
                <formatCode>General</formatCode>
                <ptCount val="2"/>
                <pt idx="0">
                  <formatCode>0.0</formatCode>
                  <v>0</v>
                </pt>
                <pt idx="1">
                  <v>0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1568898176"/>
        <axId val="1"/>
      </scatterChart>
      <valAx>
        <axId val="1568898176"/>
        <scaling>
          <orientation val="minMax"/>
          <max val="0.5"/>
          <min val="0"/>
        </scaling>
        <delete val="0"/>
        <axPos val="b"/>
        <majorGridlines>
          <spPr>
            <a:ln xmlns:a="http://schemas.openxmlformats.org/drawingml/2006/main" w="3175">
              <a:solidFill>
                <a:srgbClr val="000000"/>
              </a:solidFill>
              <a:prstDash val="solid"/>
            </a:ln>
          </spPr>
        </majorGridlines>
        <minorGridlines>
          <spPr>
            <a:ln xmlns:a="http://schemas.openxmlformats.org/drawingml/2006/main" w="3175">
              <a:solidFill>
                <a:srgbClr val="000000"/>
              </a:solidFill>
              <a:prstDash val="sysDash"/>
            </a:ln>
          </spPr>
        </minorGridlines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750" b="0" i="0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ES"/>
                  <a:t>Penetración (in.)</a:t>
                </a:r>
              </a:p>
            </rich>
          </tx>
          <layout>
            <manualLayout>
              <xMode val="edge"/>
              <yMode val="edge"/>
              <wMode val="factor"/>
              <hMode val="factor"/>
              <x val="0.3230192508464323"/>
              <y val="0.9190480244023551"/>
            </manualLayout>
          </layout>
          <overlay val="0"/>
          <spPr>
            <a:noFill xmlns:a="http://schemas.openxmlformats.org/drawingml/2006/main"/>
            <a:ln xmlns:a="http://schemas.openxmlformats.org/drawingml/2006/main" w="25400">
              <a:noFill/>
              <a:prstDash val="solid"/>
            </a:ln>
          </spPr>
        </title>
        <numFmt formatCode="0.0" sourceLinked="0"/>
        <majorTickMark val="out"/>
        <minorTickMark val="none"/>
        <tickLblPos val="nextTo"/>
        <spPr>
          <a:ln xmlns:a="http://schemas.openxmlformats.org/drawingml/2006/main" w="3175">
            <a:solidFill>
              <a:srgbClr val="000000"/>
            </a:solidFill>
            <a:prstDash val="solid"/>
          </a:ln>
        </spPr>
        <txPr>
          <a:bodyPr xmlns:a="http://schemas.openxmlformats.org/drawingml/2006/main" rot="0" vert="horz"/>
          <a:lstStyle xmlns:a="http://schemas.openxmlformats.org/drawingml/2006/main"/>
          <a:p xmlns:a="http://schemas.openxmlformats.org/drawingml/2006/main">
            <a:pPr>
              <a:defRPr sz="525" b="0" i="0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t/>
            </a:r>
            <a:endParaRPr lang="es-PE"/>
          </a:p>
        </txPr>
        <crossAx val="1"/>
        <crosses val="autoZero"/>
        <crossBetween val="midCat"/>
        <majorUnit val="0.1"/>
        <minorUnit val="0.05000000000000001"/>
      </valAx>
      <valAx>
        <axId val="1"/>
        <scaling>
          <orientation val="minMax"/>
          <max val="5000"/>
          <min val="0"/>
        </scaling>
        <delete val="0"/>
        <axPos val="l"/>
        <majorGridlines>
          <spPr>
            <a:ln xmlns:a="http://schemas.openxmlformats.org/drawingml/2006/main" w="3175">
              <a:solidFill>
                <a:srgbClr val="000000"/>
              </a:solidFill>
              <a:prstDash val="solid"/>
            </a:ln>
          </spPr>
        </majorGridlines>
        <minorGridlines>
          <spPr>
            <a:ln xmlns:a="http://schemas.openxmlformats.org/drawingml/2006/main" w="3175">
              <a:solidFill>
                <a:srgbClr val="000000"/>
              </a:solidFill>
              <a:prstDash val="sysDash"/>
            </a:ln>
          </spPr>
        </minorGridlines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750" b="0" i="0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ES"/>
                  <a:t>Tensión sobre el pistón (lbf/in2)</a:t>
                </a:r>
              </a:p>
            </rich>
          </tx>
          <layout>
            <manualLayout>
              <xMode val="edge"/>
              <yMode val="edge"/>
              <wMode val="factor"/>
              <hMode val="factor"/>
              <x val="0.02351745065324084"/>
              <y val="0.2044583954032773"/>
            </manualLayout>
          </layout>
          <overlay val="0"/>
          <spPr>
            <a:noFill xmlns:a="http://schemas.openxmlformats.org/drawingml/2006/main"/>
            <a:ln xmlns:a="http://schemas.openxmlformats.org/drawingml/2006/main" w="25400">
              <a:noFill/>
              <a:prstDash val="solid"/>
            </a:ln>
          </spPr>
        </title>
        <numFmt formatCode="0" sourceLinked="0"/>
        <majorTickMark val="out"/>
        <minorTickMark val="none"/>
        <tickLblPos val="nextTo"/>
        <spPr>
          <a:ln xmlns:a="http://schemas.openxmlformats.org/drawingml/2006/main" w="3175">
            <a:solidFill>
              <a:srgbClr val="000000"/>
            </a:solidFill>
            <a:prstDash val="solid"/>
          </a:ln>
        </spPr>
        <txPr>
          <a:bodyPr xmlns:a="http://schemas.openxmlformats.org/drawingml/2006/main" rot="0" vert="horz"/>
          <a:lstStyle xmlns:a="http://schemas.openxmlformats.org/drawingml/2006/main"/>
          <a:p xmlns:a="http://schemas.openxmlformats.org/drawingml/2006/main">
            <a:pPr>
              <a:defRPr sz="575" b="0" i="0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t/>
            </a:r>
            <a:endParaRPr lang="es-PE"/>
          </a:p>
        </txPr>
        <crossAx val="1568898176"/>
        <crosses val="autoZero"/>
        <crossBetween val="midCat"/>
        <majorUnit val="1000"/>
      </valAx>
    </plotArea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3175">
      <a:solidFill>
        <a:srgbClr val="000000"/>
      </a:solidFill>
      <a:prstDash val="solid"/>
    </a:ln>
  </spPr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550" b="1" i="0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s-ES"/>
              <a:t>C.B.R. (56 golpes)</a:t>
            </a:r>
          </a:p>
        </rich>
      </tx>
      <layout>
        <manualLayout>
          <xMode val="edge"/>
          <yMode val="edge"/>
          <wMode val="factor"/>
          <hMode val="factor"/>
          <x val="0.01977827681287132"/>
          <y val="0.02042269106605577"/>
        </manualLayout>
      </layout>
      <overlay val="0"/>
      <spPr>
        <a:noFill xmlns:a="http://schemas.openxmlformats.org/drawingml/2006/main"/>
        <a:ln xmlns:a="http://schemas.openxmlformats.org/drawingml/2006/main" w="25400">
          <a:noFill/>
          <a:prstDash val="solid"/>
        </a:ln>
      </spPr>
    </title>
    <plotArea>
      <layout>
        <manualLayout>
          <layoutTarget val="inner"/>
          <xMode val="edge"/>
          <yMode val="edge"/>
          <wMode val="factor"/>
          <hMode val="factor"/>
          <x val="0.2271244863657946"/>
          <y val="0.09530866646149568"/>
          <w val="0.7066095131380278"/>
          <h val="0.759065450746912"/>
        </manualLayout>
      </layout>
      <scatterChart>
        <scatterStyle val="lineMarker"/>
        <varyColors val="0"/>
        <ser>
          <idx val="0"/>
          <order val="0"/>
          <tx>
            <v>Curva corregida</v>
          </tx>
          <spPr>
            <a:ln xmlns:a="http://schemas.openxmlformats.org/drawingml/2006/main" w="28575">
              <a:noFill/>
              <a:prstDash val="solid"/>
            </a:ln>
          </spPr>
          <marker>
            <symbol val="diamond"/>
            <size val="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FF"/>
                </a:solidFill>
                <a:prstDash val="solid"/>
              </a:ln>
            </spPr>
          </marker>
          <trendline>
            <spPr>
              <a:ln xmlns:a="http://schemas.openxmlformats.org/drawingml/2006/main" w="12700">
                <a:solidFill>
                  <a:srgbClr val="0000FF"/>
                </a:solidFill>
                <a:prstDash val="solid"/>
              </a:ln>
            </spPr>
            <trendlineType val="poly"/>
            <order val="3"/>
            <dispRSqr val="0"/>
            <dispEq val="1"/>
            <trendlineLbl>
              <layout>
                <manualLayout>
                  <wMode val="factor"/>
                  <hMode val="factor"/>
                  <x val="0.09036835577692137"/>
                  <y val="-0.2972413526962236"/>
                </manualLayout>
              </layout>
              <numFmt formatCode="General" sourceLinked="0"/>
              <txPr>
                <a:bodyPr xmlns:a="http://schemas.openxmlformats.org/drawingml/2006/main"/>
                <a:lstStyle xmlns:a="http://schemas.openxmlformats.org/drawingml/2006/main"/>
                <a:p xmlns:a="http://schemas.openxmlformats.org/drawingml/2006/main">
                  <a:pPr>
                    <a:defRPr sz="800" b="0" i="0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r>
                    <a:t/>
                  </a:r>
                  <a:endParaRPr lang="es-PE"/>
                </a:p>
              </txPr>
            </trendlineLbl>
          </trendline>
          <xVal>
            <numRef>
              <f>'INFORME-2'!$U$29:$U$39</f>
              <numCache>
                <formatCode>0.000</formatCode>
                <ptCount val="11"/>
                <pt idx="0">
                  <v>0</v>
                </pt>
                <pt idx="1">
                  <v>0.025</v>
                </pt>
                <pt idx="2">
                  <v>0.05</v>
                </pt>
                <pt idx="3">
                  <v>0.075</v>
                </pt>
                <pt idx="4">
                  <v>0.1</v>
                </pt>
                <pt idx="5">
                  <v>0.125</v>
                </pt>
                <pt idx="6">
                  <v>0.15</v>
                </pt>
                <pt idx="7">
                  <v>0.175</v>
                </pt>
                <pt idx="8">
                  <v>0.2</v>
                </pt>
                <pt idx="9">
                  <v>0.3</v>
                </pt>
                <pt idx="10">
                  <v>0.4</v>
                </pt>
              </numCache>
            </numRef>
          </xVal>
          <yVal>
            <numRef>
              <f>'INFORME-2'!$V$29:$V$39</f>
              <numCache>
                <formatCode>0.0</formatCode>
                <ptCount val="11"/>
                <pt idx="0">
                  <v>0</v>
                </pt>
                <pt idx="1">
                  <v>0.7885542237430468</v>
                </pt>
                <pt idx="2">
                  <v>0.7885542237430468</v>
                </pt>
                <pt idx="3">
                  <v>0.7885542237430468</v>
                </pt>
                <pt idx="4">
                  <v>0.7885542237430468</v>
                </pt>
                <pt idx="5">
                  <v>0.7885542237430468</v>
                </pt>
                <pt idx="6">
                  <v>0.7885542237430468</v>
                </pt>
                <pt idx="7">
                  <v>0.7885542237430468</v>
                </pt>
                <pt idx="8">
                  <v>0.7885542237430468</v>
                </pt>
                <pt idx="9">
                  <v>0.7885542237430468</v>
                </pt>
                <pt idx="10">
                  <v>0.7885542237430468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1568900096"/>
        <axId val="1"/>
      </scatterChart>
      <valAx>
        <axId val="1568900096"/>
        <scaling>
          <orientation val="minMax"/>
          <max val="0.6000000000000001"/>
          <min val="0"/>
        </scaling>
        <delete val="0"/>
        <axPos val="b"/>
        <majorGridlines>
          <spPr>
            <a:ln xmlns:a="http://schemas.openxmlformats.org/drawingml/2006/main" w="3175">
              <a:solidFill>
                <a:srgbClr val="000000"/>
              </a:solidFill>
              <a:prstDash val="solid"/>
            </a:ln>
          </spPr>
        </majorGridlines>
        <minorGridlines>
          <spPr>
            <a:ln xmlns:a="http://schemas.openxmlformats.org/drawingml/2006/main" w="3175">
              <a:solidFill>
                <a:srgbClr val="000000"/>
              </a:solidFill>
              <a:prstDash val="sysDash"/>
            </a:ln>
          </spPr>
        </minorGridlines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700" b="1" i="0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ES"/>
                  <a:t>Penetración (in.)</a:t>
                </a:r>
              </a:p>
            </rich>
          </tx>
          <layout>
            <manualLayout>
              <xMode val="edge"/>
              <yMode val="edge"/>
              <wMode val="factor"/>
              <hMode val="factor"/>
              <x val="0.3230199835128912"/>
              <y val="0.9190478019515853"/>
            </manualLayout>
          </layout>
          <overlay val="0"/>
          <spPr>
            <a:noFill xmlns:a="http://schemas.openxmlformats.org/drawingml/2006/main"/>
            <a:ln xmlns:a="http://schemas.openxmlformats.org/drawingml/2006/main" w="25400">
              <a:noFill/>
              <a:prstDash val="solid"/>
            </a:ln>
          </spPr>
        </title>
        <numFmt formatCode="0.0" sourceLinked="0"/>
        <majorTickMark val="out"/>
        <minorTickMark val="none"/>
        <tickLblPos val="nextTo"/>
        <spPr>
          <a:ln xmlns:a="http://schemas.openxmlformats.org/drawingml/2006/main" w="3175">
            <a:solidFill>
              <a:srgbClr val="000000"/>
            </a:solidFill>
            <a:prstDash val="solid"/>
          </a:ln>
        </spPr>
        <txPr>
          <a:bodyPr xmlns:a="http://schemas.openxmlformats.org/drawingml/2006/main" rot="0" vert="horz"/>
          <a:lstStyle xmlns:a="http://schemas.openxmlformats.org/drawingml/2006/main"/>
          <a:p xmlns:a="http://schemas.openxmlformats.org/drawingml/2006/main">
            <a:pPr>
              <a:defRPr sz="525" b="0" i="0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t/>
            </a:r>
            <a:endParaRPr lang="es-PE"/>
          </a:p>
        </txPr>
        <crossAx val="1"/>
        <crosses val="autoZero"/>
        <crossBetween val="midCat"/>
        <majorUnit val="0.1"/>
        <minorUnit val="0.05000000000000001"/>
      </valAx>
      <valAx>
        <axId val="1"/>
        <scaling>
          <orientation val="minMax"/>
          <max val="4000"/>
          <min val="0"/>
        </scaling>
        <delete val="0"/>
        <axPos val="l"/>
        <majorGridlines>
          <spPr>
            <a:ln xmlns:a="http://schemas.openxmlformats.org/drawingml/2006/main" w="3175">
              <a:solidFill>
                <a:srgbClr val="000000"/>
              </a:solidFill>
              <a:prstDash val="solid"/>
            </a:ln>
          </spPr>
        </majorGridlines>
        <minorGridlines>
          <spPr>
            <a:ln xmlns:a="http://schemas.openxmlformats.org/drawingml/2006/main" w="3175">
              <a:solidFill>
                <a:srgbClr val="000000"/>
              </a:solidFill>
              <a:prstDash val="sysDash"/>
            </a:ln>
          </spPr>
        </minorGridlines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700" b="1" i="0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ES"/>
                  <a:t>Tension sobre el piston (lbf/in2)</a:t>
                </a:r>
              </a:p>
            </rich>
          </tx>
          <layout>
            <manualLayout>
              <xMode val="edge"/>
              <yMode val="edge"/>
              <wMode val="factor"/>
              <hMode val="factor"/>
              <x val="0.0353313056084596"/>
              <y val="0.2044588328897912"/>
            </manualLayout>
          </layout>
          <overlay val="0"/>
          <spPr>
            <a:noFill xmlns:a="http://schemas.openxmlformats.org/drawingml/2006/main"/>
            <a:ln xmlns:a="http://schemas.openxmlformats.org/drawingml/2006/main" w="25400">
              <a:noFill/>
              <a:prstDash val="solid"/>
            </a:ln>
          </spPr>
        </title>
        <numFmt formatCode="0" sourceLinked="0"/>
        <majorTickMark val="out"/>
        <minorTickMark val="none"/>
        <tickLblPos val="nextTo"/>
        <spPr>
          <a:ln xmlns:a="http://schemas.openxmlformats.org/drawingml/2006/main" w="3175">
            <a:solidFill>
              <a:srgbClr val="000000"/>
            </a:solidFill>
            <a:prstDash val="solid"/>
          </a:ln>
        </spPr>
        <txPr>
          <a:bodyPr xmlns:a="http://schemas.openxmlformats.org/drawingml/2006/main" rot="0" vert="horz"/>
          <a:lstStyle xmlns:a="http://schemas.openxmlformats.org/drawingml/2006/main"/>
          <a:p xmlns:a="http://schemas.openxmlformats.org/drawingml/2006/main">
            <a:pPr>
              <a:defRPr sz="575" b="0" i="0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t/>
            </a:r>
            <a:endParaRPr lang="es-PE"/>
          </a:p>
        </txPr>
        <crossAx val="1568900096"/>
        <crosses val="autoZero"/>
        <crossBetween val="midCat"/>
        <majorUnit val="1000"/>
      </valAx>
    </plotArea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3175">
      <a:solidFill>
        <a:srgbClr val="000000"/>
      </a:solidFill>
      <a:prstDash val="solid"/>
    </a:ln>
  </spPr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550" b="1" i="0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s-ES"/>
              <a:t>C.B.R. (25 golpes)</a:t>
            </a:r>
          </a:p>
        </rich>
      </tx>
      <layout>
        <manualLayout>
          <xMode val="edge"/>
          <yMode val="edge"/>
          <wMode val="factor"/>
          <hMode val="factor"/>
          <x val="0.01977799286717067"/>
          <y val="0.02042272984428183"/>
        </manualLayout>
      </layout>
      <overlay val="0"/>
      <spPr>
        <a:noFill xmlns:a="http://schemas.openxmlformats.org/drawingml/2006/main"/>
        <a:ln xmlns:a="http://schemas.openxmlformats.org/drawingml/2006/main" w="25400">
          <a:noFill/>
          <a:prstDash val="solid"/>
        </a:ln>
      </spPr>
    </title>
    <plotArea>
      <layout>
        <manualLayout>
          <layoutTarget val="inner"/>
          <xMode val="edge"/>
          <yMode val="edge"/>
          <wMode val="factor"/>
          <hMode val="factor"/>
          <x val="0.2271244863657946"/>
          <y val="0.09530866646149568"/>
          <w val="0.7066095131380278"/>
          <h val="0.759065450746912"/>
        </manualLayout>
      </layout>
      <scatterChart>
        <scatterStyle val="lineMarker"/>
        <varyColors val="0"/>
        <ser>
          <idx val="0"/>
          <order val="0"/>
          <tx>
            <v>Curva corregida</v>
          </tx>
          <spPr>
            <a:ln xmlns:a="http://schemas.openxmlformats.org/drawingml/2006/main" w="28575">
              <a:noFill/>
              <a:prstDash val="solid"/>
            </a:ln>
          </spPr>
          <marker>
            <symbol val="diamond"/>
            <size val="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FF"/>
                </a:solidFill>
                <a:prstDash val="solid"/>
              </a:ln>
            </spPr>
          </marker>
          <trendline>
            <spPr>
              <a:ln xmlns:a="http://schemas.openxmlformats.org/drawingml/2006/main" w="12700">
                <a:solidFill>
                  <a:srgbClr val="0000FF"/>
                </a:solidFill>
                <a:prstDash val="solid"/>
              </a:ln>
            </spPr>
            <trendlineType val="poly"/>
            <order val="3"/>
            <dispRSqr val="0"/>
            <dispEq val="1"/>
            <trendlineLbl>
              <layout>
                <manualLayout>
                  <wMode val="factor"/>
                  <hMode val="factor"/>
                  <x val="0.1702518094329118"/>
                  <y val="-0.760967488552982"/>
                </manualLayout>
              </layout>
              <numFmt formatCode="General" sourceLinked="0"/>
              <txPr>
                <a:bodyPr xmlns:a="http://schemas.openxmlformats.org/drawingml/2006/main"/>
                <a:lstStyle xmlns:a="http://schemas.openxmlformats.org/drawingml/2006/main"/>
                <a:p xmlns:a="http://schemas.openxmlformats.org/drawingml/2006/main">
                  <a:pPr>
                    <a:defRPr sz="800" b="0" i="0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r>
                    <a:t/>
                  </a:r>
                  <a:endParaRPr lang="es-PE"/>
                </a:p>
              </txPr>
            </trendlineLbl>
          </trendline>
          <xVal>
            <numRef>
              <f>'INFORME-2'!$AE$29:$AE$39</f>
              <numCache>
                <formatCode>0.000</formatCode>
                <ptCount val="11"/>
                <pt idx="0">
                  <v>0</v>
                </pt>
                <pt idx="1">
                  <v>0.025</v>
                </pt>
                <pt idx="2">
                  <v>0.05</v>
                </pt>
                <pt idx="3">
                  <v>0.075</v>
                </pt>
                <pt idx="4">
                  <v>0.1</v>
                </pt>
                <pt idx="5">
                  <v>0.125</v>
                </pt>
                <pt idx="6">
                  <v>0.15</v>
                </pt>
                <pt idx="7">
                  <v>0.175</v>
                </pt>
                <pt idx="8">
                  <v>0.2</v>
                </pt>
                <pt idx="9">
                  <v>0.3</v>
                </pt>
                <pt idx="10">
                  <v>0.4</v>
                </pt>
              </numCache>
            </numRef>
          </xVal>
          <yVal>
            <numRef>
              <f>'INFORME-2'!$AF$29:$AF$39</f>
              <numCache>
                <formatCode>0.0</formatCode>
                <ptCount val="11"/>
                <pt idx="0">
                  <v>0</v>
                </pt>
                <pt idx="1">
                  <v>0.7885542237430468</v>
                </pt>
                <pt idx="2">
                  <v>0.7885542237430468</v>
                </pt>
                <pt idx="3">
                  <v>0.7885542237430468</v>
                </pt>
                <pt idx="4">
                  <v>0.7885542237430468</v>
                </pt>
                <pt idx="5">
                  <v>0.7885542237430468</v>
                </pt>
                <pt idx="6">
                  <v>0.7885542237430468</v>
                </pt>
                <pt idx="7">
                  <v>0.7885542237430468</v>
                </pt>
                <pt idx="8">
                  <v>0.7885542237430468</v>
                </pt>
                <pt idx="9">
                  <v>0.7885542237430468</v>
                </pt>
                <pt idx="10">
                  <v>0.7885542237430468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1188817904"/>
        <axId val="1"/>
      </scatterChart>
      <valAx>
        <axId val="1188817904"/>
        <scaling>
          <orientation val="minMax"/>
          <max val="0.4"/>
          <min val="0"/>
        </scaling>
        <delete val="0"/>
        <axPos val="b"/>
        <majorGridlines>
          <spPr>
            <a:ln xmlns:a="http://schemas.openxmlformats.org/drawingml/2006/main" w="3175">
              <a:solidFill>
                <a:srgbClr val="000000"/>
              </a:solidFill>
              <a:prstDash val="solid"/>
            </a:ln>
          </spPr>
        </majorGridlines>
        <minorGridlines>
          <spPr>
            <a:ln xmlns:a="http://schemas.openxmlformats.org/drawingml/2006/main" w="3175">
              <a:solidFill>
                <a:srgbClr val="000000"/>
              </a:solidFill>
              <a:prstDash val="sysDash"/>
            </a:ln>
          </spPr>
        </minorGridlines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700" b="1" i="0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ES"/>
                  <a:t>Penetración (in.)</a:t>
                </a:r>
              </a:p>
            </rich>
          </tx>
          <layout>
            <manualLayout>
              <xMode val="edge"/>
              <yMode val="edge"/>
              <wMode val="factor"/>
              <hMode val="factor"/>
              <x val="0.3230202038698651"/>
              <y val="0.9190480695213451"/>
            </manualLayout>
          </layout>
          <overlay val="0"/>
          <spPr>
            <a:noFill xmlns:a="http://schemas.openxmlformats.org/drawingml/2006/main"/>
            <a:ln xmlns:a="http://schemas.openxmlformats.org/drawingml/2006/main" w="25400">
              <a:noFill/>
              <a:prstDash val="solid"/>
            </a:ln>
          </spPr>
        </title>
        <numFmt formatCode="0.0" sourceLinked="0"/>
        <majorTickMark val="out"/>
        <minorTickMark val="none"/>
        <tickLblPos val="nextTo"/>
        <spPr>
          <a:ln xmlns:a="http://schemas.openxmlformats.org/drawingml/2006/main" w="3175">
            <a:solidFill>
              <a:srgbClr val="000000"/>
            </a:solidFill>
            <a:prstDash val="solid"/>
          </a:ln>
        </spPr>
        <txPr>
          <a:bodyPr xmlns:a="http://schemas.openxmlformats.org/drawingml/2006/main" rot="0" vert="horz"/>
          <a:lstStyle xmlns:a="http://schemas.openxmlformats.org/drawingml/2006/main"/>
          <a:p xmlns:a="http://schemas.openxmlformats.org/drawingml/2006/main">
            <a:pPr>
              <a:defRPr sz="525" b="0" i="0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t/>
            </a:r>
            <a:endParaRPr lang="es-PE"/>
          </a:p>
        </txPr>
        <crossAx val="1"/>
        <crosses val="autoZero"/>
        <crossBetween val="midCat"/>
        <majorUnit val="0.1"/>
        <minorUnit val="0.05000000000000001"/>
      </valAx>
      <valAx>
        <axId val="1"/>
        <scaling>
          <orientation val="minMax"/>
          <max val="3000"/>
          <min val="0"/>
        </scaling>
        <delete val="0"/>
        <axPos val="l"/>
        <majorGridlines>
          <spPr>
            <a:ln xmlns:a="http://schemas.openxmlformats.org/drawingml/2006/main" w="3175">
              <a:solidFill>
                <a:srgbClr val="000000"/>
              </a:solidFill>
              <a:prstDash val="solid"/>
            </a:ln>
          </spPr>
        </majorGridlines>
        <minorGridlines>
          <spPr>
            <a:ln xmlns:a="http://schemas.openxmlformats.org/drawingml/2006/main" w="3175">
              <a:solidFill>
                <a:srgbClr val="000000"/>
              </a:solidFill>
              <a:prstDash val="sysDash"/>
            </a:ln>
          </spPr>
        </minorGridlines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700" b="1" i="0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ES"/>
                  <a:t>Tension sobre el piston (lbf/in2)</a:t>
                </a:r>
              </a:p>
            </rich>
          </tx>
          <layout>
            <manualLayout>
              <xMode val="edge"/>
              <yMode val="edge"/>
              <wMode val="factor"/>
              <hMode val="factor"/>
              <x val="0.03533209511601747"/>
              <y val="0.204458788941135"/>
            </manualLayout>
          </layout>
          <overlay val="0"/>
          <spPr>
            <a:noFill xmlns:a="http://schemas.openxmlformats.org/drawingml/2006/main"/>
            <a:ln xmlns:a="http://schemas.openxmlformats.org/drawingml/2006/main" w="25400">
              <a:noFill/>
              <a:prstDash val="solid"/>
            </a:ln>
          </spPr>
        </title>
        <numFmt formatCode="0" sourceLinked="0"/>
        <majorTickMark val="out"/>
        <minorTickMark val="none"/>
        <tickLblPos val="nextTo"/>
        <spPr>
          <a:ln xmlns:a="http://schemas.openxmlformats.org/drawingml/2006/main" w="3175">
            <a:solidFill>
              <a:srgbClr val="000000"/>
            </a:solidFill>
            <a:prstDash val="solid"/>
          </a:ln>
        </spPr>
        <txPr>
          <a:bodyPr xmlns:a="http://schemas.openxmlformats.org/drawingml/2006/main" rot="0" vert="horz"/>
          <a:lstStyle xmlns:a="http://schemas.openxmlformats.org/drawingml/2006/main"/>
          <a:p xmlns:a="http://schemas.openxmlformats.org/drawingml/2006/main">
            <a:pPr>
              <a:defRPr sz="575" b="0" i="0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t/>
            </a:r>
            <a:endParaRPr lang="es-PE"/>
          </a:p>
        </txPr>
        <crossAx val="1188817904"/>
        <crosses val="autoZero"/>
        <crossBetween val="midCat"/>
        <majorUnit val="1000"/>
      </valAx>
    </plotArea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3175">
      <a:solidFill>
        <a:srgbClr val="000000"/>
      </a:solidFill>
      <a:prstDash val="solid"/>
    </a:ln>
  </spPr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550" b="1" i="0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s-ES"/>
              <a:t>C.B.R. (10 golpes)</a:t>
            </a:r>
          </a:p>
        </rich>
      </tx>
      <layout>
        <manualLayout>
          <xMode val="edge"/>
          <yMode val="edge"/>
          <wMode val="factor"/>
          <hMode val="factor"/>
          <x val="0.01977865670017055"/>
          <y val="0.02042305687398831"/>
        </manualLayout>
      </layout>
      <overlay val="0"/>
      <spPr>
        <a:noFill xmlns:a="http://schemas.openxmlformats.org/drawingml/2006/main"/>
        <a:ln xmlns:a="http://schemas.openxmlformats.org/drawingml/2006/main" w="25400">
          <a:noFill/>
          <a:prstDash val="solid"/>
        </a:ln>
      </spPr>
    </title>
    <plotArea>
      <layout>
        <manualLayout>
          <layoutTarget val="inner"/>
          <xMode val="edge"/>
          <yMode val="edge"/>
          <wMode val="factor"/>
          <hMode val="factor"/>
          <x val="0.2271244863657946"/>
          <y val="0.09530866646149568"/>
          <w val="0.7066095131380278"/>
          <h val="0.759065450746912"/>
        </manualLayout>
      </layout>
      <scatterChart>
        <scatterStyle val="lineMarker"/>
        <varyColors val="0"/>
        <ser>
          <idx val="0"/>
          <order val="0"/>
          <spPr>
            <a:ln xmlns:a="http://schemas.openxmlformats.org/drawingml/2006/main" w="28575">
              <a:noFill/>
              <a:prstDash val="solid"/>
            </a:ln>
          </spPr>
          <marker>
            <symbol val="diamond"/>
            <size val="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FF"/>
                </a:solidFill>
                <a:prstDash val="solid"/>
              </a:ln>
            </spPr>
          </marker>
          <trendline>
            <spPr>
              <a:ln xmlns:a="http://schemas.openxmlformats.org/drawingml/2006/main" w="12700">
                <a:solidFill>
                  <a:srgbClr val="0000FF"/>
                </a:solidFill>
                <a:prstDash val="solid"/>
              </a:ln>
            </spPr>
            <trendlineType val="poly"/>
            <order val="3"/>
            <dispRSqr val="0"/>
            <dispEq val="1"/>
            <trendlineLbl>
              <layout>
                <manualLayout>
                  <wMode val="factor"/>
                  <hMode val="factor"/>
                  <x val="-0.1707286781791446"/>
                  <y val="-0.2623031833388242"/>
                </manualLayout>
              </layout>
              <numFmt formatCode="General" sourceLinked="0"/>
              <txPr>
                <a:bodyPr xmlns:a="http://schemas.openxmlformats.org/drawingml/2006/main"/>
                <a:lstStyle xmlns:a="http://schemas.openxmlformats.org/drawingml/2006/main"/>
                <a:p xmlns:a="http://schemas.openxmlformats.org/drawingml/2006/main">
                  <a:pPr>
                    <a:defRPr sz="800" b="0" i="0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r>
                    <a:t/>
                  </a:r>
                  <a:endParaRPr lang="es-PE"/>
                </a:p>
              </txPr>
            </trendlineLbl>
          </trendline>
          <xVal>
            <numRef>
              <f>'INFORME-2'!$AO$29:$AO$39</f>
              <numCache>
                <formatCode>0.000</formatCode>
                <ptCount val="11"/>
                <pt idx="0">
                  <v>0</v>
                </pt>
                <pt idx="1">
                  <v>0.025</v>
                </pt>
                <pt idx="2">
                  <v>0.05</v>
                </pt>
                <pt idx="3">
                  <v>0.075</v>
                </pt>
                <pt idx="4">
                  <v>0.1</v>
                </pt>
                <pt idx="5">
                  <v>0.125</v>
                </pt>
                <pt idx="6">
                  <v>0.15</v>
                </pt>
                <pt idx="7">
                  <v>0.175</v>
                </pt>
                <pt idx="8">
                  <v>0.2</v>
                </pt>
                <pt idx="9">
                  <v>0.3</v>
                </pt>
                <pt idx="10">
                  <v>0.4</v>
                </pt>
              </numCache>
            </numRef>
          </xVal>
          <yVal>
            <numRef>
              <f>'INFORME-2'!$AP$29:$AP$38</f>
              <numCache>
                <formatCode>0.0</formatCode>
                <ptCount val="10"/>
                <pt idx="0">
                  <v>0</v>
                </pt>
                <pt idx="1">
                  <v>0.7885542237430468</v>
                </pt>
                <pt idx="2">
                  <v>0.7885542237430468</v>
                </pt>
                <pt idx="3">
                  <v>0.7885542237430468</v>
                </pt>
                <pt idx="4">
                  <v>0.7885542237430468</v>
                </pt>
                <pt idx="5">
                  <v>0.7885542237430468</v>
                </pt>
                <pt idx="6">
                  <v>0.7885542237430468</v>
                </pt>
                <pt idx="7">
                  <v>0.7885542237430468</v>
                </pt>
                <pt idx="8">
                  <v>0.7885542237430468</v>
                </pt>
                <pt idx="9">
                  <v>0.7885542237430468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1188776880"/>
        <axId val="1"/>
      </scatterChart>
      <valAx>
        <axId val="1188776880"/>
        <scaling>
          <orientation val="minMax"/>
          <max val="0.4"/>
          <min val="0"/>
        </scaling>
        <delete val="0"/>
        <axPos val="b"/>
        <majorGridlines>
          <spPr>
            <a:ln xmlns:a="http://schemas.openxmlformats.org/drawingml/2006/main" w="3175">
              <a:solidFill>
                <a:srgbClr val="000000"/>
              </a:solidFill>
              <a:prstDash val="solid"/>
            </a:ln>
          </spPr>
        </majorGridlines>
        <minorGridlines>
          <spPr>
            <a:ln xmlns:a="http://schemas.openxmlformats.org/drawingml/2006/main" w="3175">
              <a:solidFill>
                <a:srgbClr val="000000"/>
              </a:solidFill>
              <a:prstDash val="sysDash"/>
            </a:ln>
          </spPr>
        </minorGridlines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700" b="1" i="0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ES"/>
                  <a:t>Penetración (in.)</a:t>
                </a:r>
              </a:p>
            </rich>
          </tx>
          <layout>
            <manualLayout>
              <xMode val="edge"/>
              <yMode val="edge"/>
              <wMode val="factor"/>
              <hMode val="factor"/>
              <x val="0.3230197838173454"/>
              <y val="0.9190478019515853"/>
            </manualLayout>
          </layout>
          <overlay val="0"/>
          <spPr>
            <a:noFill xmlns:a="http://schemas.openxmlformats.org/drawingml/2006/main"/>
            <a:ln xmlns:a="http://schemas.openxmlformats.org/drawingml/2006/main" w="25400">
              <a:noFill/>
              <a:prstDash val="solid"/>
            </a:ln>
          </spPr>
        </title>
        <numFmt formatCode="0.0" sourceLinked="0"/>
        <majorTickMark val="out"/>
        <minorTickMark val="none"/>
        <tickLblPos val="nextTo"/>
        <spPr>
          <a:ln xmlns:a="http://schemas.openxmlformats.org/drawingml/2006/main" w="3175">
            <a:solidFill>
              <a:srgbClr val="000000"/>
            </a:solidFill>
            <a:prstDash val="solid"/>
          </a:ln>
        </spPr>
        <txPr>
          <a:bodyPr xmlns:a="http://schemas.openxmlformats.org/drawingml/2006/main" rot="0" vert="horz"/>
          <a:lstStyle xmlns:a="http://schemas.openxmlformats.org/drawingml/2006/main"/>
          <a:p xmlns:a="http://schemas.openxmlformats.org/drawingml/2006/main">
            <a:pPr>
              <a:defRPr sz="525" b="0" i="0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t/>
            </a:r>
            <a:endParaRPr lang="es-PE"/>
          </a:p>
        </txPr>
        <crossAx val="1"/>
        <crosses val="autoZero"/>
        <crossBetween val="midCat"/>
        <majorUnit val="0.1"/>
        <minorUnit val="0.05000000000000001"/>
      </valAx>
      <valAx>
        <axId val="1"/>
        <scaling>
          <orientation val="minMax"/>
          <max val="2000"/>
          <min val="0"/>
        </scaling>
        <delete val="0"/>
        <axPos val="l"/>
        <majorGridlines>
          <spPr>
            <a:ln xmlns:a="http://schemas.openxmlformats.org/drawingml/2006/main" w="3175">
              <a:solidFill>
                <a:srgbClr val="000000"/>
              </a:solidFill>
              <a:prstDash val="solid"/>
            </a:ln>
          </spPr>
        </majorGridlines>
        <minorGridlines>
          <spPr>
            <a:ln xmlns:a="http://schemas.openxmlformats.org/drawingml/2006/main" w="3175">
              <a:solidFill>
                <a:srgbClr val="000000"/>
              </a:solidFill>
              <a:prstDash val="sysDash"/>
            </a:ln>
          </spPr>
        </minorGridlines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700" b="1" i="0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ES"/>
                  <a:t>Tension sobre el piston (lbf/in2)</a:t>
                </a:r>
              </a:p>
            </rich>
          </tx>
          <layout>
            <manualLayout>
              <xMode val="edge"/>
              <yMode val="edge"/>
              <wMode val="factor"/>
              <hMode val="factor"/>
              <x val="0.03533171256818704"/>
              <y val="0.2044588328897912"/>
            </manualLayout>
          </layout>
          <overlay val="0"/>
          <spPr>
            <a:noFill xmlns:a="http://schemas.openxmlformats.org/drawingml/2006/main"/>
            <a:ln xmlns:a="http://schemas.openxmlformats.org/drawingml/2006/main" w="25400">
              <a:noFill/>
              <a:prstDash val="solid"/>
            </a:ln>
          </spPr>
        </title>
        <numFmt formatCode="0" sourceLinked="0"/>
        <majorTickMark val="out"/>
        <minorTickMark val="none"/>
        <tickLblPos val="nextTo"/>
        <spPr>
          <a:ln xmlns:a="http://schemas.openxmlformats.org/drawingml/2006/main" w="3175">
            <a:solidFill>
              <a:srgbClr val="000000"/>
            </a:solidFill>
            <a:prstDash val="solid"/>
          </a:ln>
        </spPr>
        <txPr>
          <a:bodyPr xmlns:a="http://schemas.openxmlformats.org/drawingml/2006/main" rot="0" vert="horz"/>
          <a:lstStyle xmlns:a="http://schemas.openxmlformats.org/drawingml/2006/main"/>
          <a:p xmlns:a="http://schemas.openxmlformats.org/drawingml/2006/main">
            <a:pPr>
              <a:defRPr sz="575" b="0" i="0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t/>
            </a:r>
            <a:endParaRPr lang="es-PE"/>
          </a:p>
        </txPr>
        <crossAx val="1188776880"/>
        <crosses val="autoZero"/>
        <crossBetween val="midCat"/>
        <majorUnit val="1000"/>
      </valAx>
    </plotArea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3175">
      <a:solidFill>
        <a:srgbClr val="000000"/>
      </a:solidFill>
      <a:prstDash val="solid"/>
    </a:ln>
  </spPr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800" b="1" i="0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s-ES"/>
              <a:t>C.B.R. (25 golpes)</a:t>
            </a:r>
          </a:p>
        </rich>
      </tx>
      <layout>
        <manualLayout>
          <xMode val="edge"/>
          <yMode val="edge"/>
          <wMode val="factor"/>
          <hMode val="factor"/>
          <x val="0.3741949892627058"/>
          <y val="0.02042313967510818"/>
        </manualLayout>
      </layout>
      <overlay val="0"/>
      <spPr>
        <a:noFill xmlns:a="http://schemas.openxmlformats.org/drawingml/2006/main"/>
        <a:ln xmlns:a="http://schemas.openxmlformats.org/drawingml/2006/main" w="25400">
          <a:noFill/>
          <a:prstDash val="solid"/>
        </a:ln>
      </spPr>
    </title>
    <plotArea>
      <layout>
        <manualLayout>
          <layoutTarget val="inner"/>
          <xMode val="edge"/>
          <yMode val="edge"/>
          <wMode val="factor"/>
          <hMode val="factor"/>
          <x val="0.2271244863657946"/>
          <y val="0.09530866646149568"/>
          <w val="0.7066095131380278"/>
          <h val="0.759065450746912"/>
        </manualLayout>
      </layout>
      <scatterChart>
        <scatterStyle val="lineMarker"/>
        <varyColors val="0"/>
        <ser>
          <idx val="0"/>
          <order val="0"/>
          <tx>
            <v>Curva sin correccion</v>
          </tx>
          <spPr>
            <a:ln xmlns:a="http://schemas.openxmlformats.org/drawingml/2006/main" w="28575">
              <a:noFill/>
              <a:prstDash val="solid"/>
            </a:ln>
          </spPr>
          <marker>
            <symbol val="diamond"/>
            <size val="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FF"/>
                </a:solidFill>
                <a:prstDash val="solid"/>
              </a:ln>
            </spPr>
          </marker>
          <trendline>
            <spPr>
              <a:ln xmlns:a="http://schemas.openxmlformats.org/drawingml/2006/main" w="15875">
                <a:solidFill>
                  <a:srgbClr val="0000FF"/>
                </a:solidFill>
                <a:prstDash val="solid"/>
              </a:ln>
            </spPr>
            <trendlineType val="poly"/>
            <order val="3"/>
            <dispRSqr val="0"/>
            <dispEq val="0"/>
          </trendline>
          <xVal>
            <numRef>
              <f>DATOS!$A$44:$A$55</f>
              <numCache>
                <formatCode>0.000</formatCode>
                <ptCount val="12"/>
                <pt idx="0">
                  <v>0</v>
                </pt>
                <pt idx="1">
                  <v>0.025</v>
                </pt>
                <pt idx="2">
                  <v>0.05</v>
                </pt>
                <pt idx="3">
                  <v>0.075</v>
                </pt>
                <pt idx="4">
                  <v>0.1</v>
                </pt>
                <pt idx="5">
                  <v>0.125</v>
                </pt>
                <pt idx="6">
                  <v>0.15</v>
                </pt>
                <pt idx="7">
                  <v>0.175</v>
                </pt>
                <pt idx="8">
                  <v>0.2</v>
                </pt>
                <pt idx="9">
                  <v>0.3</v>
                </pt>
                <pt idx="10">
                  <v>0.4</v>
                </pt>
                <pt idx="11">
                  <v>0.5</v>
                </pt>
              </numCache>
            </numRef>
          </xVal>
          <yVal>
            <numRef>
              <f>DATOS!$K$44:$K$55</f>
              <numCache>
                <formatCode>0.0</formatCode>
                <ptCount val="12"/>
                <pt idx="0">
                  <v>0</v>
                </pt>
                <pt idx="1">
                  <v>0.7885542237430468</v>
                </pt>
                <pt idx="2">
                  <v>0.7885542237430468</v>
                </pt>
                <pt idx="3">
                  <v>0.7885542237430468</v>
                </pt>
                <pt idx="4">
                  <v>0.7885542237430468</v>
                </pt>
                <pt idx="5">
                  <v>0.7885542237430468</v>
                </pt>
                <pt idx="6">
                  <v>0.7885542237430468</v>
                </pt>
                <pt idx="7">
                  <v>0.7885542237430468</v>
                </pt>
                <pt idx="8">
                  <v>0.7885542237430468</v>
                </pt>
                <pt idx="9">
                  <v>0.7885542237430468</v>
                </pt>
                <pt idx="10">
                  <v>0.7885542237430468</v>
                </pt>
                <pt idx="11">
                  <v>0.7885542237430468</v>
                </pt>
              </numCache>
            </numRef>
          </yVal>
          <smooth val="0"/>
        </ser>
        <ser>
          <idx val="1"/>
          <order val="1"/>
          <spPr>
            <a:ln xmlns:a="http://schemas.openxmlformats.org/drawingml/2006/main" w="3175">
              <a:solidFill>
                <a:srgbClr val="FF0000"/>
              </a:solidFill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FF0000"/>
                </a:solidFill>
                <a:prstDash val="solid"/>
              </a:ln>
            </spPr>
          </marker>
          <xVal>
            <numRef>
              <f>'cbr graficos'!$A$1:$A$1</f>
              <numCache>
                <formatCode>General</formatCode>
                <ptCount val="1"/>
                <pt idx="0">
                  <v>1</v>
                </pt>
              </numCache>
            </numRef>
          </xVal>
          <yVal>
            <numRef>
              <f>'cbr graficos'!$A$1:$A$1</f>
              <numCache>
                <formatCode>General</formatCode>
                <ptCount val="1"/>
                <pt idx="0">
                  <v>1</v>
                </pt>
              </numCache>
            </numRef>
          </yVal>
          <smooth val="0"/>
        </ser>
        <ser>
          <idx val="2"/>
          <order val="2"/>
          <spPr>
            <a:ln xmlns:a="http://schemas.openxmlformats.org/drawingml/2006/main" w="3175">
              <a:solidFill>
                <a:srgbClr val="FF0000"/>
              </a:solidFill>
              <a:prstDash val="solid"/>
            </a:ln>
          </spPr>
          <marker>
            <symbol val="circle"/>
            <size val="3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FF0000"/>
                </a:solidFill>
                <a:prstDash val="solid"/>
              </a:ln>
            </spPr>
          </marker>
          <dLbls>
            <dLbl>
              <idx val="2"/>
              <numFmt formatCode="0.0"/>
              <spPr>
                <a:solidFill xmlns:a="http://schemas.openxmlformats.org/drawingml/2006/main">
                  <a:srgbClr val="FFFFFF"/>
                </a:solidFill>
                <a:ln xmlns:a="http://schemas.openxmlformats.org/drawingml/2006/main" w="3175">
                  <a:solidFill>
                    <a:srgbClr val="000000"/>
                  </a:solidFill>
                  <a:prstDash val="solid"/>
                </a:ln>
              </spPr>
              <txPr>
                <a:bodyPr xmlns:a="http://schemas.openxmlformats.org/drawingml/2006/main"/>
                <a:lstStyle xmlns:a="http://schemas.openxmlformats.org/drawingml/2006/main"/>
                <a:p xmlns:a="http://schemas.openxmlformats.org/drawingml/2006/main">
                  <a:pPr>
                    <a:defRPr sz="550" b="0" i="0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r>
                    <a:t/>
                  </a:r>
                  <a:endParaRPr lang="es-PE"/>
                </a:p>
              </txPr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numFmt formatCode="0.0"/>
            <spPr>
              <a:solidFill xmlns:a="http://schemas.openxmlformats.org/drawingml/2006/main">
                <a:srgbClr val="FFFFFF"/>
              </a:solidFill>
              <a:ln xmlns:a="http://schemas.openxmlformats.org/drawingml/2006/main" w="3175">
                <a:solidFill>
                  <a:srgbClr val="000000"/>
                </a:solidFill>
                <a:prstDash val="solid"/>
              </a:ln>
            </spPr>
            <txPr>
              <a:bodyPr xmlns:a="http://schemas.openxmlformats.org/drawingml/2006/main" wrap="square" lIns="38100" tIns="19050" rIns="38100" bIns="19050" anchor="ctr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550" b="0" i="0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t/>
                </a:r>
                <a:endParaRPr lang="es-PE"/>
              </a:p>
            </txPr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xVal>
            <numRef>
              <f>'cbr graficos'!$A$2:$A$2</f>
              <numCache>
                <formatCode>General</formatCode>
                <ptCount val="1"/>
                <pt idx="0">
                  <v>1</v>
                </pt>
              </numCache>
            </numRef>
          </xVal>
          <yVal>
            <numRef>
              <f>'cbr graficos'!$A$2:$A$2</f>
              <numCache>
                <formatCode>General</formatCode>
                <ptCount val="1"/>
                <pt idx="0">
                  <v>1</v>
                </pt>
              </numCache>
            </numRef>
          </yVal>
          <smooth val="0"/>
        </ser>
        <ser>
          <idx val="3"/>
          <order val="3"/>
          <spPr>
            <a:ln xmlns:a="http://schemas.openxmlformats.org/drawingml/2006/main" w="15875">
              <a:solidFill>
                <a:schemeClr val="tx1"/>
              </a:solidFill>
              <a:prstDash val="solid"/>
            </a:ln>
          </spPr>
          <marker>
            <symbol val="circle"/>
            <size val="2"/>
            <spPr>
              <a:ln xmlns:a="http://schemas.openxmlformats.org/drawingml/2006/main">
                <a:solidFill>
                  <a:schemeClr val="tx1"/>
                </a:solidFill>
                <a:prstDash val="solid"/>
              </a:ln>
            </spPr>
          </marker>
          <dPt>
            <idx val="1"/>
            <marker>
              <symbol val="none"/>
              <spPr>
                <a:ln xmlns:a="http://schemas.openxmlformats.org/drawingml/2006/main">
                  <a:prstDash val="solid"/>
                </a:ln>
              </spPr>
            </marker>
            <bubble3D val="0"/>
            <spPr>
              <a:ln xmlns:a="http://schemas.openxmlformats.org/drawingml/2006/main">
                <a:prstDash val="solid"/>
              </a:ln>
            </spPr>
          </dPt>
          <xVal>
            <numRef>
              <f>'INFORME-2'!$AK$15:$AK$16</f>
              <numCache>
                <formatCode>0.000</formatCode>
                <ptCount val="2"/>
                <pt idx="0">
                  <formatCode>General</formatCode>
                  <v>0</v>
                </pt>
                <pt idx="1">
                  <v>0</v>
                </pt>
              </numCache>
            </numRef>
          </xVal>
          <yVal>
            <numRef>
              <f>'INFORME-2'!$AL$15:$AL$16</f>
              <numCache>
                <formatCode>General</formatCode>
                <ptCount val="2"/>
                <pt idx="0">
                  <formatCode>0.0</formatCode>
                  <v>0</v>
                </pt>
                <pt idx="1">
                  <v>0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1486280399"/>
        <axId val="1"/>
      </scatterChart>
      <valAx>
        <axId val="1486280399"/>
        <scaling>
          <orientation val="minMax"/>
          <max val="0.5"/>
          <min val="0"/>
        </scaling>
        <delete val="0"/>
        <axPos val="b"/>
        <majorGridlines>
          <spPr>
            <a:ln xmlns:a="http://schemas.openxmlformats.org/drawingml/2006/main" w="3175">
              <a:solidFill>
                <a:srgbClr val="000000"/>
              </a:solidFill>
              <a:prstDash val="solid"/>
            </a:ln>
          </spPr>
        </majorGridlines>
        <minorGridlines>
          <spPr>
            <a:ln xmlns:a="http://schemas.openxmlformats.org/drawingml/2006/main" w="3175">
              <a:solidFill>
                <a:srgbClr val="000000"/>
              </a:solidFill>
              <a:prstDash val="sysDash"/>
            </a:ln>
          </spPr>
        </minorGridlines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750" b="0" i="0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ES"/>
                  <a:t>Penetración (in.)</a:t>
                </a:r>
              </a:p>
            </rich>
          </tx>
          <layout>
            <manualLayout>
              <xMode val="edge"/>
              <yMode val="edge"/>
              <wMode val="factor"/>
              <hMode val="factor"/>
              <x val="0.3230198043426389"/>
              <y val="0.9190480244023551"/>
            </manualLayout>
          </layout>
          <overlay val="0"/>
          <spPr>
            <a:noFill xmlns:a="http://schemas.openxmlformats.org/drawingml/2006/main"/>
            <a:ln xmlns:a="http://schemas.openxmlformats.org/drawingml/2006/main" w="25400">
              <a:noFill/>
              <a:prstDash val="solid"/>
            </a:ln>
          </spPr>
        </title>
        <numFmt formatCode="0.0" sourceLinked="0"/>
        <majorTickMark val="out"/>
        <minorTickMark val="none"/>
        <tickLblPos val="nextTo"/>
        <spPr>
          <a:ln xmlns:a="http://schemas.openxmlformats.org/drawingml/2006/main" w="3175">
            <a:solidFill>
              <a:srgbClr val="000000"/>
            </a:solidFill>
            <a:prstDash val="solid"/>
          </a:ln>
        </spPr>
        <txPr>
          <a:bodyPr xmlns:a="http://schemas.openxmlformats.org/drawingml/2006/main" rot="0" vert="horz"/>
          <a:lstStyle xmlns:a="http://schemas.openxmlformats.org/drawingml/2006/main"/>
          <a:p xmlns:a="http://schemas.openxmlformats.org/drawingml/2006/main">
            <a:pPr>
              <a:defRPr sz="525" b="0" i="0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t/>
            </a:r>
            <a:endParaRPr lang="es-PE"/>
          </a:p>
        </txPr>
        <crossAx val="1"/>
        <crosses val="autoZero"/>
        <crossBetween val="midCat"/>
        <majorUnit val="0.1"/>
        <minorUnit val="0.05000000000000001"/>
      </valAx>
      <valAx>
        <axId val="1"/>
        <scaling>
          <orientation val="minMax"/>
          <max val="5000"/>
          <min val="0"/>
        </scaling>
        <delete val="0"/>
        <axPos val="l"/>
        <majorGridlines>
          <spPr>
            <a:ln xmlns:a="http://schemas.openxmlformats.org/drawingml/2006/main" w="3175">
              <a:solidFill>
                <a:srgbClr val="000000"/>
              </a:solidFill>
              <a:prstDash val="solid"/>
            </a:ln>
          </spPr>
        </majorGridlines>
        <minorGridlines>
          <spPr>
            <a:ln xmlns:a="http://schemas.openxmlformats.org/drawingml/2006/main" w="3175">
              <a:solidFill>
                <a:srgbClr val="000000"/>
              </a:solidFill>
              <a:prstDash val="sysDash"/>
            </a:ln>
          </spPr>
        </minorGridlines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750" b="0" i="0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ES"/>
                  <a:t>Tensión sobre el pistón (lbf/in2)</a:t>
                </a:r>
              </a:p>
            </rich>
          </tx>
          <layout>
            <manualLayout>
              <xMode val="edge"/>
              <yMode val="edge"/>
              <wMode val="factor"/>
              <hMode val="factor"/>
              <x val="0.03533094726795514"/>
              <y val="0.2044583954032773"/>
            </manualLayout>
          </layout>
          <overlay val="0"/>
          <spPr>
            <a:noFill xmlns:a="http://schemas.openxmlformats.org/drawingml/2006/main"/>
            <a:ln xmlns:a="http://schemas.openxmlformats.org/drawingml/2006/main" w="25400">
              <a:noFill/>
              <a:prstDash val="solid"/>
            </a:ln>
          </spPr>
        </title>
        <numFmt formatCode="0" sourceLinked="0"/>
        <majorTickMark val="out"/>
        <minorTickMark val="none"/>
        <tickLblPos val="nextTo"/>
        <spPr>
          <a:ln xmlns:a="http://schemas.openxmlformats.org/drawingml/2006/main" w="3175">
            <a:solidFill>
              <a:srgbClr val="000000"/>
            </a:solidFill>
            <a:prstDash val="solid"/>
          </a:ln>
        </spPr>
        <txPr>
          <a:bodyPr xmlns:a="http://schemas.openxmlformats.org/drawingml/2006/main" rot="0" vert="horz"/>
          <a:lstStyle xmlns:a="http://schemas.openxmlformats.org/drawingml/2006/main"/>
          <a:p xmlns:a="http://schemas.openxmlformats.org/drawingml/2006/main">
            <a:pPr>
              <a:defRPr sz="575" b="0" i="0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t/>
            </a:r>
            <a:endParaRPr lang="es-PE"/>
          </a:p>
        </txPr>
        <crossAx val="1486280399"/>
        <crosses val="autoZero"/>
        <crossBetween val="midCat"/>
        <majorUnit val="1000"/>
      </valAx>
    </plotArea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3175">
      <a:solidFill>
        <a:srgbClr val="000000"/>
      </a:solidFill>
      <a:prstDash val="solid"/>
    </a:ln>
  </spPr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800" b="1" i="0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s-ES"/>
              <a:t>C.B.R. (10 golpes)</a:t>
            </a:r>
          </a:p>
        </rich>
      </tx>
      <layout>
        <manualLayout>
          <xMode val="edge"/>
          <yMode val="edge"/>
          <wMode val="factor"/>
          <hMode val="factor"/>
          <x val="0.3741944756905387"/>
          <y val="0.02042313967510818"/>
        </manualLayout>
      </layout>
      <overlay val="0"/>
      <spPr>
        <a:noFill xmlns:a="http://schemas.openxmlformats.org/drawingml/2006/main"/>
        <a:ln xmlns:a="http://schemas.openxmlformats.org/drawingml/2006/main" w="25400">
          <a:noFill/>
          <a:prstDash val="solid"/>
        </a:ln>
      </spPr>
    </title>
    <plotArea>
      <layout>
        <manualLayout>
          <layoutTarget val="inner"/>
          <xMode val="edge"/>
          <yMode val="edge"/>
          <wMode val="factor"/>
          <hMode val="factor"/>
          <x val="0.2271244863657946"/>
          <y val="0.09530866646149568"/>
          <w val="0.7066095131380278"/>
          <h val="0.759065450746912"/>
        </manualLayout>
      </layout>
      <scatterChart>
        <scatterStyle val="lineMarker"/>
        <varyColors val="0"/>
        <ser>
          <idx val="0"/>
          <order val="0"/>
          <tx>
            <v>Curva sin correccion</v>
          </tx>
          <spPr>
            <a:ln xmlns:a="http://schemas.openxmlformats.org/drawingml/2006/main" w="28575">
              <a:noFill/>
              <a:prstDash val="solid"/>
            </a:ln>
          </spPr>
          <marker>
            <symbol val="diamond"/>
            <size val="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FF"/>
                </a:solidFill>
                <a:prstDash val="solid"/>
              </a:ln>
            </spPr>
          </marker>
          <trendline>
            <spPr>
              <a:ln xmlns:a="http://schemas.openxmlformats.org/drawingml/2006/main" w="15875">
                <a:solidFill>
                  <a:srgbClr val="0000FF"/>
                </a:solidFill>
                <a:prstDash val="solid"/>
              </a:ln>
            </spPr>
            <trendlineType val="poly"/>
            <order val="3"/>
            <dispRSqr val="0"/>
            <dispEq val="0"/>
          </trendline>
          <xVal>
            <numRef>
              <f>DATOS!$A$44:$A$55</f>
              <numCache>
                <formatCode>0.000</formatCode>
                <ptCount val="12"/>
                <pt idx="0">
                  <v>0</v>
                </pt>
                <pt idx="1">
                  <v>0.025</v>
                </pt>
                <pt idx="2">
                  <v>0.05</v>
                </pt>
                <pt idx="3">
                  <v>0.075</v>
                </pt>
                <pt idx="4">
                  <v>0.1</v>
                </pt>
                <pt idx="5">
                  <v>0.125</v>
                </pt>
                <pt idx="6">
                  <v>0.15</v>
                </pt>
                <pt idx="7">
                  <v>0.175</v>
                </pt>
                <pt idx="8">
                  <v>0.2</v>
                </pt>
                <pt idx="9">
                  <v>0.3</v>
                </pt>
                <pt idx="10">
                  <v>0.4</v>
                </pt>
                <pt idx="11">
                  <v>0.5</v>
                </pt>
              </numCache>
            </numRef>
          </xVal>
          <yVal>
            <numRef>
              <f>DATOS!$O$44:$O$55</f>
              <numCache>
                <formatCode>0.0</formatCode>
                <ptCount val="12"/>
                <pt idx="0">
                  <v>0</v>
                </pt>
                <pt idx="1">
                  <v>0.7885542237430468</v>
                </pt>
                <pt idx="2">
                  <v>0.7885542237430468</v>
                </pt>
                <pt idx="3">
                  <v>0.7885542237430468</v>
                </pt>
                <pt idx="4">
                  <v>0.7885542237430468</v>
                </pt>
                <pt idx="5">
                  <v>0.7885542237430468</v>
                </pt>
                <pt idx="6">
                  <v>0.7885542237430468</v>
                </pt>
                <pt idx="7">
                  <v>0.7885542237430468</v>
                </pt>
                <pt idx="8">
                  <v>0.7885542237430468</v>
                </pt>
                <pt idx="9">
                  <v>0.7885542237430468</v>
                </pt>
                <pt idx="10">
                  <v>0.7885542237430468</v>
                </pt>
                <pt idx="11">
                  <v>0.7885542237430468</v>
                </pt>
              </numCache>
            </numRef>
          </yVal>
          <smooth val="0"/>
        </ser>
        <ser>
          <idx val="1"/>
          <order val="1"/>
          <spPr>
            <a:ln xmlns:a="http://schemas.openxmlformats.org/drawingml/2006/main" w="3175">
              <a:solidFill>
                <a:srgbClr val="FF0000"/>
              </a:solidFill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FF0000"/>
                </a:solidFill>
                <a:prstDash val="solid"/>
              </a:ln>
            </spPr>
          </marker>
          <xVal>
            <numRef>
              <f>'cbr graficos'!$A$1:$A$1</f>
              <numCache>
                <formatCode>General</formatCode>
                <ptCount val="1"/>
                <pt idx="0">
                  <v>1</v>
                </pt>
              </numCache>
            </numRef>
          </xVal>
          <yVal>
            <numRef>
              <f>'cbr graficos'!$A$1:$A$1</f>
              <numCache>
                <formatCode>General</formatCode>
                <ptCount val="1"/>
                <pt idx="0">
                  <v>1</v>
                </pt>
              </numCache>
            </numRef>
          </yVal>
          <smooth val="0"/>
        </ser>
        <ser>
          <idx val="2"/>
          <order val="2"/>
          <spPr>
            <a:ln xmlns:a="http://schemas.openxmlformats.org/drawingml/2006/main" w="3175">
              <a:solidFill>
                <a:srgbClr val="FF0000"/>
              </a:solidFill>
              <a:prstDash val="solid"/>
            </a:ln>
          </spPr>
          <marker>
            <symbol val="circle"/>
            <size val="3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FF0000"/>
                </a:solidFill>
                <a:prstDash val="solid"/>
              </a:ln>
            </spPr>
          </marker>
          <dLbls>
            <dLbl>
              <idx val="2"/>
              <numFmt formatCode="0.0"/>
              <spPr>
                <a:solidFill xmlns:a="http://schemas.openxmlformats.org/drawingml/2006/main">
                  <a:srgbClr val="FFFFFF"/>
                </a:solidFill>
                <a:ln xmlns:a="http://schemas.openxmlformats.org/drawingml/2006/main" w="3175">
                  <a:solidFill>
                    <a:srgbClr val="000000"/>
                  </a:solidFill>
                  <a:prstDash val="solid"/>
                </a:ln>
              </spPr>
              <txPr>
                <a:bodyPr xmlns:a="http://schemas.openxmlformats.org/drawingml/2006/main"/>
                <a:lstStyle xmlns:a="http://schemas.openxmlformats.org/drawingml/2006/main"/>
                <a:p xmlns:a="http://schemas.openxmlformats.org/drawingml/2006/main">
                  <a:pPr>
                    <a:defRPr sz="550" b="0" i="0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r>
                    <a:t/>
                  </a:r>
                  <a:endParaRPr lang="es-PE"/>
                </a:p>
              </txPr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numFmt formatCode="0.0"/>
            <spPr>
              <a:solidFill xmlns:a="http://schemas.openxmlformats.org/drawingml/2006/main">
                <a:srgbClr val="FFFFFF"/>
              </a:solidFill>
              <a:ln xmlns:a="http://schemas.openxmlformats.org/drawingml/2006/main" w="3175">
                <a:solidFill>
                  <a:srgbClr val="000000"/>
                </a:solidFill>
                <a:prstDash val="solid"/>
              </a:ln>
            </spPr>
            <txPr>
              <a:bodyPr xmlns:a="http://schemas.openxmlformats.org/drawingml/2006/main" wrap="square" lIns="38100" tIns="19050" rIns="38100" bIns="19050" anchor="ctr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550" b="0" i="0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t/>
                </a:r>
                <a:endParaRPr lang="es-PE"/>
              </a:p>
            </txPr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xVal>
            <numRef>
              <f>'cbr graficos'!$A$2:$A$2</f>
              <numCache>
                <formatCode>General</formatCode>
                <ptCount val="1"/>
                <pt idx="0">
                  <v>1</v>
                </pt>
              </numCache>
            </numRef>
          </xVal>
          <yVal>
            <numRef>
              <f>'cbr graficos'!$A$2:$A$2</f>
              <numCache>
                <formatCode>General</formatCode>
                <ptCount val="1"/>
                <pt idx="0">
                  <v>1</v>
                </pt>
              </numCache>
            </numRef>
          </yVal>
          <smooth val="0"/>
        </ser>
        <ser>
          <idx val="3"/>
          <order val="3"/>
          <spPr>
            <a:ln xmlns:a="http://schemas.openxmlformats.org/drawingml/2006/main" w="15875">
              <a:solidFill>
                <a:schemeClr val="tx1"/>
              </a:solidFill>
              <a:prstDash val="solid"/>
            </a:ln>
          </spPr>
          <marker>
            <symbol val="circle"/>
            <size val="2"/>
            <spPr>
              <a:ln xmlns:a="http://schemas.openxmlformats.org/drawingml/2006/main">
                <a:solidFill>
                  <a:schemeClr val="tx1"/>
                </a:solidFill>
                <a:prstDash val="solid"/>
              </a:ln>
            </spPr>
          </marker>
          <dPt>
            <idx val="1"/>
            <marker>
              <symbol val="none"/>
              <spPr>
                <a:ln xmlns:a="http://schemas.openxmlformats.org/drawingml/2006/main">
                  <a:prstDash val="solid"/>
                </a:ln>
              </spPr>
            </marker>
            <bubble3D val="0"/>
            <spPr>
              <a:ln xmlns:a="http://schemas.openxmlformats.org/drawingml/2006/main">
                <a:prstDash val="solid"/>
              </a:ln>
            </spPr>
          </dPt>
          <xVal>
            <numRef>
              <f>'INFORME-2'!$AU$15:$AU$16</f>
              <numCache>
                <formatCode>0.000</formatCode>
                <ptCount val="2"/>
                <pt idx="0">
                  <formatCode>General</formatCode>
                  <v>0</v>
                </pt>
                <pt idx="1">
                  <v>0</v>
                </pt>
              </numCache>
            </numRef>
          </xVal>
          <yVal>
            <numRef>
              <f>'INFORME-2'!$AV$15:$AV$16</f>
              <numCache>
                <formatCode>General</formatCode>
                <ptCount val="2"/>
                <pt idx="0">
                  <formatCode>0.0</formatCode>
                  <v>0</v>
                </pt>
                <pt idx="1">
                  <v>0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1678636832"/>
        <axId val="1"/>
      </scatterChart>
      <valAx>
        <axId val="1678636832"/>
        <scaling>
          <orientation val="minMax"/>
          <max val="0.5"/>
          <min val="0"/>
        </scaling>
        <delete val="0"/>
        <axPos val="b"/>
        <majorGridlines>
          <spPr>
            <a:ln xmlns:a="http://schemas.openxmlformats.org/drawingml/2006/main" w="3175">
              <a:solidFill>
                <a:srgbClr val="000000"/>
              </a:solidFill>
              <a:prstDash val="solid"/>
            </a:ln>
          </spPr>
        </majorGridlines>
        <minorGridlines>
          <spPr>
            <a:ln xmlns:a="http://schemas.openxmlformats.org/drawingml/2006/main" w="3175">
              <a:solidFill>
                <a:srgbClr val="000000"/>
              </a:solidFill>
              <a:prstDash val="sysDash"/>
            </a:ln>
          </spPr>
        </minorGridlines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750" b="0" i="0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ES"/>
                  <a:t>Penetración (in.)</a:t>
                </a:r>
              </a:p>
            </rich>
          </tx>
          <layout>
            <manualLayout>
              <xMode val="edge"/>
              <yMode val="edge"/>
              <wMode val="factor"/>
              <hMode val="factor"/>
              <x val="0.3230204557763613"/>
              <y val="0.9190480244023551"/>
            </manualLayout>
          </layout>
          <overlay val="0"/>
          <spPr>
            <a:noFill xmlns:a="http://schemas.openxmlformats.org/drawingml/2006/main"/>
            <a:ln xmlns:a="http://schemas.openxmlformats.org/drawingml/2006/main" w="25400">
              <a:noFill/>
              <a:prstDash val="solid"/>
            </a:ln>
          </spPr>
        </title>
        <numFmt formatCode="0.0" sourceLinked="0"/>
        <majorTickMark val="out"/>
        <minorTickMark val="none"/>
        <tickLblPos val="nextTo"/>
        <spPr>
          <a:ln xmlns:a="http://schemas.openxmlformats.org/drawingml/2006/main" w="3175">
            <a:solidFill>
              <a:srgbClr val="000000"/>
            </a:solidFill>
            <a:prstDash val="solid"/>
          </a:ln>
        </spPr>
        <txPr>
          <a:bodyPr xmlns:a="http://schemas.openxmlformats.org/drawingml/2006/main" rot="0" vert="horz"/>
          <a:lstStyle xmlns:a="http://schemas.openxmlformats.org/drawingml/2006/main"/>
          <a:p xmlns:a="http://schemas.openxmlformats.org/drawingml/2006/main">
            <a:pPr>
              <a:defRPr sz="525" b="0" i="0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t/>
            </a:r>
            <a:endParaRPr lang="es-PE"/>
          </a:p>
        </txPr>
        <crossAx val="1"/>
        <crosses val="autoZero"/>
        <crossBetween val="midCat"/>
        <majorUnit val="0.1"/>
        <minorUnit val="0.05000000000000001"/>
      </valAx>
      <valAx>
        <axId val="1"/>
        <scaling>
          <orientation val="minMax"/>
          <max val="5000"/>
          <min val="0"/>
        </scaling>
        <delete val="0"/>
        <axPos val="l"/>
        <majorGridlines>
          <spPr>
            <a:ln xmlns:a="http://schemas.openxmlformats.org/drawingml/2006/main" w="3175">
              <a:solidFill>
                <a:srgbClr val="000000"/>
              </a:solidFill>
              <a:prstDash val="solid"/>
            </a:ln>
          </spPr>
        </majorGridlines>
        <minorGridlines>
          <spPr>
            <a:ln xmlns:a="http://schemas.openxmlformats.org/drawingml/2006/main" w="3175">
              <a:solidFill>
                <a:srgbClr val="000000"/>
              </a:solidFill>
              <a:prstDash val="sysDash"/>
            </a:ln>
          </spPr>
        </minorGridlines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750" b="0" i="0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ES"/>
                  <a:t>Tensión sobre el pistón (lbf/in2)</a:t>
                </a:r>
              </a:p>
            </rich>
          </tx>
          <layout>
            <manualLayout>
              <xMode val="edge"/>
              <yMode val="edge"/>
              <wMode val="factor"/>
              <hMode val="factor"/>
              <x val="0.0353318335208099"/>
              <y val="0.2044583954032773"/>
            </manualLayout>
          </layout>
          <overlay val="0"/>
          <spPr>
            <a:noFill xmlns:a="http://schemas.openxmlformats.org/drawingml/2006/main"/>
            <a:ln xmlns:a="http://schemas.openxmlformats.org/drawingml/2006/main" w="25400">
              <a:noFill/>
              <a:prstDash val="solid"/>
            </a:ln>
          </spPr>
        </title>
        <numFmt formatCode="0" sourceLinked="0"/>
        <majorTickMark val="out"/>
        <minorTickMark val="none"/>
        <tickLblPos val="nextTo"/>
        <spPr>
          <a:ln xmlns:a="http://schemas.openxmlformats.org/drawingml/2006/main" w="3175">
            <a:solidFill>
              <a:srgbClr val="000000"/>
            </a:solidFill>
            <a:prstDash val="solid"/>
          </a:ln>
        </spPr>
        <txPr>
          <a:bodyPr xmlns:a="http://schemas.openxmlformats.org/drawingml/2006/main" rot="0" vert="horz"/>
          <a:lstStyle xmlns:a="http://schemas.openxmlformats.org/drawingml/2006/main"/>
          <a:p xmlns:a="http://schemas.openxmlformats.org/drawingml/2006/main">
            <a:pPr>
              <a:defRPr sz="575" b="0" i="0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t/>
            </a:r>
            <a:endParaRPr lang="es-PE"/>
          </a:p>
        </txPr>
        <crossAx val="1678636832"/>
        <crosses val="autoZero"/>
        <crossBetween val="midCat"/>
        <majorUnit val="1000"/>
      </valAx>
    </plotArea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3175">
      <a:solidFill>
        <a:srgbClr val="000000"/>
      </a:solidFill>
      <a:prstDash val="solid"/>
    </a:ln>
  </spPr>
</chartSpace>
</file>

<file path=xl/charts/chart7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800" b="1" i="0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s-ES"/>
              <a:t>PESO UNITARIO VS CBR</a:t>
            </a:r>
          </a:p>
        </rich>
      </tx>
      <overlay val="0"/>
    </title>
    <plotArea>
      <layout>
        <manualLayout>
          <layoutTarget val="inner"/>
          <xMode val="edge"/>
          <yMode val="edge"/>
          <wMode val="factor"/>
          <hMode val="factor"/>
          <x val="0.1604897764278172"/>
          <y val="0.120270657936183"/>
          <w val="0.7998880046865731"/>
          <h val="0.7345984969473323"/>
        </manualLayout>
      </layout>
      <scatterChart>
        <scatterStyle val="smoothMarker"/>
        <varyColors val="0"/>
        <ser>
          <idx val="0"/>
          <order val="0"/>
          <tx>
            <v>CBR 0.1"</v>
          </tx>
          <spPr>
            <a:ln xmlns:a="http://schemas.openxmlformats.org/drawingml/2006/main" w="25400">
              <a:solidFill>
                <a:srgbClr val="0000FF"/>
              </a:solidFill>
              <a:prstDash val="solid"/>
            </a:ln>
          </spPr>
          <marker>
            <symbol val="triangle"/>
            <size val="5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3333CC"/>
                </a:solidFill>
                <a:prstDash val="solid"/>
              </a:ln>
            </spPr>
          </marker>
          <xVal>
            <numRef>
              <f>'INFORME-2'!$V$60:$X$60</f>
              <numCache>
                <formatCode>0.0</formatCode>
                <ptCount val="3"/>
                <pt idx="0">
                  <v>#N/A</v>
                </pt>
                <pt idx="1">
                  <v>#N/A</v>
                </pt>
                <pt idx="2">
                  <v>#N/A</v>
                </pt>
              </numCache>
            </numRef>
          </xVal>
          <yVal>
            <numRef>
              <f>'INFORME-2'!$V$59:$X$59</f>
              <numCache>
                <formatCode>0.0</formatCode>
                <ptCount val="3"/>
                <pt idx="0">
                  <v>0.08316649652454561</v>
                </pt>
                <pt idx="1">
                  <v>0.08316649652454561</v>
                </pt>
                <pt idx="2">
                  <v>0.08316649652454561</v>
                </pt>
              </numCache>
            </numRef>
          </yVal>
          <smooth val="1"/>
        </ser>
        <ser>
          <idx val="1"/>
          <order val="1"/>
          <tx>
            <v>CBR 0.2"</v>
          </tx>
          <spPr>
            <a:ln xmlns:a="http://schemas.openxmlformats.org/drawingml/2006/main" w="25400">
              <a:solidFill>
                <a:srgbClr val="000000"/>
              </a:solidFill>
              <a:prstDash val="solid"/>
            </a:ln>
          </spPr>
          <marker>
            <symbol val="diamond"/>
            <size val="4"/>
            <spPr>
              <a:solidFill xmlns:a="http://schemas.openxmlformats.org/drawingml/2006/main">
                <a:srgbClr val="000080"/>
              </a:solidFill>
              <a:ln xmlns:a="http://schemas.openxmlformats.org/drawingml/2006/main">
                <a:solidFill>
                  <a:srgbClr val="000080"/>
                </a:solidFill>
                <a:prstDash val="solid"/>
              </a:ln>
            </spPr>
          </marker>
          <xVal>
            <numRef>
              <f>'INFORME-2'!$V$63:$X$63</f>
              <numCache>
                <formatCode>0.0</formatCode>
                <ptCount val="3"/>
                <pt idx="0">
                  <v>#N/A</v>
                </pt>
                <pt idx="1">
                  <v>#N/A</v>
                </pt>
                <pt idx="2">
                  <v>#N/A</v>
                </pt>
              </numCache>
            </numRef>
          </xVal>
          <yVal>
            <numRef>
              <f>'INFORME-2'!$V$62:$X$62</f>
              <numCache>
                <formatCode>0.0</formatCode>
                <ptCount val="3"/>
                <pt idx="0">
                  <v>0.05389066841818114</v>
                </pt>
                <pt idx="1">
                  <v>0.05389066841818114</v>
                </pt>
                <pt idx="2">
                  <v>0.05389066841818114</v>
                </pt>
              </numCache>
            </numRef>
          </yVal>
          <smooth val="1"/>
        </ser>
        <ser>
          <idx val="2"/>
          <order val="2"/>
          <tx>
            <v>95%MDS</v>
          </tx>
          <spPr>
            <a:ln xmlns:a="http://schemas.openxmlformats.org/drawingml/2006/main" w="25400">
              <a:solidFill>
                <a:srgbClr val="FF0000"/>
              </a:solidFill>
              <a:prstDash val="solid"/>
            </a:ln>
          </spPr>
          <marker>
            <symbol val="dot"/>
            <size val="4"/>
            <spPr>
              <a:noFill xmlns:a="http://schemas.openxmlformats.org/drawingml/2006/main"/>
              <a:ln xmlns:a="http://schemas.openxmlformats.org/drawingml/2006/main">
                <a:solidFill>
                  <a:srgbClr val="FF0000"/>
                </a:solidFill>
                <a:prstDash val="solid"/>
              </a:ln>
            </spPr>
          </marker>
          <xVal>
            <numRef>
              <f>'cbr graficos'!$J$41:$K$41</f>
              <numCache>
                <formatCode>General</formatCode>
                <ptCount val="2"/>
                <pt idx="0">
                  <v>0</v>
                </pt>
                <pt idx="1">
                  <v>2.983590648201544</v>
                </pt>
              </numCache>
            </numRef>
          </xVal>
          <yVal>
            <numRef>
              <f>'cbr graficos'!$J$43:$K$43</f>
              <numCache>
                <formatCode>General</formatCode>
                <ptCount val="2"/>
                <pt idx="0">
                  <v>1.8354</v>
                </pt>
                <pt idx="1">
                  <v>1.8354</v>
                </pt>
              </numCache>
            </numRef>
          </yVal>
          <smooth val="0"/>
        </ser>
        <ser>
          <idx val="3"/>
          <order val="3"/>
          <tx>
            <v>100%MDS</v>
          </tx>
          <spPr>
            <a:ln xmlns:a="http://schemas.openxmlformats.org/drawingml/2006/main" w="25400">
              <a:solidFill>
                <a:srgbClr val="3333C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yVal>
            <numLit>
              <formatCode>General</formatCode>
              <ptCount val="1"/>
              <pt idx="0">
                <v>0</v>
              </pt>
            </numLit>
          </yVal>
          <smooth val="1"/>
        </ser>
        <ser>
          <idx val="4"/>
          <order val="4"/>
          <tx>
            <v>VERTICAL 1</v>
          </tx>
          <spPr>
            <a:ln xmlns:a="http://schemas.openxmlformats.org/drawingml/2006/main" w="25400">
              <a:solidFill>
                <a:srgbClr val="0000FF"/>
              </a:solidFill>
              <a:prstDash val="solid"/>
            </a:ln>
          </spPr>
          <marker>
            <symbol val="diamond"/>
            <size val="3"/>
            <spPr>
              <a:noFill xmlns:a="http://schemas.openxmlformats.org/drawingml/2006/main"/>
              <a:ln xmlns:a="http://schemas.openxmlformats.org/drawingml/2006/main">
                <a:solidFill>
                  <a:srgbClr val="800080"/>
                </a:solidFill>
                <a:prstDash val="solid"/>
              </a:ln>
            </spPr>
          </marker>
          <xVal>
            <numRef>
              <f>'cbr graficos'!$S$29:$S$30</f>
              <numCache>
                <formatCode>General</formatCode>
                <ptCount val="2"/>
                <pt idx="0">
                  <v>3.057248501192761</v>
                </pt>
                <pt idx="1">
                  <v>3.057248501192761</v>
                </pt>
              </numCache>
            </numRef>
          </xVal>
          <yVal>
            <numRef>
              <f>'cbr graficos'!$T$29:$T$30</f>
              <numCache>
                <formatCode>General</formatCode>
                <ptCount val="2"/>
                <pt idx="0">
                  <v>0</v>
                </pt>
                <pt idx="1">
                  <v>1.932</v>
                </pt>
              </numCache>
            </numRef>
          </yVal>
          <smooth val="1"/>
        </ser>
        <ser>
          <idx val="5"/>
          <order val="5"/>
          <tx>
            <v>VERTICAL 2</v>
          </tx>
          <spPr>
            <a:ln xmlns:a="http://schemas.openxmlformats.org/drawingml/2006/main" w="25400">
              <a:solidFill>
                <a:srgbClr val="FF0000"/>
              </a:solidFill>
              <a:prstDash val="solid"/>
            </a:ln>
          </spPr>
          <marker>
            <symbol val="diamond"/>
            <size val="4"/>
            <spPr>
              <a:noFill xmlns:a="http://schemas.openxmlformats.org/drawingml/2006/main"/>
              <a:ln xmlns:a="http://schemas.openxmlformats.org/drawingml/2006/main">
                <a:solidFill>
                  <a:srgbClr val="FF0000"/>
                </a:solidFill>
                <a:prstDash val="solid"/>
              </a:ln>
            </spPr>
          </marker>
          <xVal>
            <numRef>
              <f>'cbr graficos'!$S$32:$S$33</f>
              <numCache>
                <formatCode>General</formatCode>
                <ptCount val="2"/>
                <pt idx="0">
                  <v>2.983590648201544</v>
                </pt>
                <pt idx="1">
                  <v>2.983590648201544</v>
                </pt>
              </numCache>
            </numRef>
          </xVal>
          <yVal>
            <numRef>
              <f>'cbr graficos'!$T$32:$T$33</f>
              <numCache>
                <formatCode>General</formatCode>
                <ptCount val="2"/>
                <pt idx="0">
                  <v>0</v>
                </pt>
                <pt idx="1">
                  <v>1.8354</v>
                </pt>
              </numCache>
            </numRef>
          </yVal>
          <smooth val="1"/>
        </ser>
        <ser>
          <idx val="6"/>
          <order val="6"/>
          <tx>
            <v>VERTICAL 3</v>
          </tx>
          <spPr>
            <a:ln xmlns:a="http://schemas.openxmlformats.org/drawingml/2006/main" w="12700">
              <a:solidFill>
                <a:srgbClr val="0000FF"/>
              </a:solidFill>
              <a:prstDash val="sysDash"/>
            </a:ln>
          </spPr>
          <marker>
            <symbol val="diamond"/>
            <size val="3"/>
            <spPr>
              <a:solidFill xmlns:a="http://schemas.openxmlformats.org/drawingml/2006/main">
                <a:srgbClr val="424242"/>
              </a:solidFill>
              <a:ln xmlns:a="http://schemas.openxmlformats.org/drawingml/2006/main">
                <a:solidFill>
                  <a:srgbClr val="008080"/>
                </a:solidFill>
                <a:prstDash val="solid"/>
              </a:ln>
            </spPr>
          </marker>
          <xVal>
            <numRef>
              <f>'cbr graficos'!$V$29:$V$30</f>
              <numCache>
                <formatCode>General</formatCode>
                <ptCount val="2"/>
                <pt idx="0">
                  <v>4.491060450807121</v>
                </pt>
                <pt idx="1">
                  <v>4.491060450807121</v>
                </pt>
              </numCache>
            </numRef>
          </xVal>
          <yVal>
            <numRef>
              <f>'cbr graficos'!$W$29:$W$30</f>
              <numCache>
                <formatCode>General</formatCode>
                <ptCount val="2"/>
                <pt idx="0">
                  <v>0</v>
                </pt>
                <pt idx="1">
                  <v>1.932</v>
                </pt>
              </numCache>
            </numRef>
          </yVal>
          <smooth val="1"/>
        </ser>
        <ser>
          <idx val="7"/>
          <order val="7"/>
          <tx>
            <v>VERTICAL 4</v>
          </tx>
          <spPr>
            <a:ln xmlns:a="http://schemas.openxmlformats.org/drawingml/2006/main" w="12700">
              <a:solidFill>
                <a:srgbClr val="FF0000"/>
              </a:solidFill>
              <a:prstDash val="sysDash"/>
            </a:ln>
          </spPr>
          <marker>
            <symbol val="x"/>
            <size val="4"/>
            <spPr>
              <a:noFill xmlns:a="http://schemas.openxmlformats.org/drawingml/2006/main"/>
              <a:ln xmlns:a="http://schemas.openxmlformats.org/drawingml/2006/main">
                <a:solidFill>
                  <a:srgbClr val="FF0000"/>
                </a:solidFill>
                <a:prstDash val="solid"/>
              </a:ln>
            </spPr>
          </marker>
          <xVal>
            <numRef>
              <f>'cbr graficos'!$V$32:$V$33</f>
              <numCache>
                <formatCode>General</formatCode>
                <ptCount val="2"/>
                <pt idx="0">
                  <v>4.098210067927551</v>
                </pt>
                <pt idx="1">
                  <v>4.098210067927551</v>
                </pt>
              </numCache>
            </numRef>
          </xVal>
          <yVal>
            <numRef>
              <f>'cbr graficos'!$W$32:$W$33</f>
              <numCache>
                <formatCode>General</formatCode>
                <ptCount val="2"/>
                <pt idx="0">
                  <v>0</v>
                </pt>
                <pt idx="1">
                  <v>1.8354</v>
                </pt>
              </numCache>
            </numRef>
          </yVal>
          <smooth val="1"/>
        </ser>
        <ser>
          <idx val="8"/>
          <order val="8"/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x"/>
            <size val="3"/>
            <spPr>
              <a:noFill xmlns:a="http://schemas.openxmlformats.org/drawingml/2006/main"/>
              <a:ln xmlns:a="http://schemas.openxmlformats.org/drawingml/2006/main">
                <a:solidFill>
                  <a:srgbClr val="0000FF"/>
                </a:solidFill>
                <a:prstDash val="solid"/>
              </a:ln>
            </spPr>
          </marker>
          <xVal>
            <numRef>
              <f>'cbr graficos'!$Z$29:$AA$29</f>
              <numCache>
                <formatCode>General</formatCode>
                <ptCount val="2"/>
                <pt idx="0">
                  <v>0</v>
                </pt>
                <pt idx="1">
                  <v>4.491060450807121</v>
                </pt>
              </numCache>
            </numRef>
          </xVal>
          <yVal>
            <numRef>
              <f>'cbr graficos'!$Z$30:$AA$30</f>
              <numCache>
                <formatCode>General</formatCode>
                <ptCount val="2"/>
                <pt idx="0">
                  <v>1.932</v>
                </pt>
                <pt idx="1">
                  <v>1.932</v>
                </pt>
              </numCache>
            </numRef>
          </yVal>
          <smooth val="1"/>
        </ser>
        <ser>
          <idx val="9"/>
          <order val="9"/>
          <spPr>
            <a:ln xmlns:a="http://schemas.openxmlformats.org/drawingml/2006/main" w="127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'cbr graficos'!$Z$32:$AA$32</f>
              <numCache>
                <formatCode>General</formatCode>
                <ptCount val="2"/>
                <pt idx="0">
                  <v>0</v>
                </pt>
                <pt idx="1">
                  <v>4.098210067927551</v>
                </pt>
              </numCache>
            </numRef>
          </xVal>
          <yVal>
            <numRef>
              <f>'cbr graficos'!$Z$33:$AA$33</f>
              <numCache>
                <formatCode>General</formatCode>
                <ptCount val="2"/>
                <pt idx="0">
                  <v>1.8354</v>
                </pt>
                <pt idx="1">
                  <v>1.8354</v>
                </pt>
              </numCache>
            </numRef>
          </yVal>
          <smooth val="1"/>
        </ser>
        <ser>
          <idx val="10"/>
          <order val="10"/>
          <tx>
            <v>90%MDS</v>
          </tx>
          <spPr>
            <a:ln xmlns:a="http://schemas.openxmlformats.org/drawingml/2006/main" w="38100">
              <a:solidFill>
                <a:srgbClr val="008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'cbr graficos'!$J$44:$K$44</f>
              <numCache>
                <formatCode>General</formatCode>
                <ptCount val="2"/>
                <pt idx="0">
                  <v>0</v>
                </pt>
                <pt idx="1">
                  <v>0</v>
                </pt>
              </numCache>
            </numRef>
          </xVal>
          <yVal>
            <numRef>
              <f>'cbr graficos'!$J$46:$K$46</f>
              <numCache>
                <formatCode>General</formatCode>
                <ptCount val="2"/>
                <pt idx="0">
                  <v>1.7388</v>
                </pt>
                <pt idx="1">
                  <v>1.7388</v>
                </pt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1188100080"/>
        <axId val="1"/>
      </scatterChart>
      <valAx>
        <axId val="1188100080"/>
        <scaling>
          <orientation val="minMax"/>
          <max val="25"/>
          <min val="15"/>
        </scaling>
        <delete val="0"/>
        <axPos val="b"/>
        <majorGridlines>
          <spPr>
            <a:ln xmlns:a="http://schemas.openxmlformats.org/drawingml/2006/main" w="3175">
              <a:solidFill>
                <a:srgbClr val="008080"/>
              </a:solidFill>
              <a:prstDash val="solid"/>
            </a:ln>
          </spPr>
        </majorGridlines>
        <minorGridlines>
          <spPr>
            <a:ln xmlns:a="http://schemas.openxmlformats.org/drawingml/2006/main" w="3175">
              <a:solidFill>
                <a:srgbClr val="C0C0C0"/>
              </a:solidFill>
              <a:prstDash val="solid"/>
            </a:ln>
          </spPr>
        </minorGridlines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700" b="1" i="0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ES"/>
                  <a:t>Peso Unitario Seco (kN/m3)</a:t>
                </a:r>
              </a:p>
            </rich>
          </tx>
          <layout>
            <manualLayout>
              <xMode val="edge"/>
              <yMode val="edge"/>
              <wMode val="factor"/>
              <hMode val="factor"/>
              <x val="0.367485164897866"/>
              <y val="0.920260099066564"/>
            </manualLayout>
          </layout>
          <overlay val="0"/>
          <spPr>
            <a:noFill xmlns:a="http://schemas.openxmlformats.org/drawingml/2006/main"/>
            <a:ln xmlns:a="http://schemas.openxmlformats.org/drawingml/2006/main" w="25400">
              <a:noFill/>
              <a:prstDash val="solid"/>
            </a:ln>
          </spPr>
        </title>
        <numFmt formatCode="0" sourceLinked="0"/>
        <majorTickMark val="out"/>
        <minorTickMark val="in"/>
        <tickLblPos val="low"/>
        <spPr>
          <a:ln xmlns:a="http://schemas.openxmlformats.org/drawingml/2006/main" w="12700">
            <a:solidFill>
              <a:srgbClr val="000000"/>
            </a:solidFill>
            <a:prstDash val="solid"/>
          </a:ln>
        </spPr>
        <txPr>
          <a:bodyPr xmlns:a="http://schemas.openxmlformats.org/drawingml/2006/main" rot="0" vert="horz"/>
          <a:lstStyle xmlns:a="http://schemas.openxmlformats.org/drawingml/2006/main"/>
          <a:p xmlns:a="http://schemas.openxmlformats.org/drawingml/2006/main">
            <a:pPr>
              <a:defRPr sz="800" b="0" i="0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t/>
            </a:r>
            <a:endParaRPr lang="es-PE"/>
          </a:p>
        </txPr>
        <crossAx val="1"/>
        <crosses val="autoZero"/>
        <crossBetween val="midCat"/>
        <majorUnit val="1"/>
        <minorUnit val="1"/>
      </valAx>
      <valAx>
        <axId val="1"/>
        <scaling>
          <orientation val="minMax"/>
          <max val="150"/>
          <min val="0"/>
        </scaling>
        <delete val="0"/>
        <axPos val="l"/>
        <majorGridlines>
          <spPr>
            <a:ln xmlns:a="http://schemas.openxmlformats.org/drawingml/2006/main" w="3175">
              <a:solidFill>
                <a:srgbClr val="969696"/>
              </a:solidFill>
              <a:prstDash val="solid"/>
            </a:ln>
          </spPr>
        </majorGridlines>
        <minorGridlines>
          <spPr>
            <a:ln xmlns:a="http://schemas.openxmlformats.org/drawingml/2006/main" w="3175">
              <a:solidFill>
                <a:srgbClr val="969696"/>
              </a:solidFill>
              <a:prstDash val="solid"/>
            </a:ln>
          </spPr>
        </minorGridlines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700" b="1" i="0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ES"/>
                  <a:t xml:space="preserve"> C.B.R. Corregido (%)
</a:t>
                </a:r>
              </a:p>
            </rich>
          </tx>
          <layout>
            <manualLayout>
              <xMode val="edge"/>
              <yMode val="edge"/>
              <wMode val="factor"/>
              <hMode val="factor"/>
              <x val="0.00870649321008787"/>
              <y val="0.2706636670416198"/>
            </manualLayout>
          </layout>
          <overlay val="0"/>
          <spPr>
            <a:noFill xmlns:a="http://schemas.openxmlformats.org/drawingml/2006/main"/>
            <a:ln xmlns:a="http://schemas.openxmlformats.org/drawingml/2006/main" w="25400">
              <a:noFill/>
              <a:prstDash val="solid"/>
            </a:ln>
          </spPr>
        </title>
        <numFmt formatCode="0" sourceLinked="0"/>
        <majorTickMark val="out"/>
        <minorTickMark val="cross"/>
        <tickLblPos val="nextTo"/>
        <spPr>
          <a:ln xmlns:a="http://schemas.openxmlformats.org/drawingml/2006/main" w="12700">
            <a:solidFill>
              <a:srgbClr val="000000"/>
            </a:solidFill>
            <a:prstDash val="solid"/>
          </a:ln>
        </spPr>
        <txPr>
          <a:bodyPr xmlns:a="http://schemas.openxmlformats.org/drawingml/2006/main" rot="0" vert="horz"/>
          <a:lstStyle xmlns:a="http://schemas.openxmlformats.org/drawingml/2006/main"/>
          <a:p xmlns:a="http://schemas.openxmlformats.org/drawingml/2006/main">
            <a:pPr>
              <a:defRPr sz="800" b="0" i="0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t/>
            </a:r>
            <a:endParaRPr lang="es-PE"/>
          </a:p>
        </txPr>
        <crossAx val="1188100080"/>
        <crossesAt val="0"/>
        <crossBetween val="midCat"/>
        <majorUnit val="50"/>
        <minorUnit val="10"/>
      </valAx>
    </plotArea>
    <legend>
      <legendPos val="r"/>
      <legendEntry>
        <idx val="2"/>
        <delete val="1"/>
      </legendEntry>
      <legendEntry>
        <idx val="3"/>
        <delete val="1"/>
      </legendEntry>
      <legendEntry>
        <idx val="4"/>
        <delete val="1"/>
      </legendEntry>
      <legendEntry>
        <idx val="5"/>
        <delete val="1"/>
      </legendEntry>
      <legendEntry>
        <idx val="6"/>
        <delete val="1"/>
      </legendEntry>
      <legendEntry>
        <idx val="7"/>
        <delete val="1"/>
      </legendEntry>
      <legendEntry>
        <idx val="8"/>
        <delete val="1"/>
      </legendEntry>
      <legendEntry>
        <idx val="9"/>
        <delete val="1"/>
      </legendEntry>
      <legendEntry>
        <idx val="10"/>
        <delete val="1"/>
      </legendEntry>
      <layout>
        <manualLayout>
          <xMode val="edge"/>
          <yMode val="edge"/>
          <wMode val="factor"/>
          <hMode val="factor"/>
          <x val="0.7629675910076458"/>
          <y val="0.6090418960787797"/>
          <w val="0.2098159876754536"/>
          <h val="0.2105330254770785"/>
        </manualLayout>
      </layout>
      <overlay val="0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675" b="0" i="0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r>
            <a:t/>
          </a:r>
          <a:endParaRPr lang="es-PE"/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3175">
      <a:solidFill>
        <a:schemeClr val="tx1"/>
      </a:solidFill>
      <a:prstDash val="solid"/>
    </a:ln>
  </spPr>
</chartSpace>
</file>

<file path=xl/comments/comment1.xml><?xml version="1.0" encoding="utf-8"?>
<comments xmlns="http://schemas.openxmlformats.org/spreadsheetml/2006/main">
  <authors>
    <author>Fabian</author>
  </authors>
  <commentList>
    <comment ref="Y16" authorId="0" shapeId="0">
      <text>
        <t>Fabian:
Cuando el valor X3 es menor o igual a cero, no nesecita correccion</t>
      </text>
    </comment>
    <comment ref="AI16" authorId="0" shapeId="0">
      <text>
        <t>Fabian:
Fabian:
Cuando el valor X3 es menor o igual a cero, no nesecita correccion</t>
      </text>
    </comment>
    <comment ref="AS16" authorId="0" shapeId="0">
      <text>
        <t>Fabian:
Fabian:
Cuando el valor X3 es menor o igual a cero, no nesecita correccion</t>
      </text>
    </comment>
  </commentList>
</comments>
</file>

<file path=xl/comments/comment2.xml><?xml version="1.0" encoding="utf-8"?>
<comments xmlns="http://schemas.openxmlformats.org/spreadsheetml/2006/main">
  <authors>
    <author>LENOVO</author>
    <author>Usuario de Windows</author>
  </authors>
  <commentList>
    <comment ref="T3" authorId="0" shapeId="0">
      <text>
        <t xml:space="preserve">LENOVO:
ALTURA DEL MOLDE MENOS EL DISCO ESPACIADOR
</t>
      </text>
    </comment>
    <comment ref="D6" authorId="1" shapeId="0">
      <text>
        <t>Usuario de Windows:
El cliente indicara si no se saturar la muestra</t>
      </text>
    </comment>
  </commentList>
</comments>
</file>

<file path=xl/comments/comment3.xml><?xml version="1.0" encoding="utf-8"?>
<comments xmlns="http://schemas.openxmlformats.org/spreadsheetml/2006/main">
  <authors>
    <author>LENOVO</author>
  </authors>
  <commentList>
    <comment ref="P33" authorId="0" shapeId="0">
      <text>
        <t xml:space="preserve">LENOVO:
INCERTIDUMBRE DEL PROCTOR
</t>
      </text>
    </comment>
    <comment ref="P44" authorId="0" shapeId="0">
      <text>
        <t xml:space="preserve">LENOVO:
INCERTIDUMBRE DEL PROCTOR
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Relationship Type="http://schemas.openxmlformats.org/officeDocument/2006/relationships/chart" Target="/xl/charts/chart6.xml" Id="rId6"/><Relationship Type="http://schemas.openxmlformats.org/officeDocument/2006/relationships/chart" Target="/xl/charts/chart7.xml" Id="rId7"/></Relationships>
</file>

<file path=xl/drawings/drawing1.xml><?xml version="1.0" encoding="utf-8"?>
<wsDr xmlns="http://schemas.openxmlformats.org/drawingml/2006/spreadsheetDrawing">
  <twoCellAnchor>
    <from>
      <col>0</col>
      <colOff>76200</colOff>
      <row>12</row>
      <rowOff>9525</rowOff>
    </from>
    <to>
      <col>7</col>
      <colOff>66675</colOff>
      <row>26</row>
      <rowOff>161925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22</col>
      <colOff>38100</colOff>
      <row>26</row>
      <rowOff>19050</rowOff>
    </from>
    <to>
      <col>29</col>
      <colOff>514350</colOff>
      <row>39</row>
      <rowOff>152400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  <twoCellAnchor>
    <from>
      <col>32</col>
      <colOff>47625</colOff>
      <row>26</row>
      <rowOff>38100</rowOff>
    </from>
    <to>
      <col>39</col>
      <colOff>561975</colOff>
      <row>39</row>
      <rowOff>133350</rowOff>
    </to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twoCellAnchor>
  <twoCellAnchor>
    <from>
      <col>42</col>
      <colOff>47625</colOff>
      <row>26</row>
      <rowOff>57150</rowOff>
    </from>
    <to>
      <col>49</col>
      <colOff>666750</colOff>
      <row>40</row>
      <rowOff>0</rowOff>
    </to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twoCellAnchor>
  <twoCellAnchor>
    <from>
      <col>7</col>
      <colOff>95250</colOff>
      <row>12</row>
      <rowOff>19050</rowOff>
    </from>
    <to>
      <col>12</col>
      <colOff>190500</colOff>
      <row>26</row>
      <rowOff>171450</rowOff>
    </to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twoCellAnchor>
  <twoCellAnchor>
    <from>
      <col>13</col>
      <colOff>9525</colOff>
      <row>12</row>
      <rowOff>19050</rowOff>
    </from>
    <to>
      <col>17</col>
      <colOff>152400</colOff>
      <row>26</row>
      <rowOff>171450</rowOff>
    </to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twoCellAnchor>
  <twoCellAnchor>
    <from>
      <col>0</col>
      <colOff>38100</colOff>
      <row>30</row>
      <rowOff>95250</rowOff>
    </from>
    <to>
      <col>9</col>
      <colOff>228600</colOff>
      <row>43</row>
      <rowOff>66675</rowOff>
    </to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 fLocksWithSheet="0"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vmlDrawing1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vmlDrawing2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vmlDrawing3.vml" Id="anysvml"/></Relationships>
</file>

<file path=xl/worksheets/sheet1.xml><?xml version="1.0" encoding="utf-8"?>
<worksheet xmlns="http://schemas.openxmlformats.org/spreadsheetml/2006/main">
  <sheetPr codeName="Hoja1">
    <outlinePr summaryBelow="1" summaryRight="1"/>
    <pageSetUpPr/>
  </sheetPr>
  <dimension ref="A1:A1"/>
  <sheetViews>
    <sheetView zoomScaleNormal="109" zoomScaleSheetLayoutView="70" workbookViewId="0">
      <selection activeCell="A1" sqref="A1"/>
    </sheetView>
  </sheetViews>
  <sheetFormatPr baseColWidth="10" defaultRowHeight="13.2"/>
  <sheetData/>
  <pageMargins left="0.75" right="0.75" top="1" bottom="1" header="0" footer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65"/>
  <sheetViews>
    <sheetView tabSelected="1" view="pageBreakPreview" topLeftCell="A47" zoomScale="115" zoomScaleNormal="100" zoomScaleSheetLayoutView="115" workbookViewId="0">
      <selection activeCell="P61" sqref="P61"/>
    </sheetView>
  </sheetViews>
  <sheetFormatPr baseColWidth="10" defaultColWidth="10.33203125" defaultRowHeight="11.4"/>
  <cols>
    <col width="8" customWidth="1" style="826" min="1" max="1"/>
    <col width="9.33203125" customWidth="1" style="826" min="2" max="3"/>
    <col width="10.109375" customWidth="1" style="826" min="4" max="4"/>
    <col width="4.6640625" customWidth="1" style="826" min="5" max="5"/>
    <col width="7.33203125" customWidth="1" style="826" min="6" max="6"/>
    <col width="6.6640625" customWidth="1" style="826" min="7" max="7"/>
    <col width="6.5546875" customWidth="1" style="826" min="8" max="8"/>
    <col width="6" customWidth="1" style="826" min="9" max="9"/>
    <col width="6.5546875" customWidth="1" style="826" min="10" max="10"/>
    <col width="11.33203125" customWidth="1" style="826" min="11" max="11"/>
    <col width="7.44140625" customWidth="1" style="826" min="12" max="12"/>
    <col width="9" customWidth="1" style="826" min="13" max="13"/>
    <col width="5" customWidth="1" style="826" min="14" max="14"/>
    <col width="5.77734375" customWidth="1" style="826" min="15" max="15"/>
    <col width="6.33203125" customWidth="1" style="826" min="16" max="17"/>
    <col width="10.6640625" customWidth="1" style="826" min="18" max="18"/>
    <col width="16.109375" customWidth="1" style="826" min="19" max="19"/>
    <col width="10.33203125" customWidth="1" style="826" min="20" max="20"/>
    <col width="10.33203125" customWidth="1" style="826" min="21" max="16384"/>
  </cols>
  <sheetData>
    <row r="1" ht="11.4" customHeight="1">
      <c r="A1" s="724" t="n"/>
      <c r="B1" s="725" t="n"/>
      <c r="C1" s="726" t="n"/>
      <c r="D1" s="724" t="n"/>
      <c r="E1" s="725" t="n"/>
      <c r="F1" s="725" t="n"/>
      <c r="G1" s="725" t="n"/>
      <c r="H1" s="725" t="n"/>
      <c r="I1" s="725" t="n"/>
      <c r="J1" s="725" t="n"/>
      <c r="K1" s="725" t="n"/>
      <c r="L1" s="725" t="n"/>
      <c r="M1" s="725" t="n"/>
      <c r="N1" s="725" t="n"/>
      <c r="O1" s="725" t="n"/>
      <c r="P1" s="725" t="n"/>
      <c r="Q1" s="726" t="n"/>
    </row>
    <row r="2" ht="11.4" customHeight="1">
      <c r="A2" s="727" t="n"/>
      <c r="B2" s="129" t="n"/>
      <c r="C2" s="728" t="n"/>
      <c r="D2" s="825" t="inlineStr">
        <is>
          <t>LABORATORIO DE ENSAYO DE MATERIALES</t>
        </is>
      </c>
      <c r="Q2" s="827" t="n"/>
      <c r="T2" s="37" t="inlineStr">
        <is>
          <t>CLIENTE</t>
        </is>
      </c>
      <c r="U2" s="802" t="n"/>
    </row>
    <row r="3" ht="11.4" customHeight="1">
      <c r="A3" s="727" t="n"/>
      <c r="B3" s="129" t="n"/>
      <c r="C3" s="728" t="n"/>
      <c r="D3" s="836" t="inlineStr">
        <is>
          <t>FORMATO N° F-LEM-P-SU-37.01</t>
        </is>
      </c>
      <c r="E3" s="837" t="n"/>
      <c r="F3" s="837" t="n"/>
      <c r="G3" s="837" t="n"/>
      <c r="H3" s="837" t="n"/>
      <c r="I3" s="837" t="n"/>
      <c r="J3" s="837" t="n"/>
      <c r="K3" s="837" t="n"/>
      <c r="L3" s="837" t="n"/>
      <c r="M3" s="837" t="n"/>
      <c r="N3" s="837" t="n"/>
      <c r="O3" s="837" t="n"/>
      <c r="P3" s="837" t="n"/>
      <c r="Q3" s="838" t="n"/>
      <c r="T3" s="37" t="inlineStr">
        <is>
          <t>DIRECCIÓN **</t>
        </is>
      </c>
      <c r="U3" s="803" t="n"/>
    </row>
    <row r="4" ht="11.4" customHeight="1">
      <c r="A4" s="727" t="n"/>
      <c r="B4" s="129" t="n"/>
      <c r="C4" s="728" t="n"/>
      <c r="D4" s="727" t="n"/>
      <c r="E4" s="129" t="n"/>
      <c r="F4" s="129" t="n"/>
      <c r="G4" s="129" t="n"/>
      <c r="H4" s="129" t="n"/>
      <c r="I4" s="129" t="n"/>
      <c r="J4" s="129" t="n"/>
      <c r="K4" s="129" t="n"/>
      <c r="L4" s="129" t="n"/>
      <c r="M4" s="129" t="n"/>
      <c r="N4" s="129" t="n"/>
      <c r="O4" s="129" t="n"/>
      <c r="P4" s="129" t="n"/>
      <c r="Q4" s="728" t="n"/>
      <c r="T4" s="37" t="inlineStr">
        <is>
          <t>PROYECTO **</t>
        </is>
      </c>
      <c r="U4" s="803" t="n"/>
    </row>
    <row r="5" ht="11.4" customHeight="1">
      <c r="A5" s="729" t="n"/>
      <c r="B5" s="730" t="n"/>
      <c r="C5" s="731" t="n"/>
      <c r="D5" s="729" t="n"/>
      <c r="E5" s="730" t="n"/>
      <c r="F5" s="730" t="n"/>
      <c r="G5" s="730" t="n"/>
      <c r="H5" s="730" t="n"/>
      <c r="I5" s="730" t="n"/>
      <c r="J5" s="730" t="n"/>
      <c r="K5" s="730" t="n"/>
      <c r="L5" s="730" t="n"/>
      <c r="M5" s="730" t="n"/>
      <c r="N5" s="730" t="n"/>
      <c r="O5" s="730" t="n"/>
      <c r="P5" s="730" t="n"/>
      <c r="Q5" s="731" t="n"/>
      <c r="T5" s="37" t="inlineStr">
        <is>
          <t>UBICACIÓN **</t>
        </is>
      </c>
      <c r="U5" s="803" t="n"/>
    </row>
    <row r="6" ht="3" customHeight="1">
      <c r="A6" s="745" t="n"/>
      <c r="B6" s="745" t="n"/>
      <c r="C6" s="745" t="n"/>
      <c r="D6" s="745" t="n"/>
      <c r="E6" s="745" t="n"/>
      <c r="F6" s="745" t="n"/>
      <c r="G6" s="745" t="n"/>
      <c r="H6" s="745" t="n"/>
      <c r="I6" s="745" t="n"/>
      <c r="J6" s="745" t="n"/>
      <c r="K6" s="745" t="n"/>
      <c r="L6" s="745" t="n"/>
      <c r="M6" s="745" t="n"/>
      <c r="N6" s="745" t="n"/>
      <c r="O6" s="745" t="n"/>
      <c r="P6" s="745" t="n"/>
      <c r="Q6" s="745" t="n"/>
      <c r="T6" s="801" t="n"/>
      <c r="U6" s="804" t="n"/>
    </row>
    <row r="7" ht="15.75" customHeight="1">
      <c r="A7" s="723" t="n"/>
      <c r="B7" s="723" t="n"/>
      <c r="C7" s="723" t="n"/>
      <c r="D7" s="723" t="n"/>
      <c r="E7" s="723" t="n"/>
      <c r="F7" s="723" t="n"/>
      <c r="G7" s="723" t="n"/>
      <c r="H7" s="723" t="n"/>
      <c r="I7" s="723" t="n"/>
      <c r="J7" s="723" t="n"/>
      <c r="K7" s="723" t="n"/>
      <c r="L7" s="723" t="n"/>
      <c r="M7" s="723" t="n"/>
      <c r="N7" s="723" t="n"/>
      <c r="O7" s="723" t="n"/>
      <c r="T7" s="37" t="inlineStr">
        <is>
          <t>RECEPCIÓN N°</t>
        </is>
      </c>
      <c r="U7" s="804" t="n"/>
    </row>
    <row r="8" ht="15.75" customHeight="1">
      <c r="B8" s="746" t="n"/>
      <c r="C8" s="746" t="n"/>
      <c r="D8" s="840" t="inlineStr">
        <is>
          <t>MUESTRA</t>
        </is>
      </c>
      <c r="E8" s="811" t="n"/>
      <c r="F8" s="840" t="inlineStr">
        <is>
          <t>N° OT</t>
        </is>
      </c>
      <c r="G8" s="811" t="n"/>
      <c r="H8" s="840" t="inlineStr">
        <is>
          <t>FECHA DE ENSAYO</t>
        </is>
      </c>
      <c r="I8" s="810" t="n"/>
      <c r="J8" s="811" t="n"/>
      <c r="K8" s="840" t="inlineStr">
        <is>
          <t>REALIZADO</t>
        </is>
      </c>
      <c r="L8" s="810" t="n"/>
      <c r="M8" s="810" t="n"/>
      <c r="N8" s="811" t="n"/>
      <c r="T8" s="37" t="inlineStr">
        <is>
          <t>F. EMISIÓN</t>
        </is>
      </c>
      <c r="U8" s="805" t="n"/>
    </row>
    <row r="9" ht="15.75" customHeight="1">
      <c r="A9" s="746" t="n"/>
      <c r="B9" s="746" t="n"/>
      <c r="C9" s="746" t="n"/>
      <c r="D9" s="835" t="n"/>
      <c r="E9" s="811" t="n"/>
      <c r="F9" s="835" t="n"/>
      <c r="G9" s="811" t="n"/>
      <c r="H9" s="835" t="n"/>
      <c r="I9" s="810" t="n"/>
      <c r="J9" s="811" t="n"/>
      <c r="K9" s="835" t="n"/>
      <c r="L9" s="810" t="n"/>
      <c r="M9" s="810" t="n"/>
      <c r="N9" s="811" t="n"/>
      <c r="T9" s="37" t="inlineStr">
        <is>
          <t>OT N°</t>
        </is>
      </c>
      <c r="U9" s="804" t="n"/>
    </row>
    <row r="10" ht="15.75" customHeight="1">
      <c r="A10" s="746" t="n"/>
      <c r="B10" s="747" t="n"/>
      <c r="C10" s="748" t="n"/>
      <c r="D10" s="748" t="n"/>
      <c r="E10" s="748" t="n"/>
      <c r="F10" s="748" t="n"/>
      <c r="G10" s="748" t="n"/>
      <c r="H10" s="748" t="n"/>
      <c r="I10" s="748" t="n"/>
      <c r="J10" s="748" t="n"/>
      <c r="K10" s="749" t="n"/>
      <c r="L10" s="749" t="n"/>
      <c r="M10" s="749" t="n"/>
      <c r="N10" s="749" t="n"/>
      <c r="O10" s="749" t="n"/>
      <c r="T10" s="801" t="n"/>
      <c r="U10" s="804" t="n"/>
    </row>
    <row r="11" ht="15" customHeight="1">
      <c r="A11" s="844" t="inlineStr">
        <is>
          <t>STANDARD TEST METHOD FOR CALIFORNIA BEARING RATIO (CBR) OF LABORATORY-COMPACTED SOILS</t>
        </is>
      </c>
      <c r="B11" s="845" t="n"/>
      <c r="C11" s="845" t="n"/>
      <c r="D11" s="845" t="n"/>
      <c r="E11" s="845" t="n"/>
      <c r="F11" s="845" t="n"/>
      <c r="G11" s="845" t="n"/>
      <c r="H11" s="845" t="n"/>
      <c r="I11" s="845" t="n"/>
      <c r="J11" s="845" t="n"/>
      <c r="K11" s="845" t="n"/>
      <c r="L11" s="845" t="n"/>
      <c r="M11" s="845" t="n"/>
      <c r="N11" s="845" t="n"/>
      <c r="O11" s="845" t="n"/>
      <c r="P11" s="845" t="n"/>
      <c r="Q11" s="846" t="n"/>
      <c r="T11" s="37" t="inlineStr">
        <is>
          <t>CÓDIGO DE LA MUESTRA</t>
        </is>
      </c>
      <c r="U11" s="804" t="n"/>
    </row>
    <row r="12" ht="13.5" customHeight="1">
      <c r="A12" s="829" t="inlineStr">
        <is>
          <t>NORMA ASTM D1883-21</t>
        </is>
      </c>
      <c r="B12" s="830" t="n"/>
      <c r="C12" s="830" t="n"/>
      <c r="D12" s="830" t="n"/>
      <c r="E12" s="830" t="n"/>
      <c r="F12" s="830" t="n"/>
      <c r="G12" s="830" t="n"/>
      <c r="H12" s="830" t="n"/>
      <c r="I12" s="830" t="n"/>
      <c r="J12" s="830" t="n"/>
      <c r="K12" s="830" t="n"/>
      <c r="L12" s="830" t="n"/>
      <c r="M12" s="830" t="n"/>
      <c r="N12" s="830" t="n"/>
      <c r="O12" s="830" t="n"/>
      <c r="P12" s="830" t="n"/>
      <c r="Q12" s="831" t="n"/>
      <c r="T12" s="37" t="inlineStr">
        <is>
          <t>FECHA DE RECEPCIÓN</t>
        </is>
      </c>
      <c r="U12" s="805" t="n"/>
    </row>
    <row r="13" ht="11.25" customHeight="1">
      <c r="A13" s="750" t="n"/>
      <c r="B13" s="751" t="n"/>
      <c r="C13" s="752" t="n"/>
      <c r="D13" s="752" t="n"/>
      <c r="E13" s="752" t="n"/>
      <c r="F13" s="752" t="n"/>
      <c r="G13" s="752" t="n"/>
      <c r="H13" s="752" t="n"/>
      <c r="I13" s="752" t="n"/>
      <c r="J13" s="752" t="n"/>
      <c r="K13" s="753" t="n"/>
      <c r="L13" s="753" t="n"/>
      <c r="M13" s="753" t="n"/>
      <c r="N13" s="753" t="n"/>
      <c r="O13" s="753" t="n"/>
      <c r="P13" s="754" t="n"/>
      <c r="Q13" s="755" t="n"/>
      <c r="T13" s="37" t="inlineStr">
        <is>
          <t>FECHA DE EJECUCIÓN</t>
        </is>
      </c>
      <c r="U13" s="805" t="n"/>
    </row>
    <row r="14" ht="19.5" customHeight="1">
      <c r="A14" s="756" t="inlineStr">
        <is>
          <t>Sobretamaño mayor a 3/4 in</t>
        </is>
      </c>
      <c r="B14" s="984" t="n"/>
      <c r="C14" s="184" t="n"/>
      <c r="D14" s="984" t="n"/>
      <c r="E14" s="817" t="n"/>
      <c r="F14" s="811" t="n"/>
      <c r="G14" s="757" t="inlineStr">
        <is>
          <t>%</t>
        </is>
      </c>
      <c r="H14" s="984" t="n"/>
      <c r="K14" s="758" t="n"/>
      <c r="L14" s="984" t="n"/>
      <c r="N14" s="759" t="inlineStr">
        <is>
          <t xml:space="preserve">Máxima Densidad Seca (g/cm3)         </t>
        </is>
      </c>
      <c r="O14" s="813" t="n"/>
      <c r="P14" s="811" t="n"/>
      <c r="Q14" s="146" t="n"/>
      <c r="T14" s="801" t="n"/>
      <c r="U14" s="804" t="n"/>
    </row>
    <row r="15" ht="19.5" customHeight="1">
      <c r="A15" s="756" t="inlineStr">
        <is>
          <t>Masa de grava entre 3/4 in - No. 4 adicionada</t>
        </is>
      </c>
      <c r="B15" s="984" t="n"/>
      <c r="C15" s="984" t="n"/>
      <c r="D15" s="984" t="n"/>
      <c r="E15" s="817" t="n"/>
      <c r="F15" s="811" t="n"/>
      <c r="G15" s="757" t="inlineStr">
        <is>
          <t>g</t>
        </is>
      </c>
      <c r="H15" s="984" t="n"/>
      <c r="K15" s="984" t="n"/>
      <c r="L15" s="984" t="n"/>
      <c r="N15" s="759" t="inlineStr">
        <is>
          <t>Optimo Contenido de Humedad (%)</t>
        </is>
      </c>
      <c r="O15" s="813" t="n"/>
      <c r="P15" s="811" t="n"/>
      <c r="Q15" s="146" t="n"/>
      <c r="T15" s="37" t="inlineStr">
        <is>
          <t>CANTERA/SONDAJE **</t>
        </is>
      </c>
      <c r="U15" s="806" t="n"/>
    </row>
    <row r="16" ht="19.5" customHeight="1">
      <c r="A16" s="756" t="inlineStr">
        <is>
          <t xml:space="preserve">Condicion de la muestra </t>
        </is>
      </c>
      <c r="B16" s="984" t="n"/>
      <c r="C16" s="984" t="n"/>
      <c r="D16" s="184" t="inlineStr">
        <is>
          <t>saturado</t>
        </is>
      </c>
      <c r="E16" s="732" t="n"/>
      <c r="G16" s="744" t="n"/>
      <c r="H16" s="984" t="n"/>
      <c r="K16" s="984" t="n"/>
      <c r="L16" s="984" t="n"/>
      <c r="N16" s="184" t="inlineStr">
        <is>
          <t>Temperatura Inicial (C°)</t>
        </is>
      </c>
      <c r="O16" s="813" t="n"/>
      <c r="P16" s="811" t="n"/>
      <c r="Q16" s="146" t="n"/>
      <c r="T16" s="37" t="inlineStr">
        <is>
          <t>N° MUESTRA **</t>
        </is>
      </c>
      <c r="U16" s="806" t="n"/>
    </row>
    <row r="17" ht="17.4" customHeight="1">
      <c r="A17" s="756" t="n"/>
      <c r="B17" s="984" t="n"/>
      <c r="C17" s="984" t="n"/>
      <c r="D17" s="760" t="inlineStr">
        <is>
          <t xml:space="preserve">sin saturar </t>
        </is>
      </c>
      <c r="E17" s="817" t="n"/>
      <c r="F17" s="984" t="n"/>
      <c r="H17" s="984" t="n"/>
      <c r="K17" s="984" t="n"/>
      <c r="L17" s="984" t="n"/>
      <c r="N17" s="184" t="inlineStr">
        <is>
          <t>Temperatura Final (C°)</t>
        </is>
      </c>
      <c r="O17" s="813" t="n"/>
      <c r="P17" s="811" t="n"/>
      <c r="Q17" s="146" t="n"/>
      <c r="T17" s="37" t="inlineStr">
        <is>
          <t>TIPO DE MUESTRA**</t>
        </is>
      </c>
      <c r="U17" s="807" t="n"/>
    </row>
    <row r="18" ht="6" customHeight="1">
      <c r="A18" s="756" t="n"/>
      <c r="B18" s="984" t="n"/>
      <c r="C18" s="984" t="n"/>
      <c r="D18" s="760" t="n"/>
      <c r="E18" s="672" t="n"/>
      <c r="F18" s="984" t="n"/>
      <c r="H18" s="984" t="n"/>
      <c r="K18" s="984" t="n"/>
      <c r="L18" s="984" t="n"/>
      <c r="N18" s="184" t="n"/>
      <c r="O18" s="184" t="n"/>
      <c r="P18" s="184" t="n"/>
      <c r="Q18" s="146" t="n"/>
    </row>
    <row r="19" ht="15.75" customHeight="1">
      <c r="A19" s="188" t="inlineStr">
        <is>
          <t>Tamaño máximo de la muestra de prueba 
(visual) (in):</t>
        </is>
      </c>
      <c r="B19" s="984" t="n"/>
      <c r="C19" s="984" t="n"/>
      <c r="D19" s="984" t="n"/>
      <c r="E19" s="734" t="n"/>
      <c r="F19" s="734" t="n"/>
      <c r="G19" s="847" t="n"/>
      <c r="H19" s="811" t="n"/>
      <c r="K19" s="984" t="n"/>
      <c r="L19" s="984" t="n"/>
      <c r="N19" s="184" t="n"/>
      <c r="O19" s="735" t="n"/>
      <c r="P19" s="984" t="n"/>
      <c r="Q19" s="146" t="n"/>
    </row>
    <row r="20" ht="24.75" customHeight="1">
      <c r="A20" s="761" t="inlineStr">
        <is>
          <t>Descripción de muestra ASTM D2488:</t>
        </is>
      </c>
      <c r="B20" s="762" t="n"/>
      <c r="C20" s="762" t="n"/>
      <c r="D20" s="763" t="n"/>
      <c r="E20" s="841" t="n"/>
      <c r="F20" s="842" t="n"/>
      <c r="G20" s="842" t="n"/>
      <c r="H20" s="842" t="n"/>
      <c r="I20" s="842" t="n"/>
      <c r="J20" s="842" t="n"/>
      <c r="K20" s="842" t="n"/>
      <c r="L20" s="842" t="n"/>
      <c r="M20" s="842" t="n"/>
      <c r="N20" s="842" t="n"/>
      <c r="O20" s="842" t="n"/>
      <c r="P20" s="842" t="n"/>
      <c r="Q20" s="824" t="n"/>
    </row>
    <row r="21" ht="13.95" customHeight="1">
      <c r="A21" s="812" t="inlineStr">
        <is>
          <t>ENSAYO</t>
        </is>
      </c>
      <c r="B21" s="810" t="n"/>
      <c r="C21" s="811" t="n"/>
      <c r="D21" s="812" t="inlineStr">
        <is>
          <t>Especimen N°01</t>
        </is>
      </c>
      <c r="E21" s="810" t="n"/>
      <c r="F21" s="810" t="n"/>
      <c r="G21" s="811" t="n"/>
      <c r="H21" s="812" t="inlineStr">
        <is>
          <t>Especimen N°02</t>
        </is>
      </c>
      <c r="I21" s="810" t="n"/>
      <c r="J21" s="810" t="n"/>
      <c r="K21" s="811" t="n"/>
      <c r="L21" s="812" t="inlineStr">
        <is>
          <t>Especimen N°03</t>
        </is>
      </c>
      <c r="M21" s="810" t="n"/>
      <c r="N21" s="810" t="n"/>
      <c r="O21" s="810" t="n"/>
      <c r="P21" s="810" t="n"/>
      <c r="Q21" s="811" t="n"/>
      <c r="R21" s="163" t="n"/>
    </row>
    <row r="22" ht="13.95" customHeight="1">
      <c r="A22" s="812" t="inlineStr">
        <is>
          <t>CONDICIÓN</t>
        </is>
      </c>
      <c r="B22" s="810" t="n"/>
      <c r="C22" s="811" t="n"/>
      <c r="D22" s="812" t="inlineStr">
        <is>
          <t>Sin Saturar</t>
        </is>
      </c>
      <c r="E22" s="811" t="n"/>
      <c r="F22" s="812" t="inlineStr">
        <is>
          <t>Saturado</t>
        </is>
      </c>
      <c r="G22" s="811" t="n"/>
      <c r="H22" s="812" t="inlineStr">
        <is>
          <t>Sin Saturar</t>
        </is>
      </c>
      <c r="I22" s="811" t="n"/>
      <c r="J22" s="812" t="inlineStr">
        <is>
          <t>Saturado</t>
        </is>
      </c>
      <c r="K22" s="811" t="n"/>
      <c r="L22" s="812" t="inlineStr">
        <is>
          <t>Sin Saturar</t>
        </is>
      </c>
      <c r="M22" s="810" t="n"/>
      <c r="N22" s="811" t="n"/>
      <c r="O22" s="812" t="inlineStr">
        <is>
          <t>Saturado</t>
        </is>
      </c>
      <c r="P22" s="810" t="n"/>
      <c r="Q22" s="811" t="n"/>
      <c r="R22" s="163" t="n"/>
    </row>
    <row r="23" ht="19.5" customHeight="1">
      <c r="A23" s="821" t="inlineStr">
        <is>
          <t>Nº Golpes (56-25-10)</t>
        </is>
      </c>
      <c r="B23" s="810" t="n"/>
      <c r="C23" s="811" t="n"/>
      <c r="D23" s="814" t="n">
        <v>56</v>
      </c>
      <c r="E23" s="810" t="n"/>
      <c r="F23" s="810" t="n"/>
      <c r="G23" s="811" t="n"/>
      <c r="H23" s="809" t="n">
        <v>25</v>
      </c>
      <c r="I23" s="810" t="n"/>
      <c r="J23" s="810" t="n"/>
      <c r="K23" s="811" t="n"/>
      <c r="L23" s="809" t="n">
        <v>10</v>
      </c>
      <c r="M23" s="810" t="n"/>
      <c r="N23" s="810" t="n"/>
      <c r="O23" s="810" t="n"/>
      <c r="P23" s="810" t="n"/>
      <c r="Q23" s="811" t="n"/>
    </row>
    <row r="24" ht="19.5" customHeight="1">
      <c r="A24" s="821" t="inlineStr">
        <is>
          <t>Código de Moldes</t>
        </is>
      </c>
      <c r="B24" s="810" t="n"/>
      <c r="C24" s="811" t="n"/>
      <c r="D24" s="814" t="n"/>
      <c r="E24" s="810" t="n"/>
      <c r="F24" s="810" t="n"/>
      <c r="G24" s="811" t="n"/>
      <c r="H24" s="814" t="n"/>
      <c r="I24" s="810" t="n"/>
      <c r="J24" s="810" t="n"/>
      <c r="K24" s="811" t="n"/>
      <c r="L24" s="809" t="n"/>
      <c r="M24" s="810" t="n"/>
      <c r="N24" s="810" t="n"/>
      <c r="O24" s="810" t="n"/>
      <c r="P24" s="810" t="n"/>
      <c r="Q24" s="811" t="n"/>
    </row>
    <row r="25" ht="19.5" customHeight="1">
      <c r="A25" s="816" t="inlineStr">
        <is>
          <t>Temperatura de inicio (°C) (18-24°C)</t>
        </is>
      </c>
      <c r="B25" s="810" t="n"/>
      <c r="C25" s="811" t="n"/>
      <c r="D25" s="809" t="n"/>
      <c r="E25" s="810" t="n"/>
      <c r="F25" s="810" t="n"/>
      <c r="G25" s="811" t="n"/>
      <c r="H25" s="809" t="n"/>
      <c r="I25" s="810" t="n"/>
      <c r="J25" s="810" t="n"/>
      <c r="K25" s="811" t="n"/>
      <c r="L25" s="815" t="n"/>
      <c r="M25" s="810" t="n"/>
      <c r="N25" s="810" t="n"/>
      <c r="O25" s="810" t="n"/>
      <c r="P25" s="810" t="n"/>
      <c r="Q25" s="811" t="n"/>
    </row>
    <row r="26" ht="19.5" customHeight="1">
      <c r="A26" s="816" t="inlineStr">
        <is>
          <t>Temperatura final (°C) (18-24°C)</t>
        </is>
      </c>
      <c r="B26" s="810" t="n"/>
      <c r="C26" s="811" t="n"/>
      <c r="D26" s="809" t="n"/>
      <c r="E26" s="810" t="n"/>
      <c r="F26" s="810" t="n"/>
      <c r="G26" s="811" t="n"/>
      <c r="H26" s="809" t="n"/>
      <c r="I26" s="810" t="n"/>
      <c r="J26" s="810" t="n"/>
      <c r="K26" s="811" t="n"/>
      <c r="L26" s="815" t="n"/>
      <c r="M26" s="810" t="n"/>
      <c r="N26" s="810" t="n"/>
      <c r="O26" s="810" t="n"/>
      <c r="P26" s="810" t="n"/>
      <c r="Q26" s="811" t="n"/>
      <c r="S26" s="950" t="n"/>
      <c r="T26" s="950" t="n"/>
    </row>
    <row r="27" ht="19.5" customHeight="1">
      <c r="A27" s="821" t="inlineStr">
        <is>
          <t>Masa de molde + suelo moldeado (g)</t>
        </is>
      </c>
      <c r="B27" s="810" t="n"/>
      <c r="C27" s="811" t="n"/>
      <c r="D27" s="815" t="n"/>
      <c r="E27" s="811" t="n"/>
      <c r="F27" s="809" t="n"/>
      <c r="G27" s="811" t="n"/>
      <c r="H27" s="809" t="n"/>
      <c r="I27" s="811" t="n"/>
      <c r="J27" s="809" t="n"/>
      <c r="K27" s="811" t="n"/>
      <c r="L27" s="809" t="n"/>
      <c r="M27" s="810" t="n"/>
      <c r="N27" s="811" t="n"/>
      <c r="O27" s="809" t="n"/>
      <c r="P27" s="810" t="n"/>
      <c r="Q27" s="811" t="n"/>
      <c r="S27" s="950" t="n"/>
      <c r="T27" s="950" t="n"/>
    </row>
    <row r="28" ht="11.4" customHeight="1">
      <c r="A28" s="839" t="inlineStr">
        <is>
          <t>DETERMINACIÓN DE HUMEDAD</t>
        </is>
      </c>
      <c r="B28" s="810" t="n"/>
      <c r="C28" s="810" t="n"/>
      <c r="D28" s="810" t="n"/>
      <c r="E28" s="810" t="n"/>
      <c r="F28" s="810" t="n"/>
      <c r="G28" s="810" t="n"/>
      <c r="H28" s="810" t="n"/>
      <c r="I28" s="810" t="n"/>
      <c r="J28" s="810" t="n"/>
      <c r="K28" s="810" t="n"/>
      <c r="L28" s="810" t="n"/>
      <c r="M28" s="810" t="n"/>
      <c r="N28" s="810" t="n"/>
      <c r="O28" s="810" t="n"/>
      <c r="P28" s="810" t="n"/>
      <c r="Q28" s="811" t="n"/>
      <c r="S28" s="950" t="n"/>
      <c r="T28" s="950" t="n"/>
    </row>
    <row r="29" ht="19.5" customHeight="1">
      <c r="A29" s="821" t="inlineStr">
        <is>
          <t>Código tara</t>
        </is>
      </c>
      <c r="B29" s="810" t="n"/>
      <c r="C29" s="811" t="n"/>
      <c r="D29" s="815" t="n"/>
      <c r="E29" s="811" t="n"/>
      <c r="F29" s="809" t="n"/>
      <c r="G29" s="811" t="n"/>
      <c r="H29" s="809" t="n"/>
      <c r="I29" s="811" t="n"/>
      <c r="J29" s="809" t="n"/>
      <c r="K29" s="811" t="n"/>
      <c r="L29" s="809" t="n"/>
      <c r="M29" s="810" t="n"/>
      <c r="N29" s="811" t="n"/>
      <c r="O29" s="809" t="n"/>
      <c r="P29" s="810" t="n"/>
      <c r="Q29" s="811" t="n"/>
      <c r="S29" s="950" t="n"/>
      <c r="T29" s="950" t="n"/>
    </row>
    <row r="30" ht="19.5" customHeight="1">
      <c r="A30" s="821" t="inlineStr">
        <is>
          <t>Masa de tara (g)</t>
        </is>
      </c>
      <c r="B30" s="810" t="n"/>
      <c r="C30" s="811" t="n"/>
      <c r="D30" s="815" t="n"/>
      <c r="E30" s="811" t="n"/>
      <c r="F30" s="809" t="n"/>
      <c r="G30" s="811" t="n"/>
      <c r="H30" s="809" t="n"/>
      <c r="I30" s="811" t="n"/>
      <c r="J30" s="809" t="n"/>
      <c r="K30" s="811" t="n"/>
      <c r="L30" s="809" t="n"/>
      <c r="M30" s="810" t="n"/>
      <c r="N30" s="811" t="n"/>
      <c r="O30" s="809" t="n"/>
      <c r="P30" s="810" t="n"/>
      <c r="Q30" s="811" t="n"/>
      <c r="S30" s="950" t="n"/>
      <c r="T30" s="950" t="n"/>
    </row>
    <row r="31" ht="19.5" customHeight="1">
      <c r="A31" s="821" t="inlineStr">
        <is>
          <t>Masa de suelo húmedo + tara (g)</t>
        </is>
      </c>
      <c r="B31" s="810" t="n"/>
      <c r="C31" s="811" t="n"/>
      <c r="D31" s="815" t="n"/>
      <c r="E31" s="811" t="n"/>
      <c r="F31" s="809" t="n"/>
      <c r="G31" s="811" t="n"/>
      <c r="H31" s="809" t="n"/>
      <c r="I31" s="811" t="n"/>
      <c r="J31" s="809" t="n"/>
      <c r="K31" s="811" t="n"/>
      <c r="L31" s="809" t="n"/>
      <c r="M31" s="810" t="n"/>
      <c r="N31" s="811" t="n"/>
      <c r="O31" s="809" t="n"/>
      <c r="P31" s="810" t="n"/>
      <c r="Q31" s="811" t="n"/>
      <c r="S31" s="950" t="n"/>
      <c r="T31" s="950" t="n"/>
    </row>
    <row r="32" ht="19.5" customHeight="1">
      <c r="A32" s="821" t="inlineStr">
        <is>
          <t>Masa de suelo húmedo (g) (*)</t>
        </is>
      </c>
      <c r="B32" s="810" t="n"/>
      <c r="C32" s="811" t="n"/>
      <c r="D32" s="815">
        <f>+D31-D30</f>
        <v/>
      </c>
      <c r="E32" s="811" t="n"/>
      <c r="F32" s="815">
        <f>+F31-F30</f>
        <v/>
      </c>
      <c r="G32" s="811" t="n"/>
      <c r="H32" s="815">
        <f>+H31-H30</f>
        <v/>
      </c>
      <c r="I32" s="811" t="n"/>
      <c r="J32" s="815">
        <f>+J31-J30</f>
        <v/>
      </c>
      <c r="K32" s="811" t="n"/>
      <c r="L32" s="815">
        <f>+L31-L30</f>
        <v/>
      </c>
      <c r="M32" s="810" t="n"/>
      <c r="N32" s="811" t="n"/>
      <c r="O32" s="815">
        <f>+O31-O30</f>
        <v/>
      </c>
      <c r="P32" s="810" t="n"/>
      <c r="Q32" s="811" t="n"/>
      <c r="S32" s="950" t="n"/>
      <c r="T32" s="950" t="n"/>
    </row>
    <row r="33" ht="19.5" customHeight="1">
      <c r="A33" s="821" t="inlineStr">
        <is>
          <t>Masa de suelo seco + tara (g)</t>
        </is>
      </c>
      <c r="B33" s="810" t="n"/>
      <c r="C33" s="811" t="n"/>
      <c r="D33" s="815" t="n"/>
      <c r="E33" s="811" t="n"/>
      <c r="F33" s="809" t="n"/>
      <c r="G33" s="811" t="n"/>
      <c r="H33" s="809" t="n"/>
      <c r="I33" s="811" t="n"/>
      <c r="J33" s="809" t="n"/>
      <c r="K33" s="811" t="n"/>
      <c r="L33" s="809" t="n"/>
      <c r="M33" s="810" t="n"/>
      <c r="N33" s="811" t="n"/>
      <c r="O33" s="809" t="n"/>
      <c r="P33" s="810" t="n"/>
      <c r="Q33" s="811" t="n"/>
      <c r="S33" s="950" t="n"/>
      <c r="T33" s="950" t="n"/>
    </row>
    <row r="34" ht="22.5" customHeight="1">
      <c r="A34" s="821" t="inlineStr">
        <is>
          <t>Masa de suelo seco + tara (g) CONSTANTE</t>
        </is>
      </c>
      <c r="B34" s="810" t="n"/>
      <c r="C34" s="811" t="n"/>
      <c r="D34" s="815" t="n"/>
      <c r="E34" s="811" t="n"/>
      <c r="F34" s="809" t="n"/>
      <c r="G34" s="811" t="n"/>
      <c r="H34" s="809" t="n"/>
      <c r="I34" s="811" t="n"/>
      <c r="J34" s="809" t="n"/>
      <c r="K34" s="811" t="n"/>
      <c r="L34" s="809" t="n"/>
      <c r="M34" s="810" t="n"/>
      <c r="N34" s="811" t="n"/>
      <c r="O34" s="809" t="n"/>
      <c r="P34" s="810" t="n"/>
      <c r="Q34" s="811" t="n"/>
      <c r="S34" s="950" t="n"/>
      <c r="T34" s="950" t="n"/>
    </row>
    <row r="35" ht="12.75" customHeight="1">
      <c r="A35" s="736" t="inlineStr">
        <is>
          <t>(*) Según Tabla 1 de la norma ASTM D2216-19.</t>
        </is>
      </c>
      <c r="B35" s="737" t="n"/>
      <c r="C35" s="737" t="n"/>
      <c r="D35" s="738" t="n"/>
      <c r="E35" s="738" t="n"/>
      <c r="F35" s="764" t="n"/>
      <c r="G35" s="764" t="n"/>
      <c r="H35" s="764" t="n"/>
      <c r="I35" s="764" t="n"/>
      <c r="J35" s="764" t="n"/>
      <c r="K35" s="764" t="n"/>
      <c r="L35" s="764" t="n"/>
      <c r="M35" s="764" t="n"/>
      <c r="N35" s="764" t="n"/>
      <c r="O35" s="764" t="n"/>
      <c r="P35" s="764" t="n"/>
      <c r="Q35" s="765" t="n"/>
      <c r="S35" s="950" t="n"/>
      <c r="T35" s="950" t="n"/>
    </row>
    <row r="36" ht="15" customHeight="1">
      <c r="A36" s="766" t="inlineStr">
        <is>
          <t>LECTURA DE PENETRACIÓN</t>
        </is>
      </c>
      <c r="B36" s="677" t="n"/>
      <c r="C36" s="677" t="n"/>
      <c r="D36" s="677" t="n"/>
      <c r="E36" s="677" t="n"/>
      <c r="F36" s="677" t="n"/>
      <c r="G36" s="677" t="n"/>
      <c r="H36" s="677" t="n"/>
      <c r="I36" s="677" t="n"/>
      <c r="J36" s="677" t="n"/>
      <c r="K36" s="677" t="n"/>
      <c r="L36" s="677" t="n"/>
      <c r="M36" s="984" t="n"/>
      <c r="N36" s="986" t="n"/>
      <c r="O36" s="986" t="n"/>
      <c r="P36" s="986" t="n"/>
      <c r="Q36" s="146" t="n"/>
      <c r="S36" s="950" t="n"/>
      <c r="T36" s="950" t="n"/>
    </row>
    <row r="37" ht="19.5" customHeight="1">
      <c r="A37" s="849" t="inlineStr">
        <is>
          <t>Tiempo
(minutos)</t>
        </is>
      </c>
      <c r="B37" s="817" t="inlineStr">
        <is>
          <t>Penetración</t>
        </is>
      </c>
      <c r="C37" s="811" t="n"/>
      <c r="D37" s="768" t="inlineStr">
        <is>
          <t>Tensión</t>
        </is>
      </c>
      <c r="E37" s="817" t="inlineStr">
        <is>
          <t>Lectura de penetración</t>
        </is>
      </c>
      <c r="F37" s="810" t="n"/>
      <c r="G37" s="810" t="n"/>
      <c r="H37" s="810" t="n"/>
      <c r="I37" s="810" t="n"/>
      <c r="J37" s="811" t="n"/>
      <c r="K37" s="769" t="n"/>
      <c r="L37" s="848" t="inlineStr">
        <is>
          <t>HINCHAMIENTO</t>
        </is>
      </c>
      <c r="M37" s="810" t="n"/>
      <c r="N37" s="810" t="n"/>
      <c r="O37" s="810" t="n"/>
      <c r="P37" s="810" t="n"/>
      <c r="Q37" s="811" t="n"/>
      <c r="S37" s="950" t="n"/>
      <c r="T37" s="950" t="n"/>
    </row>
    <row r="38" ht="19.5" customHeight="1">
      <c r="A38" s="850" t="n"/>
      <c r="B38" s="817" t="inlineStr">
        <is>
          <t>(in)</t>
        </is>
      </c>
      <c r="C38" s="817" t="inlineStr">
        <is>
          <t>(mm)</t>
        </is>
      </c>
      <c r="D38" s="770" t="inlineStr">
        <is>
          <t>Estandar SS</t>
        </is>
      </c>
      <c r="E38" s="817" t="inlineStr">
        <is>
          <t>lectura Dial kg</t>
        </is>
      </c>
      <c r="F38" s="822" t="n"/>
      <c r="G38" s="817" t="inlineStr">
        <is>
          <t>lectura Dial kg</t>
        </is>
      </c>
      <c r="H38" s="822" t="n"/>
      <c r="I38" s="817" t="inlineStr">
        <is>
          <t>lectura Dial kg</t>
        </is>
      </c>
      <c r="J38" s="822" t="n"/>
      <c r="K38" s="769" t="n"/>
      <c r="L38" s="817" t="inlineStr">
        <is>
          <t>Fecha</t>
        </is>
      </c>
      <c r="M38" s="822" t="n"/>
      <c r="N38" s="818" t="inlineStr">
        <is>
          <t>Hora</t>
        </is>
      </c>
      <c r="O38" s="818" t="inlineStr">
        <is>
          <t>Esp. 01</t>
        </is>
      </c>
      <c r="P38" s="818" t="inlineStr">
        <is>
          <t>Esp. 02</t>
        </is>
      </c>
      <c r="Q38" s="818" t="inlineStr">
        <is>
          <t>Esp. 03</t>
        </is>
      </c>
      <c r="S38" s="950" t="n"/>
      <c r="T38" s="950" t="n"/>
    </row>
    <row r="39" ht="19.5" customHeight="1">
      <c r="A39" s="843" t="n"/>
      <c r="B39" s="843" t="n"/>
      <c r="C39" s="843" t="n"/>
      <c r="D39" s="772" t="inlineStr">
        <is>
          <t>psi = lbf/in2</t>
        </is>
      </c>
      <c r="E39" s="823" t="n"/>
      <c r="F39" s="824" t="n"/>
      <c r="G39" s="823" t="n"/>
      <c r="H39" s="824" t="n"/>
      <c r="I39" s="823" t="n"/>
      <c r="J39" s="824" t="n"/>
      <c r="K39" s="769" t="n"/>
      <c r="L39" s="823" t="n"/>
      <c r="M39" s="824" t="n"/>
      <c r="N39" s="832" t="n"/>
      <c r="O39" s="817" t="inlineStr">
        <is>
          <t>Expansión  (mm)</t>
        </is>
      </c>
      <c r="P39" s="810" t="n"/>
      <c r="Q39" s="811" t="n"/>
      <c r="R39" s="773" t="n"/>
      <c r="S39" s="950" t="n"/>
      <c r="T39" s="950" t="n"/>
    </row>
    <row r="40" ht="16.2" customHeight="1">
      <c r="A40" s="774" t="inlineStr">
        <is>
          <t>0:00</t>
        </is>
      </c>
      <c r="B40" s="742" t="n">
        <v>0</v>
      </c>
      <c r="C40" s="542" t="n">
        <v>0</v>
      </c>
      <c r="D40" s="817" t="n"/>
      <c r="E40" s="817" t="n"/>
      <c r="F40" s="811" t="n"/>
      <c r="G40" s="817" t="n"/>
      <c r="H40" s="811" t="n"/>
      <c r="I40" s="817" t="n"/>
      <c r="J40" s="811" t="n"/>
      <c r="K40" s="769" t="n"/>
      <c r="L40" s="817" t="inlineStr">
        <is>
          <t>09/02/26</t>
        </is>
      </c>
      <c r="M40" s="811" t="n"/>
      <c r="N40" s="775" t="inlineStr">
        <is>
          <t>11:00:00</t>
        </is>
      </c>
      <c r="O40" s="740" t="n"/>
      <c r="P40" s="740" t="n"/>
      <c r="Q40" s="817" t="n"/>
      <c r="R40" s="773" t="n"/>
      <c r="S40" s="950" t="n"/>
      <c r="T40" s="950" t="n"/>
    </row>
    <row r="41" ht="16.2" customHeight="1">
      <c r="A41" s="774" t="inlineStr">
        <is>
          <t>0:30</t>
        </is>
      </c>
      <c r="B41" s="742" t="n">
        <v>0.025</v>
      </c>
      <c r="C41" s="542" t="n">
        <v>0.64</v>
      </c>
      <c r="D41" s="817" t="n"/>
      <c r="E41" s="817" t="n"/>
      <c r="F41" s="811" t="n"/>
      <c r="G41" s="817" t="n"/>
      <c r="H41" s="811" t="n"/>
      <c r="I41" s="817" t="n"/>
      <c r="J41" s="811" t="n"/>
      <c r="K41" s="776" t="n"/>
      <c r="L41" s="817" t="inlineStr">
        <is>
          <t>10/02/26</t>
        </is>
      </c>
      <c r="M41" s="811" t="n"/>
      <c r="N41" s="775" t="inlineStr">
        <is>
          <t>11:00:00</t>
        </is>
      </c>
      <c r="O41" s="742" t="n"/>
      <c r="P41" s="742" t="n"/>
      <c r="Q41" s="742" t="n"/>
      <c r="R41" s="603" t="n"/>
      <c r="S41" s="950" t="n"/>
      <c r="T41" s="950" t="n"/>
    </row>
    <row r="42" ht="16.2" customHeight="1">
      <c r="A42" s="774" t="inlineStr">
        <is>
          <t>1:00</t>
        </is>
      </c>
      <c r="B42" s="742" t="n">
        <v>0.05</v>
      </c>
      <c r="C42" s="542" t="n">
        <v>1.3</v>
      </c>
      <c r="D42" s="817" t="n"/>
      <c r="E42" s="817" t="n"/>
      <c r="F42" s="811" t="n"/>
      <c r="G42" s="817" t="n"/>
      <c r="H42" s="811" t="n"/>
      <c r="I42" s="817" t="n"/>
      <c r="J42" s="811" t="n"/>
      <c r="K42" s="776" t="n"/>
      <c r="L42" s="817" t="inlineStr">
        <is>
          <t>11/02/26</t>
        </is>
      </c>
      <c r="M42" s="811" t="n"/>
      <c r="N42" s="775" t="inlineStr">
        <is>
          <t>11:00:00</t>
        </is>
      </c>
      <c r="O42" s="742" t="n"/>
      <c r="P42" s="742" t="n"/>
      <c r="Q42" s="742" t="n"/>
      <c r="R42" s="603" t="n"/>
      <c r="S42" s="950" t="n"/>
      <c r="T42" s="950" t="n"/>
    </row>
    <row r="43" ht="18" customHeight="1">
      <c r="A43" s="774" t="inlineStr">
        <is>
          <t>1:30</t>
        </is>
      </c>
      <c r="B43" s="742" t="n">
        <v>0.075</v>
      </c>
      <c r="C43" s="542" t="n">
        <v>1.9</v>
      </c>
      <c r="D43" s="817" t="n"/>
      <c r="E43" s="817" t="n"/>
      <c r="F43" s="811" t="n"/>
      <c r="G43" s="817" t="n"/>
      <c r="H43" s="811" t="n"/>
      <c r="I43" s="817" t="n"/>
      <c r="J43" s="811" t="n"/>
      <c r="K43" s="776" t="n"/>
      <c r="L43" s="817" t="inlineStr">
        <is>
          <t>12/02/26</t>
        </is>
      </c>
      <c r="M43" s="811" t="n"/>
      <c r="N43" s="775" t="inlineStr">
        <is>
          <t>11:00:00</t>
        </is>
      </c>
      <c r="O43" s="742" t="n"/>
      <c r="P43" s="742" t="n"/>
      <c r="Q43" s="742" t="n"/>
      <c r="R43" s="603" t="n"/>
      <c r="S43" s="950" t="n"/>
      <c r="T43" s="950" t="n"/>
    </row>
    <row r="44" ht="16.2" customHeight="1">
      <c r="A44" s="739" t="inlineStr">
        <is>
          <t>2:00</t>
        </is>
      </c>
      <c r="B44" s="561" t="n">
        <v>0.1</v>
      </c>
      <c r="C44" s="612" t="n">
        <v>2.5</v>
      </c>
      <c r="D44" s="848" t="n">
        <v>1000</v>
      </c>
      <c r="E44" s="817" t="n"/>
      <c r="F44" s="811" t="n"/>
      <c r="G44" s="817" t="n"/>
      <c r="H44" s="811" t="n"/>
      <c r="I44" s="817" t="n"/>
      <c r="J44" s="811" t="n"/>
      <c r="K44" s="776" t="n"/>
      <c r="L44" s="817" t="inlineStr">
        <is>
          <t>13/02/26</t>
        </is>
      </c>
      <c r="M44" s="811" t="n"/>
      <c r="N44" s="775" t="inlineStr">
        <is>
          <t>11:00:00</t>
        </is>
      </c>
      <c r="O44" s="742" t="n"/>
      <c r="P44" s="742" t="n"/>
      <c r="Q44" s="742" t="n"/>
      <c r="R44" s="603" t="n"/>
      <c r="S44" s="950" t="n"/>
      <c r="T44" s="950" t="n"/>
    </row>
    <row r="45" ht="16.2" customHeight="1">
      <c r="A45" s="741" t="n">
        <v>0.1041666666666667</v>
      </c>
      <c r="B45" s="742" t="n">
        <v>0.125</v>
      </c>
      <c r="C45" s="542" t="n">
        <v>3.18</v>
      </c>
      <c r="D45" s="817" t="n"/>
      <c r="E45" s="817" t="n"/>
      <c r="F45" s="811" t="n"/>
      <c r="G45" s="817" t="n"/>
      <c r="H45" s="811" t="n"/>
      <c r="I45" s="817" t="n"/>
      <c r="J45" s="811" t="n"/>
      <c r="K45" s="776" t="n"/>
      <c r="L45" s="754" t="n"/>
      <c r="M45" s="754" t="n"/>
      <c r="N45" s="754" t="n"/>
      <c r="O45" s="754" t="n"/>
      <c r="P45" s="754" t="n"/>
      <c r="Q45" s="755" t="n"/>
      <c r="R45" s="603" t="n"/>
      <c r="S45" s="950" t="n"/>
      <c r="T45" s="950" t="n"/>
    </row>
    <row r="46" ht="16.2" customHeight="1">
      <c r="A46" s="741" t="n">
        <v>0.125</v>
      </c>
      <c r="B46" s="742" t="n">
        <v>0.15</v>
      </c>
      <c r="C46" s="542" t="n">
        <v>3.8</v>
      </c>
      <c r="D46" s="817" t="n"/>
      <c r="E46" s="817" t="n"/>
      <c r="F46" s="811" t="n"/>
      <c r="G46" s="817" t="n"/>
      <c r="H46" s="811" t="n"/>
      <c r="I46" s="817" t="n"/>
      <c r="J46" s="811" t="n"/>
      <c r="K46" s="776" t="n"/>
      <c r="L46" s="828" t="inlineStr">
        <is>
          <t>Equipo utilizado</t>
        </is>
      </c>
      <c r="M46" s="819" t="n"/>
      <c r="N46" s="820" t="n"/>
      <c r="O46" s="834" t="inlineStr">
        <is>
          <t>Código</t>
        </is>
      </c>
      <c r="P46" s="819" t="n"/>
      <c r="Q46" s="820" t="n"/>
      <c r="R46" s="603" t="n"/>
      <c r="S46" s="950" t="n"/>
      <c r="T46" s="950" t="n"/>
    </row>
    <row r="47" ht="16.2" customHeight="1">
      <c r="A47" s="741" t="n">
        <v>0.1458333333333333</v>
      </c>
      <c r="B47" s="742" t="n">
        <v>0.175</v>
      </c>
      <c r="C47" s="542" t="n">
        <v>4.45</v>
      </c>
      <c r="D47" s="817" t="n"/>
      <c r="E47" s="817" t="n"/>
      <c r="F47" s="811" t="n"/>
      <c r="G47" s="817" t="n"/>
      <c r="H47" s="811" t="n"/>
      <c r="I47" s="817" t="n"/>
      <c r="J47" s="811" t="n"/>
      <c r="K47" s="776" t="n"/>
      <c r="L47" s="833" t="inlineStr">
        <is>
          <t>Equipo CBR</t>
        </is>
      </c>
      <c r="M47" s="819" t="n"/>
      <c r="N47" s="820" t="n"/>
      <c r="O47" s="818" t="n"/>
      <c r="P47" s="819" t="n"/>
      <c r="Q47" s="820" t="n"/>
      <c r="R47" s="603" t="n"/>
      <c r="S47" s="950" t="n"/>
      <c r="T47" s="950" t="n"/>
    </row>
    <row r="48" ht="16.2" customHeight="1">
      <c r="A48" s="743" t="n">
        <v>0.1666666666666667</v>
      </c>
      <c r="B48" s="561" t="n">
        <v>0.2</v>
      </c>
      <c r="C48" s="612" t="n">
        <v>5.1</v>
      </c>
      <c r="D48" s="848" t="n">
        <v>1500</v>
      </c>
      <c r="E48" s="817" t="n"/>
      <c r="F48" s="811" t="n"/>
      <c r="G48" s="817" t="n"/>
      <c r="H48" s="811" t="n"/>
      <c r="I48" s="817" t="n"/>
      <c r="J48" s="811" t="n"/>
      <c r="K48" s="776" t="n"/>
      <c r="L48" s="833" t="inlineStr">
        <is>
          <t>Dial deformación</t>
        </is>
      </c>
      <c r="M48" s="819" t="n"/>
      <c r="N48" s="820" t="n"/>
      <c r="O48" s="818" t="n"/>
      <c r="P48" s="819" t="n"/>
      <c r="Q48" s="820" t="n"/>
      <c r="R48" s="603" t="n"/>
      <c r="S48" s="950" t="n"/>
      <c r="T48" s="950" t="n"/>
    </row>
    <row r="49" ht="16.2" customHeight="1">
      <c r="A49" s="741" t="n">
        <v>0.25</v>
      </c>
      <c r="B49" s="742" t="n">
        <v>0.3</v>
      </c>
      <c r="C49" s="542" t="n">
        <v>7.6</v>
      </c>
      <c r="D49" s="817" t="n"/>
      <c r="E49" s="817" t="n"/>
      <c r="F49" s="811" t="n"/>
      <c r="G49" s="817" t="n"/>
      <c r="H49" s="811" t="n"/>
      <c r="I49" s="817" t="n"/>
      <c r="J49" s="811" t="n"/>
      <c r="K49" s="780" t="n"/>
      <c r="L49" s="833" t="inlineStr">
        <is>
          <t>Dial expansión</t>
        </is>
      </c>
      <c r="M49" s="819" t="n"/>
      <c r="N49" s="820" t="n"/>
      <c r="O49" s="818" t="n"/>
      <c r="P49" s="819" t="n"/>
      <c r="Q49" s="820" t="n"/>
      <c r="R49" s="603" t="n"/>
      <c r="S49" s="950" t="n"/>
      <c r="T49" s="950" t="n"/>
    </row>
    <row r="50" ht="16.2" customHeight="1">
      <c r="A50" s="741" t="n">
        <v>0.3333333333333333</v>
      </c>
      <c r="B50" s="742" t="n">
        <v>0.4</v>
      </c>
      <c r="C50" s="542" t="n">
        <v>10</v>
      </c>
      <c r="D50" s="817" t="n"/>
      <c r="E50" s="817" t="n"/>
      <c r="F50" s="811" t="n"/>
      <c r="G50" s="817" t="n"/>
      <c r="H50" s="811" t="n"/>
      <c r="I50" s="817" t="n"/>
      <c r="J50" s="811" t="n"/>
      <c r="K50" s="780" t="n"/>
      <c r="L50" s="777" t="inlineStr">
        <is>
          <t>Horno 110 ºC</t>
        </is>
      </c>
      <c r="M50" s="778" t="n"/>
      <c r="N50" s="779" t="n"/>
      <c r="O50" s="818" t="n"/>
      <c r="P50" s="819" t="n"/>
      <c r="Q50" s="820" t="n"/>
      <c r="R50" s="603" t="n"/>
      <c r="S50" s="950" t="n"/>
      <c r="T50" s="950" t="n"/>
    </row>
    <row r="51" ht="16.2" customHeight="1">
      <c r="A51" s="741" t="n">
        <v>0.4166666666666667</v>
      </c>
      <c r="B51" s="742" t="n">
        <v>0.5</v>
      </c>
      <c r="C51" s="542" t="n">
        <v>13</v>
      </c>
      <c r="D51" s="817" t="n"/>
      <c r="E51" s="817" t="n"/>
      <c r="F51" s="811" t="n"/>
      <c r="G51" s="817" t="n"/>
      <c r="H51" s="811" t="n"/>
      <c r="I51" s="817" t="n"/>
      <c r="J51" s="811" t="n"/>
      <c r="K51" s="781" t="n"/>
      <c r="L51" s="777" t="inlineStr">
        <is>
          <t>Pison</t>
        </is>
      </c>
      <c r="M51" s="778" t="n"/>
      <c r="N51" s="779" t="n"/>
      <c r="O51" s="818" t="n"/>
      <c r="P51" s="819" t="n"/>
      <c r="Q51" s="820" t="n"/>
      <c r="R51" s="603" t="n"/>
      <c r="S51" s="950" t="n"/>
      <c r="T51" s="950" t="n"/>
    </row>
    <row r="52" ht="16.2" customHeight="1">
      <c r="A52" s="336" t="n"/>
      <c r="B52" s="762" t="n"/>
      <c r="C52" s="762" t="n"/>
      <c r="D52" s="782" t="n"/>
      <c r="E52" s="762" t="n"/>
      <c r="F52" s="762" t="n"/>
      <c r="G52" s="762" t="n"/>
      <c r="H52" s="762" t="n"/>
      <c r="I52" s="783" t="n"/>
      <c r="J52" s="762" t="n"/>
      <c r="K52" s="984" t="n"/>
      <c r="L52" s="833" t="inlineStr">
        <is>
          <t>Balanza 1 g</t>
        </is>
      </c>
      <c r="M52" s="819" t="n"/>
      <c r="N52" s="820" t="n"/>
      <c r="O52" s="818" t="n"/>
      <c r="P52" s="819" t="n"/>
      <c r="Q52" s="820" t="n"/>
      <c r="S52" s="950" t="n"/>
      <c r="T52" s="950" t="n"/>
    </row>
    <row r="53" ht="16.2" customHeight="1">
      <c r="A53" s="784" t="inlineStr">
        <is>
          <t>Profundidad de la hendidura (mm)</t>
        </is>
      </c>
      <c r="B53" s="785" t="n"/>
      <c r="C53" s="785" t="n"/>
      <c r="D53" s="786" t="n"/>
      <c r="E53" s="817" t="n"/>
      <c r="F53" s="811" t="n"/>
      <c r="G53" s="817" t="n"/>
      <c r="H53" s="811" t="n"/>
      <c r="I53" s="813" t="n"/>
      <c r="J53" s="811" t="n"/>
      <c r="K53" s="188" t="n"/>
      <c r="L53" s="833" t="inlineStr">
        <is>
          <t>Balanza 0.1 g</t>
        </is>
      </c>
      <c r="M53" s="819" t="n"/>
      <c r="N53" s="820" t="n"/>
      <c r="O53" s="818" t="n"/>
      <c r="P53" s="819" t="n"/>
      <c r="Q53" s="820" t="n"/>
      <c r="S53" s="950" t="n"/>
      <c r="T53" s="950" t="n"/>
    </row>
    <row r="54" ht="16.2" customHeight="1">
      <c r="A54" s="984" t="n"/>
      <c r="B54" s="984" t="n"/>
      <c r="C54" s="984" t="n"/>
      <c r="D54" s="985" t="n"/>
      <c r="E54" s="984" t="n"/>
      <c r="F54" s="984" t="n"/>
      <c r="G54" s="984" t="n"/>
      <c r="H54" s="984" t="n"/>
      <c r="I54" s="986" t="n"/>
      <c r="J54" s="984" t="n"/>
      <c r="K54" s="984" t="n"/>
      <c r="L54" s="984" t="n"/>
      <c r="M54" s="984" t="n"/>
      <c r="N54" s="984" t="n"/>
      <c r="O54" s="984" t="n"/>
      <c r="P54" s="984" t="n"/>
      <c r="Q54" s="984" t="n"/>
      <c r="S54" s="950" t="n"/>
      <c r="T54" s="950" t="n"/>
    </row>
    <row r="55" ht="15.6" customHeight="1">
      <c r="A55" s="336" t="n"/>
      <c r="B55" s="762" t="n"/>
      <c r="C55" s="762" t="n"/>
      <c r="D55" s="782" t="n"/>
      <c r="E55" s="762" t="n"/>
      <c r="F55" s="762" t="n"/>
      <c r="G55" s="762" t="n"/>
      <c r="H55" s="762" t="n"/>
      <c r="I55" s="783" t="n"/>
      <c r="J55" s="762" t="n"/>
      <c r="K55" s="762" t="n"/>
      <c r="L55" s="782" t="n"/>
      <c r="M55" s="762" t="n"/>
      <c r="N55" s="762" t="n"/>
      <c r="O55" s="762" t="n"/>
      <c r="P55" s="762" t="n"/>
      <c r="Q55" s="787" t="n"/>
      <c r="S55" s="950" t="n"/>
      <c r="T55" s="950" t="n"/>
    </row>
    <row r="56" ht="15.75" customHeight="1">
      <c r="A56" s="788" t="inlineStr">
        <is>
          <t>Observaciones:</t>
        </is>
      </c>
      <c r="B56" s="138" t="n"/>
      <c r="C56" s="138" t="n"/>
      <c r="D56" s="789" t="n"/>
      <c r="E56" s="138" t="n"/>
      <c r="F56" s="138" t="n"/>
      <c r="G56" s="138" t="n"/>
      <c r="H56" s="138" t="n"/>
      <c r="I56" s="790" t="n"/>
      <c r="J56" s="138" t="n"/>
      <c r="K56" s="138" t="n"/>
      <c r="L56" s="789" t="n"/>
      <c r="M56" s="138" t="n"/>
      <c r="N56" s="138" t="n"/>
      <c r="O56" s="138" t="n"/>
      <c r="P56" s="138" t="n"/>
      <c r="Q56" s="142" t="n"/>
      <c r="S56" s="950" t="n"/>
      <c r="T56" s="950" t="n"/>
    </row>
    <row r="57" ht="15" customHeight="1">
      <c r="A57" s="791" t="n"/>
      <c r="B57" s="762" t="n"/>
      <c r="C57" s="762" t="n"/>
      <c r="D57" s="782" t="n"/>
      <c r="E57" s="762" t="n"/>
      <c r="F57" s="762" t="n"/>
      <c r="G57" s="762" t="n"/>
      <c r="H57" s="762" t="n"/>
      <c r="I57" s="783" t="n"/>
      <c r="J57" s="762" t="n"/>
      <c r="K57" s="762" t="n"/>
      <c r="L57" s="782" t="n"/>
      <c r="M57" s="762" t="n"/>
      <c r="N57" s="762" t="n"/>
      <c r="O57" s="762" t="n"/>
      <c r="P57" s="762" t="n"/>
      <c r="Q57" s="787" t="n"/>
      <c r="S57" s="950" t="n"/>
      <c r="T57" s="950" t="n"/>
    </row>
    <row r="58" ht="6" customHeight="1">
      <c r="A58" s="983" t="n"/>
      <c r="C58" s="984" t="n"/>
      <c r="D58" s="985" t="n"/>
      <c r="E58" s="984" t="n"/>
      <c r="F58" s="984" t="n"/>
      <c r="G58" s="984" t="n"/>
      <c r="H58" s="984" t="n"/>
      <c r="I58" s="986" t="n"/>
      <c r="J58" s="984" t="n"/>
      <c r="K58" s="984" t="n"/>
      <c r="L58" s="985" t="n"/>
      <c r="M58" s="984" t="n"/>
      <c r="N58" s="984" t="n"/>
      <c r="O58" s="984" t="n"/>
      <c r="P58" s="984" t="n"/>
      <c r="Q58" s="984" t="n"/>
      <c r="S58" s="950" t="n"/>
      <c r="T58" s="950" t="n"/>
    </row>
    <row r="59" ht="15" customHeight="1">
      <c r="A59" s="983" t="n"/>
      <c r="B59" s="984" t="n"/>
      <c r="C59" s="988" t="inlineStr">
        <is>
          <t xml:space="preserve">Revisado:
Fecha: </t>
        </is>
      </c>
      <c r="D59" s="845" t="n"/>
      <c r="E59" s="845" t="n"/>
      <c r="F59" s="846" t="n"/>
      <c r="G59" s="984" t="n"/>
      <c r="H59" s="984" t="n"/>
      <c r="I59" s="988" t="inlineStr">
        <is>
          <t xml:space="preserve">Revisado:
Fecha: </t>
        </is>
      </c>
      <c r="J59" s="845" t="n"/>
      <c r="K59" s="845" t="n"/>
      <c r="L59" s="846" t="n"/>
      <c r="M59" s="984" t="n"/>
      <c r="N59" s="984" t="n"/>
      <c r="O59" s="984" t="n"/>
      <c r="P59" s="984" t="n"/>
      <c r="Q59" s="984" t="n"/>
      <c r="S59" s="950" t="n"/>
      <c r="T59" s="950" t="n"/>
    </row>
    <row r="60" ht="15" customHeight="1">
      <c r="C60" s="989" t="n"/>
      <c r="D60" s="837" t="n"/>
      <c r="E60" s="837" t="n"/>
      <c r="F60" s="838" t="n"/>
      <c r="I60" s="989" t="n"/>
      <c r="J60" s="837" t="n"/>
      <c r="K60" s="837" t="n"/>
      <c r="L60" s="838" t="n"/>
    </row>
    <row r="61" ht="23.4" customHeight="1">
      <c r="C61" s="923" t="n"/>
      <c r="D61" s="830" t="n"/>
      <c r="E61" s="830" t="n"/>
      <c r="F61" s="831" t="n"/>
      <c r="I61" s="923" t="n"/>
      <c r="J61" s="830" t="n"/>
      <c r="K61" s="830" t="n"/>
      <c r="L61" s="831" t="n"/>
    </row>
    <row r="62" ht="15.75" customHeight="1">
      <c r="A62" s="744" t="inlineStr">
        <is>
          <t>Página 1 de 1</t>
        </is>
      </c>
      <c r="B62" s="792" t="n"/>
      <c r="C62" s="792" t="n"/>
      <c r="D62" s="792" t="n"/>
      <c r="E62" s="792" t="n"/>
      <c r="F62" s="792" t="n"/>
      <c r="G62" s="792" t="n"/>
      <c r="H62" s="792" t="n"/>
      <c r="I62" s="792" t="n"/>
      <c r="J62" s="792" t="n"/>
      <c r="K62" s="792" t="n"/>
      <c r="L62" s="792" t="n"/>
      <c r="M62" s="792" t="n"/>
      <c r="N62" s="792" t="n"/>
      <c r="O62" s="792" t="n"/>
    </row>
    <row r="63" ht="15.75" customHeight="1">
      <c r="A63" s="744" t="inlineStr">
        <is>
          <t>Versión: 02 (11-11-2024)</t>
        </is>
      </c>
      <c r="B63" s="792" t="n"/>
      <c r="C63" s="792" t="n"/>
      <c r="D63" s="792" t="n"/>
      <c r="E63" s="744" t="n"/>
      <c r="F63" s="744" t="inlineStr">
        <is>
          <t>Prohibido reproducir sin  autorización</t>
        </is>
      </c>
      <c r="G63" s="792" t="n"/>
      <c r="I63" s="792" t="n"/>
      <c r="J63" s="792" t="n"/>
      <c r="K63" s="792" t="n"/>
      <c r="L63" s="792" t="n"/>
      <c r="M63" s="792" t="n"/>
      <c r="N63" s="792" t="n"/>
      <c r="O63" s="792" t="n"/>
    </row>
    <row r="64" ht="7.2" customHeight="1"/>
    <row r="65" ht="30.75" customHeight="1">
      <c r="A65" s="851" t="inlineStr">
        <is>
          <t>WEB: www.geofal.com.pe   E-MAIL: laboratorio@geofal.com.pe
Av. Marañon 763, Los Olivos-Lima / Teléfono  01 754-3070</t>
        </is>
      </c>
    </row>
    <row r="66" ht="15.9" customHeight="1"/>
    <row r="67" ht="15.9" customHeight="1"/>
  </sheetData>
  <mergeCells count="170">
    <mergeCell ref="O29:Q29"/>
    <mergeCell ref="L33:N33"/>
    <mergeCell ref="F29:G29"/>
    <mergeCell ref="O22:Q22"/>
    <mergeCell ref="O15:P15"/>
    <mergeCell ref="O31:Q31"/>
    <mergeCell ref="A21:C21"/>
    <mergeCell ref="H24:K24"/>
    <mergeCell ref="D22:E22"/>
    <mergeCell ref="D31:E31"/>
    <mergeCell ref="A26:C26"/>
    <mergeCell ref="E51:F51"/>
    <mergeCell ref="O51:Q51"/>
    <mergeCell ref="A23:C23"/>
    <mergeCell ref="H26:K26"/>
    <mergeCell ref="I38:J39"/>
    <mergeCell ref="O47:Q47"/>
    <mergeCell ref="D2:Q2"/>
    <mergeCell ref="O16:P16"/>
    <mergeCell ref="L46:N46"/>
    <mergeCell ref="A12:Q12"/>
    <mergeCell ref="I42:J42"/>
    <mergeCell ref="N38:N39"/>
    <mergeCell ref="E49:F49"/>
    <mergeCell ref="D21:G21"/>
    <mergeCell ref="J31:K31"/>
    <mergeCell ref="A34:C34"/>
    <mergeCell ref="L48:N48"/>
    <mergeCell ref="L40:M40"/>
    <mergeCell ref="I44:J44"/>
    <mergeCell ref="O17:P17"/>
    <mergeCell ref="O33:Q33"/>
    <mergeCell ref="L32:N32"/>
    <mergeCell ref="D33:E33"/>
    <mergeCell ref="L47:N47"/>
    <mergeCell ref="O39:Q39"/>
    <mergeCell ref="G44:H44"/>
    <mergeCell ref="E53:F53"/>
    <mergeCell ref="I46:J46"/>
    <mergeCell ref="D34:E34"/>
    <mergeCell ref="F34:G34"/>
    <mergeCell ref="D24:G24"/>
    <mergeCell ref="L23:Q23"/>
    <mergeCell ref="E14:F14"/>
    <mergeCell ref="E48:F48"/>
    <mergeCell ref="G48:H48"/>
    <mergeCell ref="O50:Q50"/>
    <mergeCell ref="H23:K23"/>
    <mergeCell ref="H34:I34"/>
    <mergeCell ref="I59:L61"/>
    <mergeCell ref="D26:G26"/>
    <mergeCell ref="F30:G30"/>
    <mergeCell ref="J34:K34"/>
    <mergeCell ref="O46:Q46"/>
    <mergeCell ref="A32:C32"/>
    <mergeCell ref="I41:J41"/>
    <mergeCell ref="L42:M42"/>
    <mergeCell ref="F33:G33"/>
    <mergeCell ref="O52:Q52"/>
    <mergeCell ref="J27:K27"/>
    <mergeCell ref="L34:N34"/>
    <mergeCell ref="A29:C29"/>
    <mergeCell ref="E40:F40"/>
    <mergeCell ref="O48:Q48"/>
    <mergeCell ref="L52:N52"/>
    <mergeCell ref="G49:H49"/>
    <mergeCell ref="I43:J43"/>
    <mergeCell ref="L49:N49"/>
    <mergeCell ref="A31:C31"/>
    <mergeCell ref="H25:K25"/>
    <mergeCell ref="B37:C37"/>
    <mergeCell ref="E37:J37"/>
    <mergeCell ref="F31:G31"/>
    <mergeCell ref="J22:K22"/>
    <mergeCell ref="D9:E9"/>
    <mergeCell ref="L44:M44"/>
    <mergeCell ref="A24:C24"/>
    <mergeCell ref="F9:G9"/>
    <mergeCell ref="D3:Q3"/>
    <mergeCell ref="D29:E29"/>
    <mergeCell ref="A28:Q28"/>
    <mergeCell ref="A25:C25"/>
    <mergeCell ref="E50:F50"/>
    <mergeCell ref="O49:Q49"/>
    <mergeCell ref="J29:K29"/>
    <mergeCell ref="G42:H42"/>
    <mergeCell ref="I45:J45"/>
    <mergeCell ref="H31:I31"/>
    <mergeCell ref="L38:M39"/>
    <mergeCell ref="E44:F44"/>
    <mergeCell ref="L43:M43"/>
    <mergeCell ref="I47:J47"/>
    <mergeCell ref="O27:Q27"/>
    <mergeCell ref="D27:E27"/>
    <mergeCell ref="A22:C22"/>
    <mergeCell ref="K9:N9"/>
    <mergeCell ref="F8:G8"/>
    <mergeCell ref="L21:Q21"/>
    <mergeCell ref="E46:F46"/>
    <mergeCell ref="E15:F15"/>
    <mergeCell ref="L27:N27"/>
    <mergeCell ref="H8:J8"/>
    <mergeCell ref="E20:Q20"/>
    <mergeCell ref="F22:G22"/>
    <mergeCell ref="A30:C30"/>
    <mergeCell ref="H22:I22"/>
    <mergeCell ref="C59:F61"/>
    <mergeCell ref="G51:H51"/>
    <mergeCell ref="O53:Q53"/>
    <mergeCell ref="I51:J51"/>
    <mergeCell ref="D30:E30"/>
    <mergeCell ref="C38:C39"/>
    <mergeCell ref="E41:F41"/>
    <mergeCell ref="G41:H41"/>
    <mergeCell ref="L53:N53"/>
    <mergeCell ref="G50:H50"/>
    <mergeCell ref="K8:N8"/>
    <mergeCell ref="H9:J9"/>
    <mergeCell ref="I50:J50"/>
    <mergeCell ref="E38:F39"/>
    <mergeCell ref="H30:I30"/>
    <mergeCell ref="E43:F43"/>
    <mergeCell ref="L24:Q24"/>
    <mergeCell ref="G43:H43"/>
    <mergeCell ref="H29:I29"/>
    <mergeCell ref="D25:G25"/>
    <mergeCell ref="O32:Q32"/>
    <mergeCell ref="I49:J49"/>
    <mergeCell ref="L30:N30"/>
    <mergeCell ref="A27:C27"/>
    <mergeCell ref="E42:F42"/>
    <mergeCell ref="L26:Q26"/>
    <mergeCell ref="A11:Q11"/>
    <mergeCell ref="B38:B39"/>
    <mergeCell ref="L29:N29"/>
    <mergeCell ref="D23:G23"/>
    <mergeCell ref="J30:K30"/>
    <mergeCell ref="A33:C33"/>
    <mergeCell ref="L25:Q25"/>
    <mergeCell ref="A65:Q65"/>
    <mergeCell ref="L22:N22"/>
    <mergeCell ref="G19:H19"/>
    <mergeCell ref="L31:N31"/>
    <mergeCell ref="G53:H53"/>
    <mergeCell ref="D32:E32"/>
    <mergeCell ref="F32:G32"/>
    <mergeCell ref="I53:J53"/>
    <mergeCell ref="H32:I32"/>
    <mergeCell ref="J32:K32"/>
    <mergeCell ref="E45:F45"/>
    <mergeCell ref="L41:M41"/>
    <mergeCell ref="G45:H45"/>
    <mergeCell ref="H21:K21"/>
    <mergeCell ref="F27:G27"/>
    <mergeCell ref="I48:J48"/>
    <mergeCell ref="O34:Q34"/>
    <mergeCell ref="H27:I27"/>
    <mergeCell ref="D8:E8"/>
    <mergeCell ref="G47:H47"/>
    <mergeCell ref="G38:H39"/>
    <mergeCell ref="L37:Q37"/>
    <mergeCell ref="H33:I33"/>
    <mergeCell ref="O14:P14"/>
    <mergeCell ref="J33:K33"/>
    <mergeCell ref="O30:Q30"/>
    <mergeCell ref="A37:A39"/>
    <mergeCell ref="G46:H46"/>
    <mergeCell ref="G40:H40"/>
    <mergeCell ref="I40:J40"/>
    <mergeCell ref="E47:F47"/>
  </mergeCells>
  <pageMargins left="0.39" right="0.12" top="0.46" bottom="0.36" header="0.3" footer="0.3"/>
  <pageSetup orientation="portrait" paperSize="9" scale="79" horizontalDpi="0" verticalDpi="0"/>
</worksheet>
</file>

<file path=xl/worksheets/sheet3.xml><?xml version="1.0" encoding="utf-8"?>
<worksheet xmlns="http://schemas.openxmlformats.org/spreadsheetml/2006/main">
  <sheetPr>
    <tabColor rgb="FFC00000"/>
    <outlinePr summaryBelow="1" summaryRight="1"/>
    <pageSetUpPr/>
  </sheetPr>
  <dimension ref="A1:V97"/>
  <sheetViews>
    <sheetView showGridLines="0" showWhiteSpace="0" view="pageBreakPreview" zoomScaleNormal="100" zoomScaleSheetLayoutView="100" workbookViewId="0">
      <selection activeCell="R8" sqref="R8"/>
    </sheetView>
  </sheetViews>
  <sheetFormatPr baseColWidth="10" defaultColWidth="11.44140625" defaultRowHeight="15" customHeight="1"/>
  <cols>
    <col width="11" customWidth="1" style="871" min="1" max="1"/>
    <col width="3.109375" customWidth="1" style="871" min="2" max="2"/>
    <col width="4.6640625" customWidth="1" style="871" min="3" max="3"/>
    <col width="5.44140625" customWidth="1" style="871" min="4" max="4"/>
    <col width="5.33203125" customWidth="1" style="871" min="5" max="5"/>
    <col width="6.109375" customWidth="1" style="871" min="6" max="12"/>
    <col width="8.44140625" customWidth="1" style="871" min="13" max="13"/>
    <col width="9" customWidth="1" style="871" min="14" max="14"/>
    <col width="2.109375" customWidth="1" style="871" min="15" max="15"/>
    <col width="8.88671875" customWidth="1" style="871" min="16" max="16"/>
    <col width="4.5546875" customWidth="1" style="871" min="17" max="17"/>
    <col width="10" customWidth="1" style="2" min="18" max="18"/>
    <col width="16.33203125" customWidth="1" style="2" min="19" max="19"/>
    <col width="11.44140625" customWidth="1" style="2" min="20" max="20"/>
    <col width="11.44140625" customWidth="1" style="2" min="21" max="16384"/>
  </cols>
  <sheetData>
    <row r="1" ht="12" customHeight="1">
      <c r="A1" s="95" t="n"/>
      <c r="B1" s="95" t="n"/>
      <c r="C1" s="95" t="n"/>
      <c r="D1" s="95" t="n"/>
      <c r="E1" s="95" t="n"/>
      <c r="F1" s="95" t="n"/>
      <c r="G1" s="95" t="n"/>
      <c r="H1" s="95" t="n"/>
      <c r="I1" s="95" t="n"/>
      <c r="J1" s="95" t="n"/>
      <c r="K1" s="95" t="n"/>
      <c r="L1" s="95" t="n"/>
      <c r="M1" s="95" t="n"/>
      <c r="N1" s="95" t="n"/>
      <c r="O1" s="95" t="n"/>
      <c r="P1" s="95" t="n"/>
      <c r="Q1" s="95" t="n"/>
    </row>
    <row r="2" ht="12" customHeight="1">
      <c r="A2" s="95" t="n"/>
      <c r="B2" s="95" t="n"/>
      <c r="C2" s="95" t="n"/>
      <c r="D2" s="95" t="n"/>
      <c r="E2" s="95" t="n"/>
      <c r="F2" s="95" t="n"/>
      <c r="G2" s="95" t="n"/>
      <c r="H2" s="95" t="n"/>
      <c r="I2" s="95" t="n"/>
      <c r="J2" s="95" t="n"/>
      <c r="K2" s="95" t="n"/>
      <c r="L2" s="95" t="n"/>
      <c r="M2" s="95" t="n"/>
      <c r="N2" s="95" t="n"/>
      <c r="O2" s="95" t="n"/>
      <c r="P2" s="95" t="n"/>
      <c r="Q2" s="95" t="n"/>
    </row>
    <row r="3" ht="10.5" customHeight="1">
      <c r="A3" s="95" t="n"/>
      <c r="B3" s="95" t="n"/>
      <c r="C3" s="95" t="n"/>
      <c r="D3" s="95" t="n"/>
      <c r="E3" s="95" t="n"/>
      <c r="F3" s="95" t="n"/>
      <c r="G3" s="95" t="n"/>
      <c r="H3" s="95" t="n"/>
      <c r="I3" s="95" t="n"/>
      <c r="J3" s="95" t="n"/>
      <c r="K3" s="95" t="n"/>
      <c r="L3" s="95" t="n"/>
      <c r="M3" s="95" t="n"/>
      <c r="N3" s="95" t="n"/>
      <c r="O3" s="95" t="n"/>
      <c r="P3" s="95" t="n"/>
      <c r="Q3" s="95" t="n"/>
    </row>
    <row r="4" ht="10.5" customHeight="1">
      <c r="A4" s="95" t="n"/>
      <c r="B4" s="95" t="n"/>
      <c r="C4" s="95" t="n"/>
      <c r="D4" s="95" t="n"/>
      <c r="E4" s="95" t="n"/>
      <c r="F4" s="95" t="n"/>
      <c r="G4" s="95" t="n"/>
      <c r="H4" s="95" t="n"/>
      <c r="I4" s="95" t="n"/>
      <c r="J4" s="95" t="n"/>
      <c r="K4" s="95" t="n"/>
      <c r="L4" s="95" t="n"/>
      <c r="M4" s="95" t="n"/>
      <c r="N4" s="95" t="n"/>
      <c r="O4" s="95" t="n"/>
      <c r="P4" s="95" t="n"/>
      <c r="Q4" s="95" t="n"/>
    </row>
    <row r="5" ht="7.5" customHeight="1">
      <c r="A5" s="95" t="n"/>
      <c r="B5" s="95" t="n"/>
      <c r="C5" s="95" t="n"/>
      <c r="D5" s="95" t="n"/>
      <c r="E5" s="95" t="n"/>
      <c r="F5" s="95" t="n"/>
      <c r="G5" s="95" t="n"/>
      <c r="H5" s="95" t="n"/>
      <c r="I5" s="95" t="n"/>
      <c r="J5" s="95" t="n"/>
      <c r="K5" s="95" t="n"/>
      <c r="L5" s="95" t="n"/>
      <c r="M5" s="95" t="n"/>
      <c r="N5" s="95" t="n"/>
      <c r="O5" s="95" t="n"/>
      <c r="P5" s="95" t="n"/>
      <c r="Q5" s="95" t="n"/>
    </row>
    <row r="6" ht="7.5" customHeight="1">
      <c r="A6" s="96" t="n"/>
      <c r="B6" s="96" t="n"/>
      <c r="C6" s="97" t="n"/>
      <c r="D6" s="97" t="n"/>
      <c r="E6" s="96" t="n"/>
      <c r="F6" s="97" t="n"/>
      <c r="G6" s="97" t="n"/>
      <c r="H6" s="97" t="n"/>
      <c r="I6" s="97" t="n"/>
      <c r="J6" s="97" t="n"/>
      <c r="K6" s="97" t="n"/>
      <c r="L6" s="97" t="n"/>
      <c r="M6" s="97" t="n"/>
      <c r="N6" s="96" t="n"/>
      <c r="O6" s="97" t="n"/>
      <c r="P6" s="97" t="n"/>
      <c r="Q6" s="97" t="n"/>
    </row>
    <row r="7" ht="15.75" customHeight="1">
      <c r="A7" s="870" t="inlineStr">
        <is>
          <t>LABORATORIO DE ENSAYO DE MATERIALES</t>
        </is>
      </c>
    </row>
    <row r="8" ht="15.75" customHeight="1">
      <c r="A8" s="990" t="n">
        <v>0</v>
      </c>
      <c r="B8" s="862" t="n"/>
      <c r="C8" s="862" t="n"/>
      <c r="D8" s="862" t="n"/>
      <c r="E8" s="862" t="n"/>
      <c r="F8" s="862" t="n"/>
      <c r="G8" s="862" t="n"/>
      <c r="H8" s="862" t="n"/>
      <c r="I8" s="862" t="n"/>
      <c r="J8" s="862" t="n"/>
      <c r="K8" s="862" t="n"/>
      <c r="L8" s="862" t="n"/>
      <c r="M8" s="862" t="n"/>
      <c r="N8" s="862" t="n"/>
      <c r="O8" s="862" t="n"/>
      <c r="P8" s="862" t="n"/>
      <c r="Q8" s="862" t="n"/>
      <c r="R8" s="3" t="n"/>
    </row>
    <row r="9" ht="15.75" customHeight="1">
      <c r="A9" s="98" t="n"/>
      <c r="B9" s="99" t="n"/>
      <c r="C9" s="100" t="n"/>
      <c r="D9" s="100" t="n"/>
      <c r="E9" s="861" t="n"/>
      <c r="F9" s="102" t="n"/>
      <c r="G9" s="103" t="n"/>
      <c r="H9" s="103" t="n"/>
      <c r="I9" s="102" t="n"/>
      <c r="J9" s="102" t="n"/>
      <c r="K9" s="102" t="n"/>
      <c r="L9" s="102" t="n"/>
      <c r="M9" s="102" t="n"/>
      <c r="N9" s="102" t="n"/>
      <c r="O9" s="102" t="n"/>
      <c r="P9" s="104" t="n"/>
      <c r="Q9" s="104" t="n"/>
      <c r="R9" s="5" t="n"/>
    </row>
    <row r="10" ht="13.95" customHeight="1">
      <c r="A10" s="18" t="inlineStr">
        <is>
          <t>CLIENTE</t>
        </is>
      </c>
      <c r="B10" s="19" t="inlineStr">
        <is>
          <t>:</t>
        </is>
      </c>
      <c r="C10" s="861">
        <f>+FORMATO!U2</f>
        <v/>
      </c>
      <c r="D10" s="862" t="n"/>
      <c r="E10" s="862" t="n"/>
      <c r="F10" s="862" t="n"/>
      <c r="G10" s="862" t="n"/>
      <c r="H10" s="862" t="n"/>
      <c r="I10" s="862" t="n"/>
      <c r="J10" s="862" t="n"/>
      <c r="K10" s="862" t="n"/>
      <c r="L10" s="862" t="n"/>
      <c r="M10" s="862" t="n"/>
      <c r="N10" s="21" t="inlineStr">
        <is>
          <t xml:space="preserve">                 CÓDIGO</t>
        </is>
      </c>
      <c r="O10" s="22" t="inlineStr">
        <is>
          <t>:</t>
        </is>
      </c>
      <c r="P10" s="20" t="inlineStr">
        <is>
          <t>F-LEM-P-SU.37.02</t>
        </is>
      </c>
      <c r="Q10" s="20" t="n"/>
      <c r="R10" s="6" t="n"/>
    </row>
    <row r="11" ht="17.4" customHeight="1">
      <c r="A11" s="18" t="inlineStr">
        <is>
          <t>DIRECCIÓN**</t>
        </is>
      </c>
      <c r="B11" s="19" t="inlineStr">
        <is>
          <t>:</t>
        </is>
      </c>
      <c r="C11" s="861">
        <f>+FORMATO!U3</f>
        <v/>
      </c>
      <c r="D11" s="862" t="n"/>
      <c r="E11" s="862" t="n"/>
      <c r="F11" s="862" t="n"/>
      <c r="G11" s="862" t="n"/>
      <c r="H11" s="862" t="n"/>
      <c r="I11" s="862" t="n"/>
      <c r="J11" s="862" t="n"/>
      <c r="K11" s="862" t="n"/>
      <c r="L11" s="862" t="n"/>
      <c r="M11" s="862" t="n"/>
      <c r="N11" s="808" t="inlineStr">
        <is>
          <t>RECEPCIÓN N°</t>
        </is>
      </c>
      <c r="O11" s="19" t="inlineStr">
        <is>
          <t>:</t>
        </is>
      </c>
      <c r="P11" s="720">
        <f>+FORMATO!U7</f>
        <v/>
      </c>
      <c r="Q11" s="105" t="n"/>
      <c r="R11" s="7" t="n"/>
    </row>
    <row r="12" ht="13.95" customHeight="1">
      <c r="A12" s="18" t="inlineStr">
        <is>
          <t>PROYECTO**</t>
        </is>
      </c>
      <c r="B12" s="19" t="inlineStr">
        <is>
          <t>:</t>
        </is>
      </c>
      <c r="C12" s="861">
        <f>+FORMATO!U4</f>
        <v/>
      </c>
      <c r="D12" s="862" t="n"/>
      <c r="E12" s="862" t="n"/>
      <c r="F12" s="862" t="n"/>
      <c r="G12" s="862" t="n"/>
      <c r="H12" s="862" t="n"/>
      <c r="I12" s="862" t="n"/>
      <c r="J12" s="862" t="n"/>
      <c r="K12" s="862" t="n"/>
      <c r="L12" s="862" t="n"/>
      <c r="M12" s="862" t="n"/>
      <c r="N12" s="23" t="inlineStr">
        <is>
          <t>OT N°</t>
        </is>
      </c>
      <c r="O12" s="19" t="inlineStr">
        <is>
          <t>:</t>
        </is>
      </c>
      <c r="P12" s="720">
        <f>+FORMATO!U9</f>
        <v/>
      </c>
      <c r="Q12" s="8" t="n"/>
      <c r="R12" s="4" t="n"/>
    </row>
    <row r="13" ht="13.95" customHeight="1">
      <c r="A13" s="18" t="inlineStr">
        <is>
          <t>UBICACIÓN**</t>
        </is>
      </c>
      <c r="B13" s="19" t="inlineStr">
        <is>
          <t>:</t>
        </is>
      </c>
      <c r="C13" s="861">
        <f>+FORMATO!U5</f>
        <v/>
      </c>
      <c r="D13" s="862" t="n"/>
      <c r="E13" s="862" t="n"/>
      <c r="F13" s="862" t="n"/>
      <c r="G13" s="862" t="n"/>
      <c r="H13" s="862" t="n"/>
      <c r="I13" s="862" t="n"/>
      <c r="J13" s="862" t="n"/>
      <c r="K13" s="862" t="n"/>
      <c r="L13" s="862" t="n"/>
      <c r="M13" s="862" t="n"/>
      <c r="N13" s="808" t="inlineStr">
        <is>
          <t>F. EMISIÓN</t>
        </is>
      </c>
      <c r="O13" s="19" t="inlineStr">
        <is>
          <t>:</t>
        </is>
      </c>
      <c r="P13" s="581">
        <f>+FORMATO!U8</f>
        <v/>
      </c>
      <c r="Q13" s="9" t="n"/>
      <c r="R13" s="4" t="n"/>
    </row>
    <row r="14" ht="10.2" customHeight="1">
      <c r="A14" s="308" t="inlineStr">
        <is>
          <t>** Datos proporcionados por el cliente</t>
        </is>
      </c>
      <c r="B14" s="19" t="n"/>
      <c r="C14" s="20" t="n"/>
      <c r="D14" s="20" t="n"/>
      <c r="F14" s="1" t="n"/>
      <c r="G14" s="1" t="n"/>
      <c r="H14" s="1" t="n"/>
      <c r="I14" s="1" t="n"/>
      <c r="N14" s="23" t="n"/>
      <c r="O14" s="19" t="n"/>
      <c r="P14" s="10" t="n"/>
      <c r="Q14" s="10" t="n"/>
      <c r="R14" s="4" t="n"/>
    </row>
    <row r="15" ht="15" customHeight="1">
      <c r="A15" s="876" t="inlineStr">
        <is>
          <t>Standard Test Method for California Bearing Ratio (CBR) of Laboratory-Compacted Soils</t>
        </is>
      </c>
      <c r="B15" s="877" t="n"/>
      <c r="C15" s="877" t="n"/>
      <c r="D15" s="877" t="n"/>
      <c r="E15" s="877" t="n"/>
      <c r="F15" s="877" t="n"/>
      <c r="G15" s="877" t="n"/>
      <c r="H15" s="877" t="n"/>
      <c r="I15" s="877" t="n"/>
      <c r="J15" s="877" t="n"/>
      <c r="K15" s="877" t="n"/>
      <c r="L15" s="877" t="n"/>
      <c r="M15" s="877" t="n"/>
      <c r="N15" s="877" t="n"/>
      <c r="O15" s="877" t="n"/>
      <c r="P15" s="877" t="n"/>
      <c r="Q15" s="822" t="n"/>
      <c r="R15" s="4" t="n"/>
    </row>
    <row r="16" ht="15" customHeight="1">
      <c r="A16" s="873" t="inlineStr">
        <is>
          <t>ASTM D1883-21</t>
        </is>
      </c>
      <c r="B16" s="842" t="n"/>
      <c r="C16" s="842" t="n"/>
      <c r="D16" s="842" t="n"/>
      <c r="E16" s="842" t="n"/>
      <c r="F16" s="842" t="n"/>
      <c r="G16" s="842" t="n"/>
      <c r="H16" s="842" t="n"/>
      <c r="I16" s="842" t="n"/>
      <c r="J16" s="842" t="n"/>
      <c r="K16" s="842" t="n"/>
      <c r="L16" s="842" t="n"/>
      <c r="M16" s="842" t="n"/>
      <c r="N16" s="842" t="n"/>
      <c r="O16" s="842" t="n"/>
      <c r="P16" s="842" t="n"/>
      <c r="Q16" s="824" t="n"/>
      <c r="R16" s="4" t="n"/>
    </row>
    <row r="17" ht="6" customHeight="1">
      <c r="A17" s="24" t="n"/>
      <c r="B17" s="25" t="n"/>
      <c r="C17" s="25" t="n"/>
      <c r="D17" s="25" t="n"/>
      <c r="E17" s="25" t="n"/>
      <c r="F17" s="11" t="n"/>
      <c r="G17" s="11" t="n"/>
      <c r="H17" s="11" t="n"/>
      <c r="I17" s="11" t="n"/>
      <c r="J17" s="11" t="n"/>
      <c r="K17" s="11" t="n"/>
      <c r="L17" s="11" t="n"/>
      <c r="M17" s="11" t="n"/>
      <c r="N17" s="11" t="n"/>
      <c r="O17" s="11" t="n"/>
      <c r="P17" s="11" t="n"/>
      <c r="Q17" s="12" t="n"/>
      <c r="R17" s="4" t="n"/>
    </row>
    <row r="18" ht="12.9" customHeight="1">
      <c r="A18" s="27" t="inlineStr">
        <is>
          <t>CANTERA / SONDAJE (**)</t>
        </is>
      </c>
      <c r="B18" s="97" t="n"/>
      <c r="C18" s="97" t="n"/>
      <c r="D18" s="19" t="inlineStr">
        <is>
          <t>:</t>
        </is>
      </c>
      <c r="E18" s="1">
        <f>+FORMATO!U15</f>
        <v/>
      </c>
      <c r="F18" s="2" t="n"/>
      <c r="G18" s="1" t="n"/>
      <c r="H18" s="1" t="n"/>
      <c r="I18" s="309" t="n"/>
      <c r="M18" s="97" t="n"/>
      <c r="N18" s="28" t="inlineStr">
        <is>
          <t>COD. MUESTRA</t>
        </is>
      </c>
      <c r="O18" s="22" t="inlineStr">
        <is>
          <t>:</t>
        </is>
      </c>
      <c r="P18" s="721">
        <f>+FORMATO!D9</f>
        <v/>
      </c>
      <c r="Q18" s="203" t="n"/>
      <c r="R18" s="4" t="n"/>
    </row>
    <row r="19" ht="12.9" customHeight="1">
      <c r="A19" s="27" t="inlineStr">
        <is>
          <t>N° MUESTRA (**)</t>
        </is>
      </c>
      <c r="B19" s="97" t="n"/>
      <c r="C19" s="97" t="n"/>
      <c r="D19" s="19" t="inlineStr">
        <is>
          <t>:</t>
        </is>
      </c>
      <c r="E19" s="1">
        <f>+FORMATO!U16</f>
        <v/>
      </c>
      <c r="F19" s="2" t="n"/>
      <c r="G19" s="1" t="n"/>
      <c r="H19" s="1" t="n"/>
      <c r="I19" s="309" t="n"/>
      <c r="M19" s="97" t="n"/>
      <c r="N19" s="28" t="inlineStr">
        <is>
          <t>FECHA RECEPCIÓN.</t>
        </is>
      </c>
      <c r="O19" s="22" t="inlineStr">
        <is>
          <t>:</t>
        </is>
      </c>
      <c r="P19" s="581">
        <f>+FORMATO!U12</f>
        <v/>
      </c>
      <c r="Q19" s="204" t="n"/>
      <c r="R19" s="4" t="n"/>
      <c r="T19" s="1" t="n"/>
    </row>
    <row r="20" ht="12.9" customHeight="1">
      <c r="A20" s="27" t="inlineStr">
        <is>
          <t>TIPO DE MUESTRA (**)</t>
        </is>
      </c>
      <c r="B20" s="97" t="n"/>
      <c r="C20" s="97" t="n"/>
      <c r="D20" s="19" t="inlineStr">
        <is>
          <t>:</t>
        </is>
      </c>
      <c r="E20" s="1">
        <f>+FORMATO!U17</f>
        <v/>
      </c>
      <c r="F20" s="2" t="n"/>
      <c r="G20" s="1" t="n"/>
      <c r="H20" s="1" t="n"/>
      <c r="I20" s="309" t="n"/>
      <c r="M20" s="97" t="n"/>
      <c r="N20" s="28" t="inlineStr">
        <is>
          <t>FECHA EJECUCIÓN</t>
        </is>
      </c>
      <c r="O20" s="22" t="inlineStr">
        <is>
          <t>:</t>
        </is>
      </c>
      <c r="P20" s="581">
        <f>+FORMATO!U13</f>
        <v/>
      </c>
      <c r="Q20" s="204" t="n"/>
      <c r="R20" s="4">
        <f>+FORMATO!H9</f>
        <v/>
      </c>
    </row>
    <row r="21" ht="12.9" customHeight="1">
      <c r="A21" s="27" t="inlineStr">
        <is>
          <t>LUGAR DE ENSAYO</t>
        </is>
      </c>
      <c r="B21" s="97" t="n"/>
      <c r="C21" s="97" t="n"/>
      <c r="D21" s="19" t="inlineStr">
        <is>
          <t>:</t>
        </is>
      </c>
      <c r="E21" s="1" t="inlineStr">
        <is>
          <t>Laboratorio de ensayo de materiales</t>
        </is>
      </c>
      <c r="F21" s="2" t="n"/>
      <c r="G21" s="1" t="n"/>
      <c r="H21" s="1" t="n"/>
      <c r="I21" s="309" t="n"/>
      <c r="N21" s="28" t="inlineStr">
        <is>
          <t>REALIZADO POR</t>
        </is>
      </c>
      <c r="O21" s="22" t="inlineStr">
        <is>
          <t>:</t>
        </is>
      </c>
      <c r="P21" s="30">
        <f>+DATOS!D2</f>
        <v/>
      </c>
      <c r="Q21" s="94" t="n"/>
    </row>
    <row r="22" ht="6" customHeight="1">
      <c r="A22" s="107" t="n"/>
      <c r="B22" s="108" t="n"/>
      <c r="C22" s="108" t="n"/>
      <c r="D22" s="108" t="n"/>
      <c r="E22" s="109" t="n"/>
      <c r="F22" s="110" t="n"/>
      <c r="G22" s="110" t="n"/>
      <c r="H22" s="110" t="n"/>
      <c r="I22" s="110" t="n"/>
      <c r="J22" s="110" t="n"/>
      <c r="K22" s="110" t="n"/>
      <c r="L22" s="110" t="n"/>
      <c r="M22" s="108" t="n"/>
      <c r="N22" s="108" t="n"/>
      <c r="O22" s="109" t="n"/>
      <c r="P22" s="110" t="n"/>
      <c r="Q22" s="111" t="n"/>
    </row>
    <row r="23" ht="7.5" customHeight="1"/>
    <row r="24" ht="12.9" customHeight="1">
      <c r="A24" s="866" t="inlineStr">
        <is>
          <t>INFORMACIÓN ADICIONAL DE LA MUESTRA</t>
        </is>
      </c>
      <c r="B24" s="859" t="n"/>
      <c r="C24" s="859" t="n"/>
      <c r="D24" s="859" t="n"/>
      <c r="E24" s="859" t="n"/>
      <c r="F24" s="859" t="n"/>
      <c r="G24" s="859" t="n"/>
      <c r="H24" s="859" t="n"/>
      <c r="I24" s="859" t="n"/>
      <c r="J24" s="859" t="n"/>
      <c r="K24" s="859" t="n"/>
      <c r="L24" s="859" t="n"/>
      <c r="M24" s="859" t="n"/>
      <c r="N24" s="859" t="n"/>
      <c r="O24" s="859" t="n"/>
      <c r="P24" s="859" t="n"/>
      <c r="Q24" s="853" t="n"/>
    </row>
    <row r="25" ht="12.9" customHeight="1">
      <c r="A25" s="93" t="inlineStr">
        <is>
          <t xml:space="preserve">Máxima Densidad Seca (kN/m3)         </t>
        </is>
      </c>
      <c r="B25" s="112" t="n"/>
      <c r="C25" s="113" t="n"/>
      <c r="D25" s="113" t="n"/>
      <c r="E25" s="114" t="inlineStr">
        <is>
          <t>:</t>
        </is>
      </c>
      <c r="F25" s="337">
        <f>+DATOS!J2</f>
        <v/>
      </c>
      <c r="G25" s="115" t="n"/>
      <c r="H25" s="115" t="n"/>
      <c r="I25" s="115" t="n"/>
      <c r="J25" s="116" t="n"/>
      <c r="K25" s="116" t="n"/>
      <c r="L25" s="115" t="n"/>
      <c r="M25" s="115" t="n"/>
      <c r="N25" s="222" t="inlineStr">
        <is>
          <t>Método de compactación:</t>
        </is>
      </c>
      <c r="O25" s="223" t="inlineStr">
        <is>
          <t>:</t>
        </is>
      </c>
      <c r="P25" s="867">
        <f>+DATOS!D4</f>
        <v/>
      </c>
      <c r="Q25" s="868" t="n"/>
    </row>
    <row r="26" ht="12.9" customHeight="1">
      <c r="A26" s="27" t="inlineStr">
        <is>
          <t xml:space="preserve">Contenido de Humedad Óptimo (%)   </t>
        </is>
      </c>
      <c r="B26" s="97" t="n"/>
      <c r="C26" s="97" t="n"/>
      <c r="D26" s="97" t="n"/>
      <c r="E26" s="19" t="inlineStr">
        <is>
          <t>:</t>
        </is>
      </c>
      <c r="F26" s="30">
        <f>+DATOS!J3</f>
        <v/>
      </c>
      <c r="N26" s="28" t="inlineStr">
        <is>
          <t>Método de Preparación:</t>
        </is>
      </c>
      <c r="O26" s="22" t="inlineStr">
        <is>
          <t>:</t>
        </is>
      </c>
      <c r="P26" s="30">
        <f>+DATOS!D5</f>
        <v/>
      </c>
      <c r="Q26" s="31" t="n"/>
    </row>
    <row r="27" ht="12.9" customHeight="1">
      <c r="A27" s="27" t="inlineStr">
        <is>
          <t>Porcentaje de retenido tamiz 3/4"</t>
        </is>
      </c>
      <c r="B27" s="97" t="n"/>
      <c r="C27" s="97" t="n"/>
      <c r="D27" s="97" t="n"/>
      <c r="E27" s="19" t="inlineStr">
        <is>
          <t>:</t>
        </is>
      </c>
      <c r="F27" s="338">
        <f>+DATOS!J4</f>
        <v/>
      </c>
      <c r="H27" s="582" t="n"/>
      <c r="N27" s="28" t="inlineStr">
        <is>
          <t>Peso-Sobrecarga (lbf):</t>
        </is>
      </c>
      <c r="O27" s="22" t="inlineStr">
        <is>
          <t>:</t>
        </is>
      </c>
      <c r="P27" s="30" t="n">
        <v>10</v>
      </c>
      <c r="Q27" s="31" t="n"/>
    </row>
    <row r="28" ht="13.5" customHeight="1">
      <c r="A28" s="26" t="inlineStr">
        <is>
          <t>Descripción de muestra</t>
        </is>
      </c>
      <c r="B28" s="97" t="n"/>
      <c r="C28" s="97" t="n"/>
      <c r="D28" s="97" t="n"/>
      <c r="E28" s="19" t="n"/>
      <c r="F28" s="30" t="n"/>
      <c r="G28" s="117" t="n"/>
      <c r="H28" s="117" t="n"/>
      <c r="I28" s="117" t="n"/>
      <c r="J28" s="117" t="n"/>
      <c r="K28" s="117" t="n"/>
      <c r="L28" s="117" t="n"/>
      <c r="N28" s="2" t="n"/>
      <c r="O28" s="2" t="n"/>
      <c r="P28" s="2" t="n"/>
      <c r="Q28" s="31" t="n"/>
      <c r="S28" s="690" t="n"/>
      <c r="T28" s="691" t="n"/>
      <c r="U28" s="691" t="n"/>
      <c r="V28" s="692" t="n"/>
    </row>
    <row r="29" ht="13.5" customHeight="1">
      <c r="A29" s="226" t="inlineStr">
        <is>
          <t>Contenido Humedad tal como se recibió</t>
        </is>
      </c>
      <c r="B29" s="1" t="n"/>
      <c r="C29" s="1" t="n"/>
      <c r="D29" s="1" t="n"/>
      <c r="E29" s="1" t="n"/>
      <c r="F29" s="681" t="inlineStr">
        <is>
          <t>-</t>
        </is>
      </c>
      <c r="G29" s="1" t="inlineStr">
        <is>
          <t>ASTM D2216</t>
        </is>
      </c>
      <c r="H29" s="6" t="n"/>
      <c r="I29" s="6" t="n"/>
      <c r="J29" s="1" t="inlineStr">
        <is>
          <t xml:space="preserve">Limites de Atterberg </t>
        </is>
      </c>
      <c r="K29" s="583" t="n"/>
      <c r="L29" s="583" t="n"/>
      <c r="M29" s="1" t="n"/>
      <c r="N29" s="858" t="inlineStr">
        <is>
          <t>-</t>
        </is>
      </c>
      <c r="O29" s="20" t="inlineStr">
        <is>
          <t>ASTM D4318</t>
        </is>
      </c>
      <c r="P29" s="30" t="n"/>
      <c r="Q29" s="31" t="n"/>
      <c r="S29" s="225" t="n"/>
      <c r="T29" s="2" t="inlineStr">
        <is>
          <t>ASTM D6913</t>
        </is>
      </c>
      <c r="U29" s="2" t="inlineStr">
        <is>
          <t>GR. SUELO</t>
        </is>
      </c>
      <c r="V29" s="693" t="n"/>
    </row>
    <row r="30" ht="13.5" customHeight="1">
      <c r="A30" s="226" t="inlineStr">
        <is>
          <t>Clasificaciòn de suelo SUCS</t>
        </is>
      </c>
      <c r="B30" s="20" t="n"/>
      <c r="C30" s="20" t="n"/>
      <c r="D30" s="20" t="n"/>
      <c r="E30" s="20" t="n"/>
      <c r="F30" s="681" t="inlineStr">
        <is>
          <t>-</t>
        </is>
      </c>
      <c r="G30" s="20" t="inlineStr">
        <is>
          <t>ASTM D2487</t>
        </is>
      </c>
      <c r="H30" s="6" t="n"/>
      <c r="I30" s="6" t="n"/>
      <c r="J30" s="1" t="inlineStr">
        <is>
          <t>Analisis granulometrico</t>
        </is>
      </c>
      <c r="K30" s="583" t="n"/>
      <c r="L30" s="583" t="n"/>
      <c r="M30" s="1" t="n"/>
      <c r="N30" s="881" t="inlineStr">
        <is>
          <t>-</t>
        </is>
      </c>
      <c r="O30" s="20" t="inlineStr">
        <is>
          <t>ASTM D6913</t>
        </is>
      </c>
      <c r="P30" s="30" t="n"/>
      <c r="Q30" s="31" t="n"/>
      <c r="S30" s="225" t="n"/>
      <c r="T30" s="2" t="inlineStr">
        <is>
          <t>ASTM C136</t>
        </is>
      </c>
      <c r="U30" s="2" t="inlineStr">
        <is>
          <t>GR. AGREGADO</t>
        </is>
      </c>
      <c r="V30" s="693" t="n"/>
    </row>
    <row r="31" ht="13.5" customHeight="1">
      <c r="A31" s="227" t="inlineStr">
        <is>
          <t>Otros</t>
        </is>
      </c>
      <c r="B31" s="228" t="n"/>
      <c r="C31" s="228" t="n"/>
      <c r="D31" s="228" t="n"/>
      <c r="E31" s="228" t="n"/>
      <c r="F31" s="228" t="n"/>
      <c r="G31" s="228" t="n"/>
      <c r="H31" s="228" t="n"/>
      <c r="I31" s="228" t="n"/>
      <c r="J31" s="229" t="n"/>
      <c r="K31" s="229" t="n"/>
      <c r="L31" s="229" t="n"/>
      <c r="M31" s="229" t="n"/>
      <c r="N31" s="229" t="n"/>
      <c r="O31" s="229" t="n"/>
      <c r="P31" s="229" t="n"/>
      <c r="Q31" s="224" t="n"/>
      <c r="S31" s="694" t="n"/>
      <c r="T31" s="695" t="n"/>
      <c r="U31" s="695" t="n"/>
      <c r="V31" s="696" t="n"/>
    </row>
    <row r="32" ht="8.25" customHeight="1">
      <c r="A32" s="225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111" t="n"/>
      <c r="S32" s="584" t="n"/>
    </row>
    <row r="33" ht="15.75" customHeight="1">
      <c r="A33" s="866" t="inlineStr">
        <is>
          <t>PESO UNITARIO SECO</t>
        </is>
      </c>
      <c r="B33" s="859" t="n"/>
      <c r="C33" s="859" t="n"/>
      <c r="D33" s="859" t="n"/>
      <c r="E33" s="859" t="n"/>
      <c r="F33" s="859" t="n"/>
      <c r="G33" s="859" t="n"/>
      <c r="H33" s="859" t="n"/>
      <c r="I33" s="859" t="n"/>
      <c r="J33" s="859" t="n"/>
      <c r="K33" s="859" t="n"/>
      <c r="L33" s="859" t="n"/>
      <c r="M33" s="859" t="n"/>
      <c r="N33" s="859" t="n"/>
      <c r="O33" s="859" t="n"/>
      <c r="P33" s="859" t="n"/>
      <c r="Q33" s="853" t="n"/>
      <c r="S33" s="584" t="n"/>
    </row>
    <row r="34" ht="15.75" customFormat="1" customHeight="1" s="6">
      <c r="A34" s="863" t="inlineStr">
        <is>
          <t>Nº  GOLPES</t>
        </is>
      </c>
      <c r="B34" s="810" t="n"/>
      <c r="C34" s="810" t="n"/>
      <c r="D34" s="810" t="n"/>
      <c r="E34" s="811" t="n"/>
      <c r="F34" s="856">
        <f>+DATOS!D15</f>
        <v/>
      </c>
      <c r="G34" s="810" t="n"/>
      <c r="H34" s="810" t="n"/>
      <c r="I34" s="811" t="n"/>
      <c r="J34" s="856">
        <f>+DATOS!H15</f>
        <v/>
      </c>
      <c r="K34" s="810" t="n"/>
      <c r="L34" s="810" t="n"/>
      <c r="M34" s="811" t="n"/>
      <c r="N34" s="856">
        <f>+DATOS!L15</f>
        <v/>
      </c>
      <c r="O34" s="810" t="n"/>
      <c r="P34" s="810" t="n"/>
      <c r="Q34" s="811" t="n"/>
      <c r="R34" s="13" t="n"/>
      <c r="S34" s="584" t="n"/>
    </row>
    <row r="35" ht="15.75" customFormat="1" customHeight="1" s="6">
      <c r="A35" s="863" t="inlineStr">
        <is>
          <t>Condición de la muestra</t>
        </is>
      </c>
      <c r="B35" s="810" t="n"/>
      <c r="C35" s="810" t="n"/>
      <c r="D35" s="810" t="n"/>
      <c r="E35" s="811" t="n"/>
      <c r="F35" s="872">
        <f>+DATOS!D6</f>
        <v/>
      </c>
      <c r="G35" s="810" t="n"/>
      <c r="H35" s="810" t="n"/>
      <c r="I35" s="811" t="n"/>
      <c r="J35" s="872">
        <f>+DATOS!D6</f>
        <v/>
      </c>
      <c r="K35" s="810" t="n"/>
      <c r="L35" s="810" t="n"/>
      <c r="M35" s="811" t="n"/>
      <c r="N35" s="872">
        <f>+DATOS!D6</f>
        <v/>
      </c>
      <c r="O35" s="810" t="n"/>
      <c r="P35" s="810" t="n"/>
      <c r="Q35" s="811" t="n"/>
      <c r="S35" s="584" t="n"/>
    </row>
    <row r="36" ht="15.75" customFormat="1" customHeight="1" s="6">
      <c r="A36" s="230" t="inlineStr">
        <is>
          <t>Densidad seca antes saturar</t>
        </is>
      </c>
      <c r="B36" s="230" t="n"/>
      <c r="C36" s="230" t="n"/>
      <c r="D36" s="863" t="n"/>
      <c r="E36" s="231" t="inlineStr">
        <is>
          <t>g/cm3</t>
        </is>
      </c>
      <c r="F36" s="860">
        <f>+DATOS!E23</f>
        <v/>
      </c>
      <c r="G36" s="810" t="n"/>
      <c r="H36" s="810" t="n"/>
      <c r="I36" s="811" t="n"/>
      <c r="J36" s="860">
        <f>+DATOS!I23</f>
        <v/>
      </c>
      <c r="K36" s="810" t="n"/>
      <c r="L36" s="810" t="n"/>
      <c r="M36" s="811" t="n"/>
      <c r="N36" s="860">
        <f>+DATOS!M23</f>
        <v/>
      </c>
      <c r="O36" s="810" t="n"/>
      <c r="P36" s="810" t="n"/>
      <c r="Q36" s="811" t="n"/>
      <c r="R36" s="6" t="inlineStr">
        <is>
          <t>CON CUATRO CIFRAS SIGNIFICATIVAS</t>
        </is>
      </c>
      <c r="S36" s="584" t="n"/>
    </row>
    <row r="37" ht="15.75" customFormat="1" customHeight="1" s="6">
      <c r="A37" s="230" t="inlineStr">
        <is>
          <t>Peso Unitario seco antes saturar</t>
        </is>
      </c>
      <c r="B37" s="230" t="n"/>
      <c r="C37" s="230" t="n"/>
      <c r="D37" s="863" t="n"/>
      <c r="E37" s="231" t="inlineStr">
        <is>
          <t>kN/m3</t>
        </is>
      </c>
      <c r="F37" s="855">
        <f>+DATOS!E24</f>
        <v/>
      </c>
      <c r="G37" s="810" t="n"/>
      <c r="H37" s="810" t="n"/>
      <c r="I37" s="811" t="n"/>
      <c r="J37" s="880">
        <f>+DATOS!I24</f>
        <v/>
      </c>
      <c r="K37" s="810" t="n"/>
      <c r="L37" s="810" t="n"/>
      <c r="M37" s="811" t="n"/>
      <c r="N37" s="880">
        <f>+DATOS!M24</f>
        <v/>
      </c>
      <c r="O37" s="810" t="n"/>
      <c r="P37" s="810" t="n"/>
      <c r="Q37" s="811" t="n"/>
      <c r="R37" s="6" t="inlineStr">
        <is>
          <t>CON CUATRO CIFRAS SIGNIFICATIVAS</t>
        </is>
      </c>
      <c r="S37" s="584" t="n"/>
    </row>
    <row r="38" ht="15.75" customFormat="1" customHeight="1" s="6">
      <c r="A38" s="866" t="inlineStr">
        <is>
          <t>CONTENIDO DE HUMEDAD DE COMPACTACIÒN</t>
        </is>
      </c>
      <c r="B38" s="859" t="n"/>
      <c r="C38" s="859" t="n"/>
      <c r="D38" s="859" t="n"/>
      <c r="E38" s="859" t="n"/>
      <c r="F38" s="859" t="n"/>
      <c r="G38" s="859" t="n"/>
      <c r="H38" s="859" t="n"/>
      <c r="I38" s="859" t="n"/>
      <c r="J38" s="859" t="n"/>
      <c r="K38" s="859" t="n"/>
      <c r="L38" s="859" t="n"/>
      <c r="M38" s="859" t="n"/>
      <c r="N38" s="859" t="n"/>
      <c r="O38" s="859" t="n"/>
      <c r="P38" s="859" t="n"/>
      <c r="Q38" s="853" t="n"/>
      <c r="S38" s="584" t="n"/>
    </row>
    <row r="39" ht="15.75" customFormat="1" customHeight="1" s="6">
      <c r="A39" s="863" t="inlineStr">
        <is>
          <t xml:space="preserve">Contenido de humedad </t>
        </is>
      </c>
      <c r="B39" s="810" t="n"/>
      <c r="C39" s="810" t="n"/>
      <c r="D39" s="811" t="n"/>
      <c r="E39" s="231" t="inlineStr">
        <is>
          <t>%</t>
        </is>
      </c>
      <c r="F39" s="855">
        <f>+DATOS!E32</f>
        <v/>
      </c>
      <c r="G39" s="810" t="n"/>
      <c r="H39" s="810" t="n"/>
      <c r="I39" s="811" t="n"/>
      <c r="J39" s="855">
        <f>+DATOS!I32</f>
        <v/>
      </c>
      <c r="K39" s="810" t="n"/>
      <c r="L39" s="810" t="n"/>
      <c r="M39" s="811" t="n"/>
      <c r="N39" s="855">
        <f>+DATOS!M32</f>
        <v/>
      </c>
      <c r="O39" s="810" t="n"/>
      <c r="P39" s="810" t="n"/>
      <c r="Q39" s="811" t="n"/>
      <c r="R39" s="92" t="n">
        <v>0.001</v>
      </c>
      <c r="S39" s="584" t="n"/>
    </row>
    <row r="40" ht="15.75" customFormat="1" customHeight="1" s="6">
      <c r="A40" s="866" t="inlineStr">
        <is>
          <t>CONTENIDO DE HUMEDAD CAPA SUPERIOR DE 1 in DESPUÉS DEL REMOJO</t>
        </is>
      </c>
      <c r="B40" s="859" t="n"/>
      <c r="C40" s="859" t="n"/>
      <c r="D40" s="859" t="n"/>
      <c r="E40" s="859" t="n"/>
      <c r="F40" s="859" t="n"/>
      <c r="G40" s="859" t="n"/>
      <c r="H40" s="859" t="n"/>
      <c r="I40" s="859" t="n"/>
      <c r="J40" s="859" t="n"/>
      <c r="K40" s="859" t="n"/>
      <c r="L40" s="859" t="n"/>
      <c r="M40" s="859" t="n"/>
      <c r="N40" s="859" t="n"/>
      <c r="O40" s="859" t="n"/>
      <c r="P40" s="859" t="n"/>
      <c r="Q40" s="853" t="n"/>
      <c r="S40" s="584" t="n"/>
    </row>
    <row r="41" ht="15.75" customFormat="1" customHeight="1" s="6">
      <c r="A41" s="863" t="inlineStr">
        <is>
          <t>Contenido de humedad</t>
        </is>
      </c>
      <c r="B41" s="810" t="n"/>
      <c r="C41" s="810" t="n"/>
      <c r="D41" s="811" t="n"/>
      <c r="E41" s="231" t="inlineStr">
        <is>
          <t>%</t>
        </is>
      </c>
      <c r="F41" s="852">
        <f>+DATOS!G32</f>
        <v/>
      </c>
      <c r="G41" s="859" t="n"/>
      <c r="H41" s="859" t="n"/>
      <c r="I41" s="853" t="n"/>
      <c r="J41" s="852">
        <f>+DATOS!K32</f>
        <v/>
      </c>
      <c r="K41" s="859" t="n"/>
      <c r="L41" s="859" t="n"/>
      <c r="M41" s="853" t="n"/>
      <c r="N41" s="852">
        <f>+DATOS!O32</f>
        <v/>
      </c>
      <c r="O41" s="859" t="n"/>
      <c r="P41" s="859" t="n"/>
      <c r="Q41" s="853" t="n"/>
      <c r="R41" s="92" t="n">
        <v>0.001</v>
      </c>
      <c r="S41" s="584" t="n"/>
    </row>
    <row r="42" ht="15.75" customFormat="1" customHeight="1" s="6">
      <c r="A42" s="866" t="inlineStr">
        <is>
          <t>HINCHAMIENTO</t>
        </is>
      </c>
      <c r="B42" s="859" t="n"/>
      <c r="C42" s="859" t="n"/>
      <c r="D42" s="859" t="n"/>
      <c r="E42" s="859" t="n"/>
      <c r="F42" s="859" t="n"/>
      <c r="G42" s="859" t="n"/>
      <c r="H42" s="859" t="n"/>
      <c r="I42" s="859" t="n"/>
      <c r="J42" s="859" t="n"/>
      <c r="K42" s="859" t="n"/>
      <c r="L42" s="859" t="n"/>
      <c r="M42" s="859" t="n"/>
      <c r="N42" s="859" t="n"/>
      <c r="O42" s="859" t="n"/>
      <c r="P42" s="859" t="n"/>
      <c r="Q42" s="853" t="n"/>
      <c r="S42" s="584" t="n"/>
    </row>
    <row r="43" ht="15.75" customFormat="1" customHeight="1" s="6">
      <c r="A43" s="863" t="inlineStr">
        <is>
          <t>Hinchazón</t>
        </is>
      </c>
      <c r="B43" s="810" t="n"/>
      <c r="C43" s="810" t="n"/>
      <c r="D43" s="811" t="n"/>
      <c r="E43" s="231" t="inlineStr">
        <is>
          <t>%</t>
        </is>
      </c>
      <c r="F43" s="855">
        <f>+DATOS!G40</f>
        <v/>
      </c>
      <c r="G43" s="810" t="n"/>
      <c r="H43" s="810" t="n"/>
      <c r="I43" s="811" t="n"/>
      <c r="J43" s="855">
        <f>+DATOS!K40</f>
        <v/>
      </c>
      <c r="K43" s="810" t="n"/>
      <c r="L43" s="810" t="n"/>
      <c r="M43" s="811" t="n"/>
      <c r="N43" s="855">
        <f>+DATOS!O40</f>
        <v/>
      </c>
      <c r="O43" s="810" t="n"/>
      <c r="P43" s="810" t="n"/>
      <c r="Q43" s="811" t="n"/>
      <c r="R43" s="92" t="n">
        <v>0.001</v>
      </c>
      <c r="S43" s="584" t="n"/>
    </row>
    <row r="44" ht="6" customFormat="1" customHeight="1" s="6">
      <c r="A44" s="809" t="n"/>
      <c r="B44" s="810" t="n"/>
      <c r="C44" s="810" t="n"/>
      <c r="D44" s="810" t="n"/>
      <c r="E44" s="810" t="n"/>
      <c r="F44" s="810" t="n"/>
      <c r="G44" s="810" t="n"/>
      <c r="H44" s="810" t="n"/>
      <c r="I44" s="810" t="n"/>
      <c r="J44" s="810" t="n"/>
      <c r="K44" s="810" t="n"/>
      <c r="L44" s="810" t="n"/>
      <c r="M44" s="810" t="n"/>
      <c r="N44" s="810" t="n"/>
      <c r="O44" s="810" t="n"/>
      <c r="P44" s="810" t="n"/>
      <c r="Q44" s="811" t="n"/>
      <c r="S44" s="584" t="n"/>
    </row>
    <row r="45" ht="15.75" customFormat="1" customHeight="1" s="6">
      <c r="A45" s="866" t="inlineStr">
        <is>
          <t xml:space="preserve">FUERZA Y ESFUERZO </t>
        </is>
      </c>
      <c r="B45" s="859" t="n"/>
      <c r="C45" s="859" t="n"/>
      <c r="D45" s="859" t="n"/>
      <c r="E45" s="859" t="n"/>
      <c r="F45" s="859" t="n"/>
      <c r="G45" s="859" t="n"/>
      <c r="H45" s="859" t="n"/>
      <c r="I45" s="859" t="n"/>
      <c r="J45" s="859" t="n"/>
      <c r="K45" s="859" t="n"/>
      <c r="L45" s="859" t="n"/>
      <c r="M45" s="859" t="n"/>
      <c r="N45" s="859" t="n"/>
      <c r="O45" s="859" t="n"/>
      <c r="P45" s="859" t="n"/>
      <c r="Q45" s="853" t="n"/>
      <c r="S45" s="584" t="n"/>
    </row>
    <row r="46" ht="22.5" customFormat="1" customHeight="1" s="6">
      <c r="A46" s="118" t="inlineStr">
        <is>
          <t>Penetración</t>
        </is>
      </c>
      <c r="B46" s="119" t="n"/>
      <c r="C46" s="869" t="inlineStr">
        <is>
          <t>Tensión Estandar SS</t>
        </is>
      </c>
      <c r="D46" s="859" t="n"/>
      <c r="E46" s="853" t="n"/>
      <c r="F46" s="991">
        <f>+F34</f>
        <v/>
      </c>
      <c r="G46" s="859" t="n"/>
      <c r="H46" s="859" t="n"/>
      <c r="I46" s="853" t="n"/>
      <c r="J46" s="991">
        <f>+J34</f>
        <v/>
      </c>
      <c r="K46" s="859" t="n"/>
      <c r="L46" s="859" t="n"/>
      <c r="M46" s="853" t="n"/>
      <c r="N46" s="991">
        <f>+N34</f>
        <v/>
      </c>
      <c r="O46" s="859" t="n"/>
      <c r="P46" s="859" t="n"/>
      <c r="Q46" s="853" t="n"/>
      <c r="S46" s="584" t="n"/>
    </row>
    <row r="47" ht="21" customFormat="1" customHeight="1" s="6">
      <c r="A47" s="881" t="inlineStr">
        <is>
          <t>(in.)</t>
        </is>
      </c>
      <c r="B47" s="811" t="n"/>
      <c r="C47" s="858" t="inlineStr">
        <is>
          <t>psi = lbf/in2</t>
        </is>
      </c>
      <c r="D47" s="859" t="n"/>
      <c r="E47" s="853" t="n"/>
      <c r="F47" s="874" t="inlineStr">
        <is>
          <t>Fuerza total                 (lbf)</t>
        </is>
      </c>
      <c r="G47" s="811" t="n"/>
      <c r="H47" s="858" t="inlineStr">
        <is>
          <t>Esfuerzo lbf/in2</t>
        </is>
      </c>
      <c r="I47" s="853" t="n"/>
      <c r="J47" s="874" t="inlineStr">
        <is>
          <t>Fuerza total                 (lbf)</t>
        </is>
      </c>
      <c r="K47" s="811" t="n"/>
      <c r="L47" s="858" t="inlineStr">
        <is>
          <t>Esfuerzo lbf/in2</t>
        </is>
      </c>
      <c r="M47" s="853" t="n"/>
      <c r="N47" s="874" t="inlineStr">
        <is>
          <t>Fuerza total                 (lbf)</t>
        </is>
      </c>
      <c r="O47" s="811" t="n"/>
      <c r="P47" s="858" t="inlineStr">
        <is>
          <t>Esfuerzo lbf/in2</t>
        </is>
      </c>
      <c r="Q47" s="853" t="n"/>
      <c r="S47" s="584" t="n"/>
    </row>
    <row r="48" ht="15.75" customFormat="1" customHeight="1" s="6">
      <c r="A48" s="854">
        <f>+DATOS!A44</f>
        <v/>
      </c>
      <c r="B48" s="811" t="n"/>
      <c r="C48" s="858" t="n"/>
      <c r="D48" s="859" t="n"/>
      <c r="E48" s="853" t="n"/>
      <c r="F48" s="857">
        <f>+DATOS!D44*2.2046</f>
        <v/>
      </c>
      <c r="G48" s="811" t="n"/>
      <c r="H48" s="852">
        <f>+DATOS!G44</f>
        <v/>
      </c>
      <c r="I48" s="853" t="n"/>
      <c r="J48" s="857">
        <f>+DATOS!H44*2.2046</f>
        <v/>
      </c>
      <c r="K48" s="811" t="n"/>
      <c r="L48" s="852">
        <f>+DATOS!K44</f>
        <v/>
      </c>
      <c r="M48" s="853" t="n"/>
      <c r="N48" s="857">
        <f>+DATOS!L44*2.2046</f>
        <v/>
      </c>
      <c r="O48" s="811" t="n"/>
      <c r="P48" s="852">
        <f>+DATOS!O44</f>
        <v/>
      </c>
      <c r="Q48" s="853" t="n"/>
      <c r="S48" s="584" t="n"/>
    </row>
    <row r="49" ht="15.75" customFormat="1" customHeight="1" s="6">
      <c r="A49" s="854">
        <f>+DATOS!A45</f>
        <v/>
      </c>
      <c r="B49" s="811" t="n"/>
      <c r="C49" s="858" t="n"/>
      <c r="D49" s="859" t="n"/>
      <c r="E49" s="853" t="n"/>
      <c r="F49" s="857">
        <f>+DATOS!D45*2.2046</f>
        <v/>
      </c>
      <c r="G49" s="811" t="n"/>
      <c r="H49" s="852">
        <f>+DATOS!G45</f>
        <v/>
      </c>
      <c r="I49" s="853" t="n"/>
      <c r="J49" s="857">
        <f>+DATOS!H45*2.2046</f>
        <v/>
      </c>
      <c r="K49" s="811" t="n"/>
      <c r="L49" s="852">
        <f>+DATOS!K45</f>
        <v/>
      </c>
      <c r="M49" s="853" t="n"/>
      <c r="N49" s="857">
        <f>+DATOS!L45*2.2046</f>
        <v/>
      </c>
      <c r="O49" s="811" t="n"/>
      <c r="P49" s="852">
        <f>+DATOS!O45</f>
        <v/>
      </c>
      <c r="Q49" s="853" t="n"/>
      <c r="S49" s="584" t="n"/>
    </row>
    <row r="50" ht="15.75" customFormat="1" customHeight="1" s="6">
      <c r="A50" s="854">
        <f>+DATOS!A46</f>
        <v/>
      </c>
      <c r="B50" s="811" t="n"/>
      <c r="C50" s="858" t="n"/>
      <c r="D50" s="859" t="n"/>
      <c r="E50" s="853" t="n"/>
      <c r="F50" s="857">
        <f>+DATOS!D46*2.2046</f>
        <v/>
      </c>
      <c r="G50" s="811" t="n"/>
      <c r="H50" s="852">
        <f>+DATOS!G46</f>
        <v/>
      </c>
      <c r="I50" s="853" t="n"/>
      <c r="J50" s="857">
        <f>+DATOS!H46*2.2046</f>
        <v/>
      </c>
      <c r="K50" s="811" t="n"/>
      <c r="L50" s="852">
        <f>+DATOS!K46</f>
        <v/>
      </c>
      <c r="M50" s="853" t="n"/>
      <c r="N50" s="857">
        <f>+DATOS!L46*2.2046</f>
        <v/>
      </c>
      <c r="O50" s="811" t="n"/>
      <c r="P50" s="852">
        <f>+DATOS!O46</f>
        <v/>
      </c>
      <c r="Q50" s="853" t="n"/>
      <c r="S50" s="584" t="n"/>
    </row>
    <row r="51" ht="15.75" customFormat="1" customHeight="1" s="6">
      <c r="A51" s="854">
        <f>+DATOS!A47</f>
        <v/>
      </c>
      <c r="B51" s="811" t="n"/>
      <c r="C51" s="858" t="n"/>
      <c r="D51" s="859" t="n"/>
      <c r="E51" s="853" t="n"/>
      <c r="F51" s="857">
        <f>+DATOS!D47*2.2046</f>
        <v/>
      </c>
      <c r="G51" s="811" t="n"/>
      <c r="H51" s="852">
        <f>+DATOS!G47</f>
        <v/>
      </c>
      <c r="I51" s="853" t="n"/>
      <c r="J51" s="857">
        <f>+DATOS!H47*2.2046</f>
        <v/>
      </c>
      <c r="K51" s="811" t="n"/>
      <c r="L51" s="852">
        <f>+DATOS!K47</f>
        <v/>
      </c>
      <c r="M51" s="853" t="n"/>
      <c r="N51" s="857">
        <f>+DATOS!L47*2.2046</f>
        <v/>
      </c>
      <c r="O51" s="811" t="n"/>
      <c r="P51" s="852">
        <f>+DATOS!O47</f>
        <v/>
      </c>
      <c r="Q51" s="853" t="n"/>
    </row>
    <row r="52" ht="15.75" customFormat="1" customHeight="1" s="6">
      <c r="A52" s="854">
        <f>+DATOS!A48</f>
        <v/>
      </c>
      <c r="B52" s="811" t="n"/>
      <c r="C52" s="858" t="n">
        <v>1000</v>
      </c>
      <c r="D52" s="859" t="n"/>
      <c r="E52" s="853" t="n"/>
      <c r="F52" s="857">
        <f>+DATOS!D48*2.2046</f>
        <v/>
      </c>
      <c r="G52" s="811" t="n"/>
      <c r="H52" s="852">
        <f>+DATOS!G48</f>
        <v/>
      </c>
      <c r="I52" s="853" t="n"/>
      <c r="J52" s="857">
        <f>+DATOS!H48*2.2046</f>
        <v/>
      </c>
      <c r="K52" s="811" t="n"/>
      <c r="L52" s="852">
        <f>+DATOS!K48</f>
        <v/>
      </c>
      <c r="M52" s="853" t="n"/>
      <c r="N52" s="857">
        <f>+DATOS!L48*2.2046</f>
        <v/>
      </c>
      <c r="O52" s="811" t="n"/>
      <c r="P52" s="852">
        <f>+DATOS!O48</f>
        <v/>
      </c>
      <c r="Q52" s="853" t="n"/>
    </row>
    <row r="53" ht="15.75" customFormat="1" customHeight="1" s="6">
      <c r="A53" s="854">
        <f>+DATOS!A49</f>
        <v/>
      </c>
      <c r="B53" s="811" t="n"/>
      <c r="C53" s="858" t="n"/>
      <c r="D53" s="859" t="n"/>
      <c r="E53" s="853" t="n"/>
      <c r="F53" s="857">
        <f>+DATOS!D49*2.2046</f>
        <v/>
      </c>
      <c r="G53" s="811" t="n"/>
      <c r="H53" s="852">
        <f>+DATOS!G49</f>
        <v/>
      </c>
      <c r="I53" s="853" t="n"/>
      <c r="J53" s="857">
        <f>+DATOS!H49*2.2046</f>
        <v/>
      </c>
      <c r="K53" s="811" t="n"/>
      <c r="L53" s="852">
        <f>+DATOS!K49</f>
        <v/>
      </c>
      <c r="M53" s="853" t="n"/>
      <c r="N53" s="857">
        <f>+DATOS!L49*2.2046</f>
        <v/>
      </c>
      <c r="O53" s="811" t="n"/>
      <c r="P53" s="852">
        <f>+DATOS!O49</f>
        <v/>
      </c>
      <c r="Q53" s="853" t="n"/>
    </row>
    <row r="54" ht="15.75" customFormat="1" customHeight="1" s="6">
      <c r="A54" s="854">
        <f>+DATOS!A50</f>
        <v/>
      </c>
      <c r="B54" s="811" t="n"/>
      <c r="C54" s="858" t="n"/>
      <c r="D54" s="859" t="n"/>
      <c r="E54" s="853" t="n"/>
      <c r="F54" s="857">
        <f>+DATOS!D50*2.2046</f>
        <v/>
      </c>
      <c r="G54" s="811" t="n"/>
      <c r="H54" s="852">
        <f>+DATOS!G50</f>
        <v/>
      </c>
      <c r="I54" s="853" t="n"/>
      <c r="J54" s="857">
        <f>+DATOS!H50*2.2046</f>
        <v/>
      </c>
      <c r="K54" s="811" t="n"/>
      <c r="L54" s="852">
        <f>+DATOS!K50</f>
        <v/>
      </c>
      <c r="M54" s="853" t="n"/>
      <c r="N54" s="857">
        <f>+DATOS!L50*2.2046</f>
        <v/>
      </c>
      <c r="O54" s="811" t="n"/>
      <c r="P54" s="852">
        <f>+DATOS!O50</f>
        <v/>
      </c>
      <c r="Q54" s="853" t="n"/>
    </row>
    <row r="55" ht="15.75" customFormat="1" customHeight="1" s="6">
      <c r="A55" s="854">
        <f>+DATOS!A51</f>
        <v/>
      </c>
      <c r="B55" s="811" t="n"/>
      <c r="C55" s="858" t="n"/>
      <c r="D55" s="859" t="n"/>
      <c r="E55" s="853" t="n"/>
      <c r="F55" s="857">
        <f>+DATOS!D51*2.2046</f>
        <v/>
      </c>
      <c r="G55" s="811" t="n"/>
      <c r="H55" s="852">
        <f>+DATOS!G51</f>
        <v/>
      </c>
      <c r="I55" s="853" t="n"/>
      <c r="J55" s="857">
        <f>+DATOS!H51*2.2046</f>
        <v/>
      </c>
      <c r="K55" s="811" t="n"/>
      <c r="L55" s="852">
        <f>+DATOS!K51</f>
        <v/>
      </c>
      <c r="M55" s="853" t="n"/>
      <c r="N55" s="857">
        <f>+DATOS!L51*2.2046</f>
        <v/>
      </c>
      <c r="O55" s="811" t="n"/>
      <c r="P55" s="852">
        <f>+DATOS!O51</f>
        <v/>
      </c>
      <c r="Q55" s="853" t="n"/>
    </row>
    <row r="56" ht="15.75" customFormat="1" customHeight="1" s="6">
      <c r="A56" s="854">
        <f>+DATOS!A52</f>
        <v/>
      </c>
      <c r="B56" s="811" t="n"/>
      <c r="C56" s="858" t="n">
        <v>1500</v>
      </c>
      <c r="D56" s="859" t="n"/>
      <c r="E56" s="853" t="n"/>
      <c r="F56" s="857">
        <f>+DATOS!D52*2.2046</f>
        <v/>
      </c>
      <c r="G56" s="811" t="n"/>
      <c r="H56" s="852">
        <f>+DATOS!G52</f>
        <v/>
      </c>
      <c r="I56" s="853" t="n"/>
      <c r="J56" s="857">
        <f>+DATOS!H52*2.2046</f>
        <v/>
      </c>
      <c r="K56" s="811" t="n"/>
      <c r="L56" s="852">
        <f>+DATOS!K52</f>
        <v/>
      </c>
      <c r="M56" s="853" t="n"/>
      <c r="N56" s="857">
        <f>+DATOS!L52*2.2046</f>
        <v/>
      </c>
      <c r="O56" s="811" t="n"/>
      <c r="P56" s="852">
        <f>+DATOS!O52</f>
        <v/>
      </c>
      <c r="Q56" s="853" t="n"/>
    </row>
    <row r="57" ht="15.75" customFormat="1" customHeight="1" s="6">
      <c r="A57" s="854">
        <f>+DATOS!A53</f>
        <v/>
      </c>
      <c r="B57" s="811" t="n"/>
      <c r="C57" s="858" t="n"/>
      <c r="D57" s="859" t="n"/>
      <c r="E57" s="853" t="n"/>
      <c r="F57" s="857">
        <f>+DATOS!D53*2.2046</f>
        <v/>
      </c>
      <c r="G57" s="811" t="n"/>
      <c r="H57" s="852">
        <f>+DATOS!G53</f>
        <v/>
      </c>
      <c r="I57" s="853" t="n"/>
      <c r="J57" s="857">
        <f>+DATOS!H53*2.2046</f>
        <v/>
      </c>
      <c r="K57" s="811" t="n"/>
      <c r="L57" s="852">
        <f>+DATOS!K53</f>
        <v/>
      </c>
      <c r="M57" s="853" t="n"/>
      <c r="N57" s="857">
        <f>+DATOS!L53*2.2046</f>
        <v/>
      </c>
      <c r="O57" s="811" t="n"/>
      <c r="P57" s="852">
        <f>+DATOS!O53</f>
        <v/>
      </c>
      <c r="Q57" s="853" t="n"/>
    </row>
    <row r="58" ht="15.75" customFormat="1" customHeight="1" s="6">
      <c r="A58" s="854">
        <f>+DATOS!A54</f>
        <v/>
      </c>
      <c r="B58" s="811" t="n"/>
      <c r="C58" s="858" t="n"/>
      <c r="D58" s="859" t="n"/>
      <c r="E58" s="853" t="n"/>
      <c r="F58" s="857">
        <f>+DATOS!D54*2.2046</f>
        <v/>
      </c>
      <c r="G58" s="811" t="n"/>
      <c r="H58" s="852">
        <f>+DATOS!G54</f>
        <v/>
      </c>
      <c r="I58" s="853" t="n"/>
      <c r="J58" s="857">
        <f>+DATOS!H54*2.2046</f>
        <v/>
      </c>
      <c r="K58" s="811" t="n"/>
      <c r="L58" s="852">
        <f>+DATOS!K54</f>
        <v/>
      </c>
      <c r="M58" s="853" t="n"/>
      <c r="N58" s="857">
        <f>+DATOS!L54*2.2046</f>
        <v/>
      </c>
      <c r="O58" s="811" t="n"/>
      <c r="P58" s="852">
        <f>+DATOS!O54</f>
        <v/>
      </c>
      <c r="Q58" s="853" t="n"/>
    </row>
    <row r="59" ht="15.75" customFormat="1" customHeight="1" s="6">
      <c r="A59" s="854">
        <f>+DATOS!A55</f>
        <v/>
      </c>
      <c r="B59" s="811" t="n"/>
      <c r="C59" s="858" t="n"/>
      <c r="D59" s="859" t="n"/>
      <c r="E59" s="853" t="n"/>
      <c r="F59" s="857">
        <f>+DATOS!D55*2.2046</f>
        <v/>
      </c>
      <c r="G59" s="811" t="n"/>
      <c r="H59" s="852">
        <f>+DATOS!G55</f>
        <v/>
      </c>
      <c r="I59" s="853" t="n"/>
      <c r="J59" s="857">
        <f>+DATOS!H55*2.2046</f>
        <v/>
      </c>
      <c r="K59" s="811" t="n"/>
      <c r="L59" s="852">
        <f>+DATOS!K55</f>
        <v/>
      </c>
      <c r="M59" s="853" t="n"/>
      <c r="N59" s="857">
        <f>+DATOS!L55*2.2046</f>
        <v/>
      </c>
      <c r="O59" s="811" t="n"/>
      <c r="P59" s="852">
        <f>+DATOS!O55</f>
        <v/>
      </c>
      <c r="Q59" s="853" t="n"/>
    </row>
    <row r="60" ht="21.75" customFormat="1" customHeight="1" s="6">
      <c r="A60" s="310" t="inlineStr">
        <is>
          <t>Observaciones:</t>
        </is>
      </c>
      <c r="B60" s="1" t="n"/>
      <c r="C60" s="244" t="n"/>
      <c r="D60" s="244" t="n"/>
      <c r="E60" s="244" t="n"/>
      <c r="F60" s="244" t="n"/>
      <c r="G60" s="244" t="n"/>
      <c r="H60" s="244" t="n"/>
      <c r="I60" s="244" t="n"/>
      <c r="J60" s="244" t="n"/>
      <c r="K60" s="244" t="n"/>
      <c r="L60" s="244" t="n"/>
      <c r="M60" s="244" t="n"/>
      <c r="N60" s="244" t="n"/>
      <c r="O60" s="244" t="n"/>
      <c r="P60" s="244" t="n"/>
      <c r="Q60" s="244" t="n"/>
    </row>
    <row r="61" ht="14.25" customFormat="1" customHeight="1" s="6">
      <c r="S61" s="585" t="n"/>
      <c r="T61" s="585" t="n"/>
    </row>
    <row r="62" ht="14.25" customFormat="1" customHeight="1" s="6">
      <c r="A62" s="120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S62" s="585" t="n"/>
      <c r="T62" s="585" t="n"/>
    </row>
    <row r="63" ht="14.25" customHeight="1">
      <c r="A63" s="120" t="n"/>
      <c r="R63" s="6" t="n"/>
      <c r="S63" s="585" t="n"/>
      <c r="T63" s="585" t="n"/>
    </row>
    <row r="64" ht="14.25" customHeight="1">
      <c r="A64" s="2" t="n"/>
      <c r="S64" s="585" t="n"/>
      <c r="T64" s="585" t="n"/>
    </row>
    <row r="65" ht="14.25" customHeight="1">
      <c r="A65" s="2" t="n"/>
      <c r="S65" s="585" t="n"/>
      <c r="T65" s="585" t="n"/>
    </row>
    <row r="66" ht="14.25" customHeight="1">
      <c r="A66" s="20" t="inlineStr">
        <is>
          <t>Página 1 de 2</t>
        </is>
      </c>
      <c r="B66" s="2" t="n"/>
      <c r="C66" s="2" t="n"/>
      <c r="D66" s="2" t="n"/>
      <c r="S66" s="585" t="n"/>
      <c r="T66" s="585" t="n"/>
    </row>
    <row r="67" ht="14.25" customHeight="1">
      <c r="A67" s="20" t="inlineStr">
        <is>
          <t>Versión: 02 (05-10-2024)</t>
        </is>
      </c>
      <c r="B67" s="2" t="n"/>
      <c r="C67" s="2" t="n"/>
      <c r="D67" s="2" t="n"/>
      <c r="P67" s="572" t="n"/>
      <c r="Q67" s="586" t="inlineStr">
        <is>
          <t>Fin del Informe</t>
        </is>
      </c>
      <c r="S67" s="585" t="n"/>
      <c r="T67" s="585" t="n"/>
    </row>
    <row r="68" ht="14.25" customHeight="1">
      <c r="S68" s="585" t="n"/>
      <c r="T68" s="585" t="n"/>
    </row>
    <row r="69" ht="14.25" customHeight="1">
      <c r="S69" s="585" t="n"/>
      <c r="T69" s="585" t="n"/>
    </row>
    <row r="70" ht="14.25" customHeight="1">
      <c r="S70" s="585" t="n"/>
      <c r="T70" s="585" t="n"/>
    </row>
    <row r="71" ht="14.25" customHeight="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S71" s="585" t="n"/>
      <c r="T71" s="585" t="n"/>
    </row>
    <row r="72" ht="12" customHeight="1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97" t="n"/>
      <c r="L72" s="97" t="n"/>
      <c r="M72" s="97" t="n"/>
      <c r="N72" s="97" t="n"/>
      <c r="O72" s="97" t="n"/>
      <c r="P72" s="97" t="n"/>
      <c r="Q72" s="97" t="n"/>
      <c r="S72" s="585" t="n"/>
      <c r="T72" s="585" t="n"/>
    </row>
    <row r="73" ht="12" customHeight="1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97" t="n"/>
      <c r="L73" s="97" t="n"/>
      <c r="M73" s="97" t="n"/>
      <c r="N73" s="97" t="n"/>
      <c r="O73" s="97" t="n"/>
      <c r="P73" s="97" t="n"/>
      <c r="Q73" s="97" t="n"/>
      <c r="S73" s="585" t="n"/>
      <c r="T73" s="585" t="n"/>
    </row>
    <row r="74" ht="12" customHeight="1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97" t="n"/>
      <c r="L74" s="97" t="n"/>
      <c r="M74" s="97" t="n"/>
      <c r="N74" s="97" t="n"/>
      <c r="O74" s="97" t="n"/>
      <c r="P74" s="97" t="n"/>
      <c r="Q74" s="97" t="n"/>
      <c r="S74" s="585" t="n"/>
      <c r="T74" s="585" t="n"/>
    </row>
    <row r="75" ht="12" customHeight="1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97" t="n"/>
      <c r="L75" s="97" t="n"/>
      <c r="M75" s="97" t="n"/>
      <c r="N75" s="97" t="n"/>
      <c r="O75" s="97" t="n"/>
      <c r="P75" s="97" t="n"/>
      <c r="Q75" s="97" t="n"/>
      <c r="S75" s="585" t="n"/>
      <c r="T75" s="585" t="n"/>
    </row>
    <row r="76" ht="12" customHeight="1">
      <c r="B76" s="97" t="n"/>
      <c r="C76" s="97" t="n"/>
      <c r="D76" s="97" t="n"/>
      <c r="E76" s="97" t="n"/>
      <c r="F76" s="97" t="n"/>
      <c r="G76" s="97" t="n"/>
      <c r="H76" s="97" t="n"/>
      <c r="I76" s="97" t="n"/>
      <c r="J76" s="97" t="n"/>
      <c r="K76" s="97" t="n"/>
      <c r="L76" s="97" t="n"/>
      <c r="M76" s="97" t="n"/>
      <c r="N76" s="97" t="n"/>
      <c r="O76" s="97" t="n"/>
      <c r="P76" s="97" t="n"/>
      <c r="Q76" s="97" t="n"/>
      <c r="S76" s="585" t="n"/>
      <c r="T76" s="585" t="n"/>
    </row>
    <row r="77" ht="15.6" customHeight="1">
      <c r="B77" s="97" t="n"/>
      <c r="C77" s="97" t="n"/>
      <c r="D77" s="97" t="n"/>
      <c r="E77" s="97" t="n"/>
      <c r="F77" s="97" t="n"/>
      <c r="G77" s="97" t="n"/>
      <c r="H77" s="97" t="n"/>
      <c r="I77" s="97" t="n"/>
      <c r="J77" s="97" t="n"/>
      <c r="K77" s="97" t="n"/>
      <c r="L77" s="97" t="n"/>
      <c r="M77" s="97" t="n"/>
      <c r="N77" s="97" t="n"/>
      <c r="O77" s="97" t="n"/>
      <c r="P77" s="97" t="n"/>
      <c r="Q77" s="97" t="n"/>
      <c r="S77" s="585" t="n"/>
      <c r="T77" s="585" t="n"/>
    </row>
    <row r="78" ht="15.6" customHeight="1">
      <c r="B78" s="97" t="n"/>
      <c r="C78" s="97" t="n"/>
      <c r="D78" s="97" t="n"/>
      <c r="E78" s="97" t="n"/>
      <c r="F78" s="97" t="n"/>
      <c r="G78" s="97" t="n"/>
      <c r="H78" s="97" t="n"/>
      <c r="I78" s="97" t="n"/>
      <c r="J78" s="97" t="n"/>
      <c r="K78" s="97" t="n"/>
      <c r="L78" s="97" t="n"/>
      <c r="M78" s="97" t="n"/>
      <c r="N78" s="97" t="n"/>
      <c r="O78" s="97" t="n"/>
      <c r="P78" s="97" t="n"/>
      <c r="Q78" s="97" t="n"/>
      <c r="S78" s="585" t="n"/>
      <c r="T78" s="585" t="n"/>
    </row>
    <row r="79" ht="15.6" customHeight="1">
      <c r="A79" s="29" t="n"/>
      <c r="B79" s="29" t="n"/>
      <c r="C79" s="29" t="n"/>
      <c r="D79" s="29" t="n"/>
      <c r="E79" s="29" t="n"/>
      <c r="F79" s="29" t="n"/>
      <c r="G79" s="29" t="n"/>
      <c r="H79" s="29" t="n"/>
      <c r="I79" s="29" t="n"/>
      <c r="J79" s="29" t="n"/>
      <c r="K79" s="29" t="n"/>
      <c r="L79" s="29" t="n"/>
      <c r="M79" s="29" t="n"/>
      <c r="N79" s="29" t="n"/>
      <c r="O79" s="29" t="n"/>
      <c r="P79" s="29" t="n"/>
      <c r="Q79" s="29" t="n"/>
      <c r="S79" s="585" t="n"/>
      <c r="T79" s="585" t="n"/>
    </row>
    <row r="80" ht="15.6" customHeight="1">
      <c r="S80" s="585" t="n"/>
      <c r="T80" s="585" t="n"/>
    </row>
    <row r="81" ht="15.6" customHeight="1">
      <c r="S81" s="585" t="n"/>
      <c r="T81" s="585" t="n"/>
    </row>
    <row r="82" ht="15.6" customHeight="1">
      <c r="S82" s="585" t="n"/>
      <c r="T82" s="585" t="n"/>
    </row>
    <row r="83" ht="15.6" customHeight="1">
      <c r="A83" s="121" t="n"/>
      <c r="F83" s="122" t="n"/>
      <c r="J83" s="121" t="n"/>
      <c r="K83" s="121" t="n"/>
      <c r="S83" s="585" t="n"/>
      <c r="T83" s="585" t="n"/>
    </row>
    <row r="84" ht="15.6" customHeight="1">
      <c r="A84" s="121" t="n"/>
      <c r="F84" s="122" t="n"/>
      <c r="J84" s="121" t="n"/>
      <c r="K84" s="121" t="n"/>
      <c r="R84" s="311" t="n"/>
    </row>
    <row r="85" ht="15.6" customHeight="1">
      <c r="A85" s="121" t="n"/>
      <c r="F85" s="122" t="n"/>
      <c r="J85" s="121" t="n"/>
      <c r="K85" s="121" t="n"/>
    </row>
    <row r="86" ht="19.2" customHeight="1">
      <c r="A86" s="121" t="n"/>
      <c r="F86" s="122" t="n"/>
      <c r="J86" s="121" t="n"/>
      <c r="K86" s="121" t="n"/>
    </row>
    <row r="87" ht="19.2" customHeight="1">
      <c r="A87" s="121" t="n"/>
      <c r="F87" s="122" t="n"/>
      <c r="J87" s="121" t="n"/>
      <c r="K87" s="121" t="n"/>
    </row>
    <row r="88" ht="19.2" customHeight="1"/>
    <row r="89" ht="19.2" customHeight="1">
      <c r="A89" s="15" t="n"/>
      <c r="B89" s="15" t="n"/>
      <c r="C89" s="15" t="n"/>
      <c r="D89" s="15" t="n"/>
    </row>
    <row r="90" ht="19.2" customHeight="1">
      <c r="A90" s="875" t="n"/>
      <c r="B90" s="862" t="n"/>
      <c r="C90" s="862" t="n"/>
      <c r="D90" s="862" t="n"/>
      <c r="E90" s="862" t="n"/>
      <c r="F90" s="862" t="n"/>
      <c r="G90" s="862" t="n"/>
      <c r="H90" s="862" t="n"/>
      <c r="I90" s="862" t="n"/>
      <c r="J90" s="862" t="n"/>
      <c r="K90" s="862" t="n"/>
      <c r="L90" s="862" t="n"/>
    </row>
    <row r="91" ht="15.6" customHeight="1">
      <c r="A91" s="862" t="n"/>
      <c r="B91" s="862" t="n"/>
      <c r="C91" s="862" t="n"/>
      <c r="D91" s="862" t="n"/>
      <c r="E91" s="862" t="n"/>
      <c r="F91" s="862" t="n"/>
      <c r="G91" s="862" t="n"/>
      <c r="H91" s="862" t="n"/>
      <c r="I91" s="862" t="n"/>
      <c r="J91" s="862" t="n"/>
      <c r="K91" s="862" t="n"/>
      <c r="L91" s="862" t="n"/>
    </row>
    <row r="92" ht="15.6" customHeight="1"/>
    <row r="93" ht="15.6" customHeight="1"/>
    <row r="94" ht="15.6" customHeight="1">
      <c r="L94" s="123" t="n"/>
    </row>
    <row r="95" ht="15.6" customHeight="1">
      <c r="E95" s="124" t="n"/>
      <c r="F95" s="865" t="n"/>
      <c r="G95" s="862" t="n"/>
      <c r="J95" s="122" t="n"/>
      <c r="K95" s="122" t="n"/>
      <c r="L95" s="122" t="n"/>
      <c r="M95" s="16" t="n"/>
      <c r="N95" s="16" t="n"/>
      <c r="O95" s="16" t="n"/>
      <c r="P95" s="16" t="n"/>
      <c r="Q95" s="16" t="n"/>
      <c r="R95" s="17" t="n"/>
    </row>
    <row r="96" ht="15.6" customHeight="1">
      <c r="E96" s="124" t="n"/>
      <c r="F96" s="865" t="n"/>
      <c r="G96" s="862" t="n"/>
      <c r="M96" s="16" t="n"/>
      <c r="N96" s="16" t="n"/>
      <c r="O96" s="16" t="n"/>
      <c r="P96" s="16" t="n"/>
      <c r="Q96" s="16" t="n"/>
      <c r="R96" s="17" t="n"/>
    </row>
    <row r="97" ht="15.6" customHeight="1">
      <c r="E97" s="124" t="n"/>
      <c r="F97" s="879" t="n"/>
      <c r="G97" s="862" t="n"/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e67SLfd9b6WYFHo65vKZbw==" formatRows="1" sort="1" spinCount="100000" hashValue="Btm4GbSCAVCG0Bqca5lQFrcd8eVUOx6msNnSmMJJw+ee7+hGaciCYTrfDhQZ82+OWnzI5fWHc888fAfZgndQzA=="/>
  <mergeCells count="154">
    <mergeCell ref="H53:I53"/>
    <mergeCell ref="A51:B51"/>
    <mergeCell ref="J43:M43"/>
    <mergeCell ref="N34:Q34"/>
    <mergeCell ref="H55:I55"/>
    <mergeCell ref="J59:K59"/>
    <mergeCell ref="L53:M53"/>
    <mergeCell ref="N53:O53"/>
    <mergeCell ref="C51:E51"/>
    <mergeCell ref="A54:B54"/>
    <mergeCell ref="N36:Q36"/>
    <mergeCell ref="P59:Q59"/>
    <mergeCell ref="J53:K53"/>
    <mergeCell ref="C10:M10"/>
    <mergeCell ref="A56:B56"/>
    <mergeCell ref="H52:I52"/>
    <mergeCell ref="N48:O48"/>
    <mergeCell ref="P48:Q48"/>
    <mergeCell ref="C57:E57"/>
    <mergeCell ref="C49:E49"/>
    <mergeCell ref="A41:D41"/>
    <mergeCell ref="N46:Q46"/>
    <mergeCell ref="F96:G96"/>
    <mergeCell ref="F56:G56"/>
    <mergeCell ref="P47:Q47"/>
    <mergeCell ref="A53:B53"/>
    <mergeCell ref="A38:Q38"/>
    <mergeCell ref="P58:Q58"/>
    <mergeCell ref="J58:K58"/>
    <mergeCell ref="F57:G57"/>
    <mergeCell ref="A48:B48"/>
    <mergeCell ref="A34:E34"/>
    <mergeCell ref="A40:Q40"/>
    <mergeCell ref="A59:B59"/>
    <mergeCell ref="F54:G54"/>
    <mergeCell ref="F43:I43"/>
    <mergeCell ref="H54:I54"/>
    <mergeCell ref="N50:O50"/>
    <mergeCell ref="A24:Q24"/>
    <mergeCell ref="J57:K57"/>
    <mergeCell ref="P50:Q50"/>
    <mergeCell ref="F37:I37"/>
    <mergeCell ref="P25:Q25"/>
    <mergeCell ref="L57:M57"/>
    <mergeCell ref="H50:I50"/>
    <mergeCell ref="N51:O51"/>
    <mergeCell ref="C59:E59"/>
    <mergeCell ref="C46:E46"/>
    <mergeCell ref="H56:I56"/>
    <mergeCell ref="P52:Q52"/>
    <mergeCell ref="C52:E52"/>
    <mergeCell ref="A7:Q7"/>
    <mergeCell ref="N35:Q35"/>
    <mergeCell ref="H49:I49"/>
    <mergeCell ref="A16:Q16"/>
    <mergeCell ref="C48:E48"/>
    <mergeCell ref="J49:K49"/>
    <mergeCell ref="F34:I34"/>
    <mergeCell ref="N52:O52"/>
    <mergeCell ref="F47:G47"/>
    <mergeCell ref="A90:L91"/>
    <mergeCell ref="J34:M34"/>
    <mergeCell ref="A42:Q42"/>
    <mergeCell ref="J36:M36"/>
    <mergeCell ref="L59:M59"/>
    <mergeCell ref="A52:B52"/>
    <mergeCell ref="F48:G48"/>
    <mergeCell ref="H48:I48"/>
    <mergeCell ref="N39:Q39"/>
    <mergeCell ref="J51:K51"/>
    <mergeCell ref="N55:O55"/>
    <mergeCell ref="F46:I46"/>
    <mergeCell ref="J48:K48"/>
    <mergeCell ref="P55:Q55"/>
    <mergeCell ref="L48:M48"/>
    <mergeCell ref="A44:Q44"/>
    <mergeCell ref="C50:E50"/>
    <mergeCell ref="C55:E55"/>
    <mergeCell ref="P51:Q51"/>
    <mergeCell ref="A49:B49"/>
    <mergeCell ref="F39:I39"/>
    <mergeCell ref="N54:O54"/>
    <mergeCell ref="A15:Q15"/>
    <mergeCell ref="J46:M46"/>
    <mergeCell ref="H58:I58"/>
    <mergeCell ref="L47:M47"/>
    <mergeCell ref="N56:O56"/>
    <mergeCell ref="P56:Q56"/>
    <mergeCell ref="A39:D39"/>
    <mergeCell ref="N58:O58"/>
    <mergeCell ref="P49:Q49"/>
    <mergeCell ref="F50:G50"/>
    <mergeCell ref="N41:Q41"/>
    <mergeCell ref="A55:B55"/>
    <mergeCell ref="C12:M12"/>
    <mergeCell ref="L58:M58"/>
    <mergeCell ref="A57:B57"/>
    <mergeCell ref="J41:M41"/>
    <mergeCell ref="L50:M50"/>
    <mergeCell ref="N43:Q43"/>
    <mergeCell ref="H57:I57"/>
    <mergeCell ref="A33:Q33"/>
    <mergeCell ref="N59:O59"/>
    <mergeCell ref="P53:Q53"/>
    <mergeCell ref="F36:I36"/>
    <mergeCell ref="A8:Q8"/>
    <mergeCell ref="L52:M52"/>
    <mergeCell ref="J50:K50"/>
    <mergeCell ref="J35:M35"/>
    <mergeCell ref="F49:G49"/>
    <mergeCell ref="J52:K52"/>
    <mergeCell ref="P54:Q54"/>
    <mergeCell ref="C54:E54"/>
    <mergeCell ref="N47:O47"/>
    <mergeCell ref="C56:E56"/>
    <mergeCell ref="A43:D43"/>
    <mergeCell ref="A45:Q45"/>
    <mergeCell ref="F59:G59"/>
    <mergeCell ref="F55:G55"/>
    <mergeCell ref="H59:I59"/>
    <mergeCell ref="F95:G95"/>
    <mergeCell ref="J39:M39"/>
    <mergeCell ref="F51:G51"/>
    <mergeCell ref="H51:I51"/>
    <mergeCell ref="J55:K55"/>
    <mergeCell ref="F97:G97"/>
    <mergeCell ref="L55:M55"/>
    <mergeCell ref="J37:M37"/>
    <mergeCell ref="A50:B50"/>
    <mergeCell ref="N37:Q37"/>
    <mergeCell ref="L51:M51"/>
    <mergeCell ref="C53:E53"/>
    <mergeCell ref="J54:K54"/>
    <mergeCell ref="L54:M54"/>
    <mergeCell ref="A47:B47"/>
    <mergeCell ref="C11:M11"/>
    <mergeCell ref="N57:O57"/>
    <mergeCell ref="P57:Q57"/>
    <mergeCell ref="H47:I47"/>
    <mergeCell ref="F58:G58"/>
    <mergeCell ref="J47:K47"/>
    <mergeCell ref="F52:G52"/>
    <mergeCell ref="J56:K56"/>
    <mergeCell ref="C58:E58"/>
    <mergeCell ref="L56:M56"/>
    <mergeCell ref="A35:E35"/>
    <mergeCell ref="F41:I41"/>
    <mergeCell ref="F35:I35"/>
    <mergeCell ref="L49:M49"/>
    <mergeCell ref="N49:O49"/>
    <mergeCell ref="C13:M13"/>
    <mergeCell ref="A58:B58"/>
    <mergeCell ref="F53:G53"/>
    <mergeCell ref="C47:E47"/>
  </mergeCells>
  <printOptions horizontalCentered="1"/>
  <pageMargins left="0.3937007874015748" right="0.3937007874015748" top="0.8267716535433072" bottom="0" header="0" footer="0"/>
  <pageSetup orientation="portrait" paperSize="274" scale="82"/>
  <headerFooter scaleWithDoc="0">
    <oddHeader>&amp;C&amp;G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FFC00000"/>
    <outlinePr summaryBelow="1" summaryRight="1"/>
    <pageSetUpPr/>
  </sheetPr>
  <dimension ref="A1:AX92"/>
  <sheetViews>
    <sheetView view="pageBreakPreview" topLeftCell="A19" zoomScaleNormal="120" zoomScaleSheetLayoutView="100" workbookViewId="0">
      <selection activeCell="D6" sqref="D6:M6"/>
    </sheetView>
  </sheetViews>
  <sheetFormatPr baseColWidth="10" defaultColWidth="5.5546875" defaultRowHeight="15" customHeight="1"/>
  <cols>
    <col width="5.5546875" customWidth="1" style="984" min="1" max="1"/>
    <col width="4.6640625" customWidth="1" style="984" min="2" max="2"/>
    <col width="2" customWidth="1" style="984" min="3" max="3"/>
    <col width="9.6640625" customWidth="1" style="984" min="4" max="4"/>
    <col width="7.109375" customWidth="1" style="984" min="5" max="5"/>
    <col width="3.6640625" customWidth="1" style="984" min="6" max="6"/>
    <col width="5.5546875" customWidth="1" style="984" min="7" max="9"/>
    <col width="11.109375" customWidth="1" style="984" min="10" max="10"/>
    <col width="8.88671875" customWidth="1" style="984" min="11" max="11"/>
    <col width="6.6640625" customWidth="1" style="984" min="12" max="12"/>
    <col width="3.109375" customWidth="1" style="984" min="13" max="13"/>
    <col width="8.88671875" customWidth="1" style="984" min="14" max="14"/>
    <col width="7.33203125" customWidth="1" style="984" min="15" max="15"/>
    <col width="6.33203125" customWidth="1" style="984" min="16" max="16"/>
    <col width="11.44140625" customWidth="1" style="984" min="17" max="17"/>
    <col width="3" customWidth="1" style="984" min="18" max="18"/>
    <col width="2.44140625" customWidth="1" style="984" min="19" max="19"/>
    <col width="5.6640625" customWidth="1" style="984" min="20" max="20"/>
    <col width="10.109375" customWidth="1" style="984" min="21" max="24"/>
    <col width="12.5546875" customWidth="1" style="984" min="25" max="25"/>
    <col width="9.5546875" customWidth="1" style="984" min="26" max="26"/>
    <col width="7" customWidth="1" style="984" min="27" max="27"/>
    <col width="11.33203125" customWidth="1" style="984" min="28" max="29"/>
    <col width="8.44140625" customWidth="1" style="984" min="30" max="30"/>
    <col width="11.44140625" customWidth="1" style="984" min="31" max="34"/>
    <col width="13.109375" customWidth="1" style="984" min="35" max="35"/>
    <col width="11.33203125" customWidth="1" style="984" min="36" max="36"/>
    <col width="11.6640625" customWidth="1" style="984" min="37" max="37"/>
    <col width="10.109375" customWidth="1" style="984" min="38" max="38"/>
    <col width="9.109375" customWidth="1" style="984" min="39" max="40"/>
    <col width="12.33203125" customWidth="1" style="984" min="41" max="48"/>
    <col width="10.109375" customWidth="1" style="984" min="49" max="50"/>
    <col width="5.5546875" customWidth="1" style="984" min="51" max="51"/>
    <col width="5.5546875" customWidth="1" style="984" min="52" max="16384"/>
  </cols>
  <sheetData>
    <row r="1" ht="15.75" customHeight="1">
      <c r="A1" s="900" t="inlineStr">
        <is>
          <t>LABORATORIO DE ENSAYO DE MATERIALES</t>
        </is>
      </c>
    </row>
    <row r="2" ht="15.75" customHeight="1">
      <c r="A2" s="992">
        <f>+'INFORME-1'!A8:Q8</f>
        <v/>
      </c>
      <c r="B2" s="837" t="n"/>
      <c r="C2" s="837" t="n"/>
      <c r="D2" s="837" t="n"/>
      <c r="E2" s="837" t="n"/>
      <c r="F2" s="837" t="n"/>
      <c r="G2" s="837" t="n"/>
      <c r="H2" s="837" t="n"/>
      <c r="I2" s="837" t="n"/>
      <c r="J2" s="837" t="n"/>
      <c r="K2" s="837" t="n"/>
      <c r="L2" s="837" t="n"/>
      <c r="M2" s="837" t="n"/>
      <c r="N2" s="837" t="n"/>
      <c r="O2" s="837" t="n"/>
      <c r="P2" s="837" t="n"/>
      <c r="Q2" s="837" t="n"/>
      <c r="R2" s="837" t="n"/>
    </row>
    <row r="3" ht="9" customHeight="1">
      <c r="A3" s="128" t="n"/>
      <c r="B3" s="129" t="n"/>
      <c r="C3" s="130" t="n"/>
      <c r="D3" s="130" t="n"/>
      <c r="E3" s="886" t="n"/>
      <c r="F3" s="132" t="n"/>
      <c r="G3" s="133" t="n"/>
      <c r="H3" s="133" t="n"/>
      <c r="I3" s="132" t="n"/>
      <c r="J3" s="132" t="n"/>
      <c r="K3" s="132" t="n"/>
      <c r="L3" s="132" t="n"/>
      <c r="M3" s="132" t="n"/>
      <c r="N3" s="132" t="n"/>
      <c r="O3" s="134" t="n"/>
      <c r="P3" s="134" t="n"/>
      <c r="Q3" s="125" t="n"/>
      <c r="R3" s="125" t="n"/>
    </row>
    <row r="4" ht="15.6" customHeight="1">
      <c r="A4" s="32" t="inlineStr">
        <is>
          <t>CLIENTE</t>
        </is>
      </c>
      <c r="C4" s="33" t="inlineStr">
        <is>
          <t>:</t>
        </is>
      </c>
      <c r="D4" s="886">
        <f>+'INFORME-1'!C10</f>
        <v/>
      </c>
      <c r="O4" s="34" t="inlineStr">
        <is>
          <t xml:space="preserve">                 CÓDIGO</t>
        </is>
      </c>
      <c r="P4" s="35" t="inlineStr">
        <is>
          <t>:</t>
        </is>
      </c>
      <c r="Q4" s="36">
        <f>+'INFORME-1'!P10</f>
        <v/>
      </c>
      <c r="R4" s="36" t="n"/>
    </row>
    <row r="5" ht="15.6" customHeight="1">
      <c r="A5" s="32" t="inlineStr">
        <is>
          <t>DIRECCIÓN**</t>
        </is>
      </c>
      <c r="C5" s="33" t="inlineStr">
        <is>
          <t>:</t>
        </is>
      </c>
      <c r="D5" s="886">
        <f>+'INFORME-1'!C11</f>
        <v/>
      </c>
      <c r="O5" s="37" t="inlineStr">
        <is>
          <t>RECEPCIÓN N°</t>
        </is>
      </c>
      <c r="P5" s="33" t="inlineStr">
        <is>
          <t>:</t>
        </is>
      </c>
      <c r="Q5" s="722">
        <f>+'INFORME-1'!P11</f>
        <v/>
      </c>
      <c r="R5" s="242" t="n"/>
    </row>
    <row r="6" ht="15.6" customHeight="1">
      <c r="A6" s="32" t="inlineStr">
        <is>
          <t>PROYECTO**</t>
        </is>
      </c>
      <c r="C6" s="33" t="inlineStr">
        <is>
          <t>:</t>
        </is>
      </c>
      <c r="D6" s="898">
        <f>+'INFORME-1'!C12</f>
        <v/>
      </c>
      <c r="O6" s="37" t="inlineStr">
        <is>
          <t>OT N°</t>
        </is>
      </c>
      <c r="P6" s="33" t="inlineStr">
        <is>
          <t>:</t>
        </is>
      </c>
      <c r="Q6" s="722">
        <f>+'INFORME-1'!P12</f>
        <v/>
      </c>
      <c r="R6" s="242" t="n"/>
    </row>
    <row r="7" ht="15.6" customHeight="1">
      <c r="A7" s="32" t="inlineStr">
        <is>
          <t>UBICACIÓN**</t>
        </is>
      </c>
      <c r="C7" s="33" t="inlineStr">
        <is>
          <t>:</t>
        </is>
      </c>
      <c r="D7" s="898">
        <f>+'INFORME-1'!C13</f>
        <v/>
      </c>
      <c r="O7" s="37" t="inlineStr">
        <is>
          <t>F. EMISIÓN</t>
        </is>
      </c>
      <c r="P7" s="33" t="inlineStr">
        <is>
          <t>:</t>
        </is>
      </c>
      <c r="Q7" s="567">
        <f>+'INFORME-1'!P13</f>
        <v/>
      </c>
      <c r="R7" s="243" t="n"/>
    </row>
    <row r="8" ht="9" customHeight="1" thickBot="1">
      <c r="A8" s="32" t="n"/>
      <c r="B8" s="33" t="n"/>
      <c r="C8" s="36" t="n"/>
      <c r="D8" s="36" t="n"/>
      <c r="E8" s="36" t="n"/>
      <c r="F8" s="36" t="n"/>
      <c r="G8" s="36" t="n"/>
      <c r="H8" s="36" t="n"/>
      <c r="I8" s="36" t="n"/>
      <c r="M8" s="37" t="n"/>
      <c r="N8" s="33" t="n"/>
      <c r="O8" s="38" t="n"/>
      <c r="P8" s="38" t="n"/>
      <c r="Q8" s="125" t="n"/>
      <c r="R8" s="125" t="n"/>
    </row>
    <row r="9" ht="18" customHeight="1" thickBot="1">
      <c r="A9" s="899">
        <f>+'INFORME-1'!A15</f>
        <v/>
      </c>
      <c r="B9" s="877" t="n"/>
      <c r="C9" s="877" t="n"/>
      <c r="D9" s="877" t="n"/>
      <c r="E9" s="877" t="n"/>
      <c r="F9" s="877" t="n"/>
      <c r="G9" s="877" t="n"/>
      <c r="H9" s="877" t="n"/>
      <c r="I9" s="877" t="n"/>
      <c r="J9" s="877" t="n"/>
      <c r="K9" s="877" t="n"/>
      <c r="L9" s="877" t="n"/>
      <c r="M9" s="877" t="n"/>
      <c r="N9" s="877" t="n"/>
      <c r="O9" s="877" t="n"/>
      <c r="P9" s="877" t="n"/>
      <c r="Q9" s="877" t="n"/>
      <c r="R9" s="822" t="n"/>
      <c r="U9" s="887" t="inlineStr">
        <is>
          <t>56 GOLPES</t>
        </is>
      </c>
      <c r="V9" s="888" t="n"/>
      <c r="W9" s="888" t="n"/>
      <c r="X9" s="888" t="n"/>
      <c r="Y9" s="888" t="n"/>
      <c r="Z9" s="888" t="n"/>
      <c r="AA9" s="888" t="n"/>
      <c r="AB9" s="888" t="n"/>
      <c r="AC9" s="888" t="n"/>
      <c r="AD9" s="889" t="n"/>
      <c r="AE9" s="887" t="inlineStr">
        <is>
          <t>25 GOLPES</t>
        </is>
      </c>
      <c r="AF9" s="888" t="n"/>
      <c r="AG9" s="888" t="n"/>
      <c r="AH9" s="888" t="n"/>
      <c r="AI9" s="888" t="n"/>
      <c r="AJ9" s="888" t="n"/>
      <c r="AK9" s="888" t="n"/>
      <c r="AL9" s="888" t="n"/>
      <c r="AM9" s="888" t="n"/>
      <c r="AN9" s="889" t="n"/>
      <c r="AO9" s="887" t="inlineStr">
        <is>
          <t>10 GOLPES</t>
        </is>
      </c>
      <c r="AP9" s="888" t="n"/>
      <c r="AQ9" s="888" t="n"/>
      <c r="AR9" s="888" t="n"/>
      <c r="AS9" s="888" t="n"/>
      <c r="AT9" s="888" t="n"/>
      <c r="AU9" s="888" t="n"/>
      <c r="AV9" s="888" t="n"/>
      <c r="AW9" s="888" t="n"/>
      <c r="AX9" s="889" t="n"/>
    </row>
    <row r="10" ht="14.25" customHeight="1">
      <c r="A10" s="897">
        <f>+'INFORME-1'!A16</f>
        <v/>
      </c>
      <c r="B10" s="842" t="n"/>
      <c r="C10" s="842" t="n"/>
      <c r="D10" s="842" t="n"/>
      <c r="E10" s="842" t="n"/>
      <c r="F10" s="842" t="n"/>
      <c r="G10" s="842" t="n"/>
      <c r="H10" s="842" t="n"/>
      <c r="I10" s="842" t="n"/>
      <c r="J10" s="842" t="n"/>
      <c r="K10" s="842" t="n"/>
      <c r="L10" s="842" t="n"/>
      <c r="M10" s="842" t="n"/>
      <c r="N10" s="842" t="n"/>
      <c r="O10" s="842" t="n"/>
      <c r="P10" s="842" t="n"/>
      <c r="Q10" s="842" t="n"/>
      <c r="R10" s="824" t="n"/>
      <c r="U10" s="324" t="n"/>
      <c r="V10" s="325" t="n"/>
      <c r="W10" s="326" t="n"/>
      <c r="X10" s="325" t="n"/>
      <c r="Y10" s="325" t="n"/>
      <c r="Z10" s="325" t="n"/>
      <c r="AA10" s="326" t="n"/>
      <c r="AB10" s="326" t="n"/>
      <c r="AC10" s="326" t="n"/>
      <c r="AD10" s="327" t="n"/>
      <c r="AE10" s="324" t="n"/>
      <c r="AF10" s="325" t="n"/>
      <c r="AG10" s="326" t="n"/>
      <c r="AH10" s="325" t="n"/>
      <c r="AI10" s="325" t="n"/>
      <c r="AJ10" s="325" t="n"/>
      <c r="AK10" s="326" t="n"/>
      <c r="AL10" s="326" t="n"/>
      <c r="AM10" s="326" t="n"/>
      <c r="AN10" s="327" t="n"/>
      <c r="AO10" s="324" t="n"/>
      <c r="AP10" s="325" t="n"/>
      <c r="AQ10" s="326" t="n"/>
      <c r="AR10" s="325" t="n"/>
      <c r="AS10" s="325" t="n"/>
      <c r="AT10" s="325" t="n"/>
      <c r="AU10" s="326" t="n"/>
      <c r="AV10" s="326" t="n"/>
      <c r="AW10" s="326" t="n"/>
      <c r="AX10" s="327" t="n"/>
    </row>
    <row r="11" ht="11.4" customHeight="1">
      <c r="A11" s="136" t="n"/>
      <c r="B11" s="137" t="n"/>
      <c r="C11" s="138" t="n"/>
      <c r="D11" s="138" t="n"/>
      <c r="E11" s="138" t="n"/>
      <c r="F11" s="138" t="n"/>
      <c r="G11" s="139" t="n"/>
      <c r="H11" s="140" t="n"/>
      <c r="I11" s="141" t="n"/>
      <c r="J11" s="138" t="n"/>
      <c r="K11" s="138" t="n"/>
      <c r="L11" s="138" t="n"/>
      <c r="M11" s="138" t="n"/>
      <c r="N11" s="138" t="n"/>
      <c r="O11" s="138" t="n"/>
      <c r="P11" s="138" t="n"/>
      <c r="Q11" s="138" t="n"/>
      <c r="R11" s="142" t="n"/>
      <c r="U11" s="892" t="inlineStr">
        <is>
          <t>Necesita corrección</t>
        </is>
      </c>
      <c r="V11" s="810" t="n"/>
      <c r="W11" s="810" t="n"/>
      <c r="X11" s="811" t="n"/>
      <c r="Y11" s="294" t="inlineStr">
        <is>
          <t>NO</t>
        </is>
      </c>
      <c r="Z11" s="51" t="n"/>
      <c r="AD11" s="135" t="n"/>
      <c r="AE11" s="892" t="inlineStr">
        <is>
          <t>Necesita corrección</t>
        </is>
      </c>
      <c r="AF11" s="810" t="n"/>
      <c r="AG11" s="810" t="n"/>
      <c r="AH11" s="811" t="n"/>
      <c r="AI11" s="294" t="inlineStr">
        <is>
          <t>NO</t>
        </is>
      </c>
      <c r="AJ11" s="51" t="n"/>
      <c r="AN11" s="135" t="n"/>
      <c r="AO11" s="892" t="inlineStr">
        <is>
          <t>Necesita corrección</t>
        </is>
      </c>
      <c r="AP11" s="810" t="n"/>
      <c r="AQ11" s="810" t="n"/>
      <c r="AR11" s="811" t="n"/>
      <c r="AS11" s="294" t="inlineStr">
        <is>
          <t>NO</t>
        </is>
      </c>
      <c r="AT11" s="51" t="n"/>
      <c r="AX11" s="135" t="n"/>
    </row>
    <row r="12" ht="15.45" customHeight="1">
      <c r="A12" s="891" t="inlineStr">
        <is>
          <t>CURVA DE TENSIÒN - PENETRACIÒN</t>
        </is>
      </c>
      <c r="R12" s="827" t="n"/>
      <c r="U12" s="45" t="n"/>
      <c r="V12" s="51" t="n"/>
      <c r="W12" s="51" t="n"/>
      <c r="X12" s="51" t="n"/>
      <c r="Y12" s="51" t="n"/>
      <c r="Z12" s="51" t="n"/>
      <c r="AD12" s="135" t="n"/>
      <c r="AE12" s="45" t="n"/>
      <c r="AF12" s="51" t="n"/>
      <c r="AG12" s="51" t="n"/>
      <c r="AH12" s="51" t="n"/>
      <c r="AI12" s="51" t="n"/>
      <c r="AJ12" s="51" t="n"/>
      <c r="AN12" s="135" t="n"/>
      <c r="AO12" s="45" t="n"/>
      <c r="AP12" s="51" t="n"/>
      <c r="AQ12" s="51" t="n"/>
      <c r="AR12" s="51" t="n"/>
      <c r="AS12" s="51" t="n"/>
      <c r="AT12" s="51" t="n"/>
      <c r="AX12" s="135" t="n"/>
    </row>
    <row r="13" ht="15.45" customFormat="1" customHeight="1" s="36">
      <c r="A13" s="143" t="n"/>
      <c r="G13" s="144" t="n"/>
      <c r="H13" s="144" t="n"/>
      <c r="I13" s="145" t="n"/>
      <c r="J13" s="145" t="n"/>
      <c r="K13" s="145" t="n"/>
      <c r="L13" s="145" t="n"/>
      <c r="M13" s="145" t="n"/>
      <c r="N13" s="145" t="n"/>
      <c r="O13" s="145" t="n"/>
      <c r="P13" s="984" t="n"/>
      <c r="R13" s="146" t="n"/>
      <c r="U13" s="55" t="inlineStr">
        <is>
          <t>Ecuacion de la recta</t>
        </is>
      </c>
      <c r="V13" s="46" t="n"/>
      <c r="X13" s="56" t="inlineStr">
        <is>
          <t>Elementos de la recta:</t>
        </is>
      </c>
      <c r="Y13" s="46" t="n"/>
      <c r="Z13" s="51" t="n"/>
      <c r="AA13" s="64" t="inlineStr">
        <is>
          <t>Punto recta</t>
        </is>
      </c>
      <c r="AB13" s="64" t="n"/>
      <c r="AD13" s="147" t="n"/>
      <c r="AE13" s="55" t="inlineStr">
        <is>
          <t>Ecuacion de la recta</t>
        </is>
      </c>
      <c r="AF13" s="46" t="n"/>
      <c r="AH13" s="56" t="inlineStr">
        <is>
          <t>Elementos de la recta:</t>
        </is>
      </c>
      <c r="AI13" s="46" t="n"/>
      <c r="AJ13" s="51" t="n"/>
      <c r="AK13" s="56" t="inlineStr">
        <is>
          <t>Punto recta</t>
        </is>
      </c>
      <c r="AN13" s="147" t="n"/>
      <c r="AO13" s="55" t="inlineStr">
        <is>
          <t>Ecuacion de la recta</t>
        </is>
      </c>
      <c r="AP13" s="46" t="n"/>
      <c r="AR13" s="56" t="inlineStr">
        <is>
          <t>Elementos de la recta:</t>
        </is>
      </c>
      <c r="AS13" s="46" t="n"/>
      <c r="AT13" s="51" t="n"/>
      <c r="AU13" s="56" t="inlineStr">
        <is>
          <t>Punto recta</t>
        </is>
      </c>
      <c r="AX13" s="147" t="n"/>
    </row>
    <row r="14" ht="15.45" customFormat="1" customHeight="1" s="36">
      <c r="A14" s="148" t="n"/>
      <c r="B14" s="886" t="n"/>
      <c r="C14" s="886" t="n"/>
      <c r="D14" s="886" t="n"/>
      <c r="E14" s="144" t="n"/>
      <c r="F14" s="144" t="n"/>
      <c r="G14" s="144" t="n"/>
      <c r="I14" s="886" t="n"/>
      <c r="J14" s="886" t="n"/>
      <c r="K14" s="886" t="n"/>
      <c r="L14" s="144" t="n"/>
      <c r="M14" s="144" t="n"/>
      <c r="N14" s="144" t="n"/>
      <c r="R14" s="149" t="n"/>
      <c r="U14" s="892" t="inlineStr">
        <is>
          <t>X1</t>
        </is>
      </c>
      <c r="V14" s="50" t="inlineStr">
        <is>
          <t>Y1</t>
        </is>
      </c>
      <c r="X14" s="53" t="inlineStr">
        <is>
          <t>m =</t>
        </is>
      </c>
      <c r="Y14" s="59">
        <f>(V17-V15)/(U17-U15)</f>
        <v/>
      </c>
      <c r="AA14" s="50" t="inlineStr">
        <is>
          <t>X</t>
        </is>
      </c>
      <c r="AB14" s="50" t="inlineStr">
        <is>
          <t>Y</t>
        </is>
      </c>
      <c r="AD14" s="147" t="n"/>
      <c r="AE14" s="892" t="inlineStr">
        <is>
          <t>X1</t>
        </is>
      </c>
      <c r="AF14" s="50" t="inlineStr">
        <is>
          <t>Y1</t>
        </is>
      </c>
      <c r="AH14" s="53" t="inlineStr">
        <is>
          <t>m =</t>
        </is>
      </c>
      <c r="AI14" s="59">
        <f>(AF17-AF15)/(AE17-AE15)</f>
        <v/>
      </c>
      <c r="AK14" s="50" t="inlineStr">
        <is>
          <t>X</t>
        </is>
      </c>
      <c r="AL14" s="50" t="inlineStr">
        <is>
          <t>Y</t>
        </is>
      </c>
      <c r="AN14" s="147" t="n"/>
      <c r="AO14" s="892" t="inlineStr">
        <is>
          <t>X1</t>
        </is>
      </c>
      <c r="AP14" s="50" t="inlineStr">
        <is>
          <t>Y1</t>
        </is>
      </c>
      <c r="AR14" s="53" t="inlineStr">
        <is>
          <t>m =</t>
        </is>
      </c>
      <c r="AS14" s="59">
        <f>(AP17-AP15)/(AO17-AO15)</f>
        <v/>
      </c>
      <c r="AU14" s="50" t="inlineStr">
        <is>
          <t>X</t>
        </is>
      </c>
      <c r="AV14" s="50" t="inlineStr">
        <is>
          <t>Y</t>
        </is>
      </c>
      <c r="AX14" s="147" t="n"/>
    </row>
    <row r="15" ht="15.45" customFormat="1" customHeight="1" s="36">
      <c r="A15" s="148" t="n"/>
      <c r="B15" s="886" t="n"/>
      <c r="C15" s="886" t="n"/>
      <c r="D15" s="886" t="n"/>
      <c r="E15" s="144" t="n"/>
      <c r="F15" s="144" t="n"/>
      <c r="G15" s="144" t="n"/>
      <c r="I15" s="886" t="n"/>
      <c r="J15" s="886" t="n"/>
      <c r="K15" s="886" t="n"/>
      <c r="L15" s="150" t="n"/>
      <c r="M15" s="150" t="n"/>
      <c r="N15" s="150" t="n"/>
      <c r="R15" s="149" t="n"/>
      <c r="U15" s="292">
        <f>+DATOS!A49</f>
        <v/>
      </c>
      <c r="V15" s="293">
        <f>+DATOS!G49</f>
        <v/>
      </c>
      <c r="X15" s="53" t="inlineStr">
        <is>
          <t>Y3=</t>
        </is>
      </c>
      <c r="Y15" s="50" t="n">
        <v>0</v>
      </c>
      <c r="AA15" s="50">
        <f>IF(Y11="SI",U17,0)</f>
        <v/>
      </c>
      <c r="AB15" s="59">
        <f>IF(Y11="SI",V17,0)</f>
        <v/>
      </c>
      <c r="AD15" s="147" t="n"/>
      <c r="AE15" s="292">
        <f>+DATOS!A49</f>
        <v/>
      </c>
      <c r="AF15" s="293">
        <f>+DATOS!K49</f>
        <v/>
      </c>
      <c r="AH15" s="53" t="inlineStr">
        <is>
          <t>Y3=</t>
        </is>
      </c>
      <c r="AI15" s="50" t="n">
        <v>0</v>
      </c>
      <c r="AK15" s="50">
        <f>IF(AI11="SI",AE17,0)</f>
        <v/>
      </c>
      <c r="AL15" s="59">
        <f>IF(AI11="SI",AF17,0)</f>
        <v/>
      </c>
      <c r="AN15" s="147" t="n"/>
      <c r="AO15" s="292">
        <f>+DATOS!A48</f>
        <v/>
      </c>
      <c r="AP15" s="293">
        <f>+DATOS!O48</f>
        <v/>
      </c>
      <c r="AR15" s="53" t="inlineStr">
        <is>
          <t>Y3=</t>
        </is>
      </c>
      <c r="AS15" s="50" t="n">
        <v>0</v>
      </c>
      <c r="AU15" s="50">
        <f>IF(AS11="SI",AO17,0)</f>
        <v/>
      </c>
      <c r="AV15" s="59">
        <f>IF(AS11="SI",AP17,0)</f>
        <v/>
      </c>
      <c r="AX15" s="147" t="n"/>
    </row>
    <row r="16" ht="15.45" customFormat="1" customHeight="1" s="36">
      <c r="A16" s="148" t="n"/>
      <c r="B16" s="886" t="n"/>
      <c r="C16" s="886" t="n"/>
      <c r="D16" s="886" t="n"/>
      <c r="E16" s="151" t="n"/>
      <c r="F16" s="144" t="n"/>
      <c r="G16" s="144" t="n"/>
      <c r="I16" s="886" t="n"/>
      <c r="J16" s="886" t="n"/>
      <c r="K16" s="886" t="n"/>
      <c r="L16" s="150" t="n"/>
      <c r="M16" s="150" t="n"/>
      <c r="N16" s="150" t="n"/>
      <c r="R16" s="149" t="n"/>
      <c r="U16" s="892" t="inlineStr">
        <is>
          <t>X2</t>
        </is>
      </c>
      <c r="V16" s="50" t="inlineStr">
        <is>
          <t>Y2</t>
        </is>
      </c>
      <c r="W16" s="46" t="n"/>
      <c r="X16" s="53" t="inlineStr">
        <is>
          <t>X3 =</t>
        </is>
      </c>
      <c r="Y16" s="54">
        <f>(Y15-V15)/Y14+U15</f>
        <v/>
      </c>
      <c r="Z16" s="36" t="inlineStr">
        <is>
          <t>in</t>
        </is>
      </c>
      <c r="AA16" s="54">
        <f>IF(Y11="SI",Y16,0)</f>
        <v/>
      </c>
      <c r="AB16" s="50">
        <f>+Y15</f>
        <v/>
      </c>
      <c r="AD16" s="147" t="n"/>
      <c r="AE16" s="892" t="inlineStr">
        <is>
          <t>X2</t>
        </is>
      </c>
      <c r="AF16" s="50" t="inlineStr">
        <is>
          <t>Y2</t>
        </is>
      </c>
      <c r="AG16" s="46" t="n"/>
      <c r="AH16" s="53" t="inlineStr">
        <is>
          <t>X3 =</t>
        </is>
      </c>
      <c r="AI16" s="54">
        <f>(AI15-AF15)/AI14+AE15</f>
        <v/>
      </c>
      <c r="AK16" s="54">
        <f>IF(AI11="SI",AI16,0)</f>
        <v/>
      </c>
      <c r="AL16" s="50">
        <f>+AI15</f>
        <v/>
      </c>
      <c r="AN16" s="147" t="n"/>
      <c r="AO16" s="892" t="inlineStr">
        <is>
          <t>X2</t>
        </is>
      </c>
      <c r="AP16" s="50" t="inlineStr">
        <is>
          <t>Y2</t>
        </is>
      </c>
      <c r="AQ16" s="46" t="n"/>
      <c r="AR16" s="53" t="inlineStr">
        <is>
          <t>X3 =</t>
        </is>
      </c>
      <c r="AS16" s="54">
        <f>(AS15-AP15)/AS14+AO15</f>
        <v/>
      </c>
      <c r="AU16" s="54">
        <f>IF(AS11="SI",AS16,0)</f>
        <v/>
      </c>
      <c r="AV16" s="50">
        <f>+AS15</f>
        <v/>
      </c>
      <c r="AX16" s="147" t="n"/>
    </row>
    <row r="17" ht="15.45" customFormat="1" customHeight="1" s="36">
      <c r="A17" s="148" t="n"/>
      <c r="B17" s="886" t="n"/>
      <c r="C17" s="886" t="n"/>
      <c r="D17" s="886" t="n"/>
      <c r="E17" s="144" t="n"/>
      <c r="F17" s="144" t="n"/>
      <c r="G17" s="144" t="n"/>
      <c r="I17" s="886" t="n"/>
      <c r="J17" s="886" t="n"/>
      <c r="K17" s="886" t="n"/>
      <c r="L17" s="150" t="n"/>
      <c r="M17" s="150" t="n"/>
      <c r="N17" s="150" t="n"/>
      <c r="R17" s="149" t="n"/>
      <c r="U17" s="292">
        <f>+DATOS!A52</f>
        <v/>
      </c>
      <c r="V17" s="293">
        <f>+DATOS!G52</f>
        <v/>
      </c>
      <c r="Z17" s="63" t="n"/>
      <c r="AD17" s="147" t="n"/>
      <c r="AE17" s="292">
        <f>+DATOS!A52</f>
        <v/>
      </c>
      <c r="AF17" s="293">
        <f>+DATOS!K52</f>
        <v/>
      </c>
      <c r="AJ17" s="63" t="n"/>
      <c r="AN17" s="147" t="n"/>
      <c r="AO17" s="292">
        <f>+DATOS!A52</f>
        <v/>
      </c>
      <c r="AP17" s="293">
        <f>+DATOS!O52</f>
        <v/>
      </c>
      <c r="AT17" s="63" t="n"/>
      <c r="AX17" s="147" t="n"/>
    </row>
    <row r="18" ht="15.45" customFormat="1" customHeight="1" s="36">
      <c r="A18" s="148" t="n"/>
      <c r="B18" s="886" t="n"/>
      <c r="C18" s="886" t="n"/>
      <c r="D18" s="886" t="n"/>
      <c r="E18" s="144" t="n"/>
      <c r="F18" s="144" t="n"/>
      <c r="G18" s="144" t="n"/>
      <c r="I18" s="886" t="n"/>
      <c r="J18" s="886" t="n"/>
      <c r="K18" s="886" t="n"/>
      <c r="L18" s="150" t="n"/>
      <c r="M18" s="150" t="n"/>
      <c r="N18" s="150" t="n"/>
      <c r="R18" s="149" t="n"/>
      <c r="U18" s="45" t="n"/>
      <c r="V18" s="51" t="n"/>
      <c r="X18" s="51" t="n"/>
      <c r="Y18" s="51" t="n"/>
      <c r="Z18" s="51" t="n"/>
      <c r="AD18" s="147" t="n"/>
      <c r="AE18" s="45" t="n"/>
      <c r="AF18" s="51" t="n"/>
      <c r="AH18" s="51" t="n"/>
      <c r="AI18" s="51" t="n"/>
      <c r="AJ18" s="51" t="n"/>
      <c r="AN18" s="147" t="n"/>
      <c r="AO18" s="45" t="n"/>
      <c r="AP18" s="51" t="n"/>
      <c r="AR18" s="51" t="n"/>
      <c r="AS18" s="51" t="n"/>
      <c r="AT18" s="51" t="n"/>
      <c r="AX18" s="147" t="n"/>
    </row>
    <row r="19" ht="15.45" customFormat="1" customHeight="1" s="36">
      <c r="A19" s="148" t="n"/>
      <c r="B19" s="886" t="n"/>
      <c r="C19" s="886" t="n"/>
      <c r="D19" s="886" t="n"/>
      <c r="E19" s="144" t="n"/>
      <c r="F19" s="144" t="n"/>
      <c r="G19" s="144" t="n"/>
      <c r="I19" s="886" t="n"/>
      <c r="J19" s="886" t="n"/>
      <c r="K19" s="886" t="n"/>
      <c r="L19" s="150" t="n"/>
      <c r="M19" s="150" t="n"/>
      <c r="N19" s="150" t="n"/>
      <c r="R19" s="149" t="n"/>
      <c r="U19" s="45" t="n"/>
      <c r="V19" s="52" t="inlineStr">
        <is>
          <t>Coeficientes ecuacion polinomio corregido :</t>
        </is>
      </c>
      <c r="X19" s="51" t="n"/>
      <c r="Y19" s="51" t="n"/>
      <c r="Z19" s="51" t="n"/>
      <c r="AD19" s="147" t="n"/>
      <c r="AE19" s="45" t="n"/>
      <c r="AF19" s="52" t="inlineStr">
        <is>
          <t>Coeficientes ecuacion polinomio corregido :</t>
        </is>
      </c>
      <c r="AH19" s="51" t="n"/>
      <c r="AI19" s="51" t="n"/>
      <c r="AJ19" s="51" t="n"/>
      <c r="AN19" s="147" t="n"/>
      <c r="AO19" s="45" t="n"/>
      <c r="AP19" s="52" t="inlineStr">
        <is>
          <t>Coeficientes ecuacion polinomio corregido :</t>
        </is>
      </c>
      <c r="AR19" s="51" t="n"/>
      <c r="AS19" s="51" t="n"/>
      <c r="AT19" s="51" t="n"/>
      <c r="AX19" s="147" t="n"/>
    </row>
    <row r="20" ht="15.45" customFormat="1" customHeight="1" s="36">
      <c r="A20" s="148" t="n"/>
      <c r="B20" s="886" t="n"/>
      <c r="C20" s="886" t="n"/>
      <c r="D20" s="886" t="n"/>
      <c r="E20" s="144" t="n"/>
      <c r="F20" s="144" t="n"/>
      <c r="G20" s="144" t="n"/>
      <c r="I20" s="886" t="n"/>
      <c r="J20" s="886" t="n"/>
      <c r="K20" s="886" t="n"/>
      <c r="L20" s="152" t="n"/>
      <c r="M20" s="152" t="n"/>
      <c r="N20" s="152" t="n"/>
      <c r="R20" s="149" t="n"/>
      <c r="U20" s="892" t="inlineStr">
        <is>
          <t>x5</t>
        </is>
      </c>
      <c r="V20" s="315" t="inlineStr">
        <is>
          <t>x4</t>
        </is>
      </c>
      <c r="W20" s="315" t="inlineStr">
        <is>
          <t>x3</t>
        </is>
      </c>
      <c r="X20" s="315" t="inlineStr">
        <is>
          <t>x2</t>
        </is>
      </c>
      <c r="Y20" s="315" t="inlineStr">
        <is>
          <t>x</t>
        </is>
      </c>
      <c r="Z20" s="315" t="inlineStr">
        <is>
          <t>Cte.</t>
        </is>
      </c>
      <c r="AD20" s="147" t="n"/>
      <c r="AE20" s="892" t="inlineStr">
        <is>
          <t>x5</t>
        </is>
      </c>
      <c r="AF20" s="315" t="inlineStr">
        <is>
          <t>x4</t>
        </is>
      </c>
      <c r="AG20" s="315" t="inlineStr">
        <is>
          <t>x3</t>
        </is>
      </c>
      <c r="AH20" s="315" t="inlineStr">
        <is>
          <t>x2</t>
        </is>
      </c>
      <c r="AI20" s="315" t="inlineStr">
        <is>
          <t>x</t>
        </is>
      </c>
      <c r="AJ20" s="315" t="inlineStr">
        <is>
          <t>Cte.</t>
        </is>
      </c>
      <c r="AN20" s="147" t="n"/>
      <c r="AO20" s="892" t="inlineStr">
        <is>
          <t>x5</t>
        </is>
      </c>
      <c r="AP20" s="315" t="inlineStr">
        <is>
          <t>x4</t>
        </is>
      </c>
      <c r="AQ20" s="315" t="inlineStr">
        <is>
          <t>x3</t>
        </is>
      </c>
      <c r="AR20" s="315" t="inlineStr">
        <is>
          <t>x2</t>
        </is>
      </c>
      <c r="AS20" s="315" t="inlineStr">
        <is>
          <t>x</t>
        </is>
      </c>
      <c r="AT20" s="315" t="inlineStr">
        <is>
          <t>Cte.</t>
        </is>
      </c>
      <c r="AX20" s="147" t="n"/>
    </row>
    <row r="21" ht="15.45" customFormat="1" customHeight="1" s="36">
      <c r="A21" s="148" t="n"/>
      <c r="B21" s="886" t="n"/>
      <c r="C21" s="886" t="n"/>
      <c r="D21" s="886" t="n"/>
      <c r="E21" s="153" t="n"/>
      <c r="F21" s="153" t="n"/>
      <c r="G21" s="153" t="n"/>
      <c r="I21" s="886" t="n"/>
      <c r="J21" s="886" t="n"/>
      <c r="K21" s="886" t="n"/>
      <c r="L21" s="154" t="n"/>
      <c r="M21" s="154" t="n"/>
      <c r="N21" s="154" t="n"/>
      <c r="R21" s="149" t="n"/>
      <c r="U21" s="388" t="n"/>
      <c r="V21" s="389" t="n">
        <v>0</v>
      </c>
      <c r="W21" s="390">
        <f>+AB45</f>
        <v/>
      </c>
      <c r="X21" s="390">
        <f>+AB44</f>
        <v/>
      </c>
      <c r="Y21" s="391">
        <f>+AB43</f>
        <v/>
      </c>
      <c r="Z21" s="393">
        <f>+AB42</f>
        <v/>
      </c>
      <c r="AD21" s="147" t="n"/>
      <c r="AE21" s="388" t="n"/>
      <c r="AF21" s="389" t="n">
        <v>0</v>
      </c>
      <c r="AG21" s="390">
        <f>+AL45</f>
        <v/>
      </c>
      <c r="AH21" s="393">
        <f>+AL44</f>
        <v/>
      </c>
      <c r="AI21" s="391">
        <f>+AL43</f>
        <v/>
      </c>
      <c r="AJ21" s="392">
        <f>+AL42</f>
        <v/>
      </c>
      <c r="AN21" s="147" t="n"/>
      <c r="AO21" s="388" t="n"/>
      <c r="AP21" s="389" t="n">
        <v>0</v>
      </c>
      <c r="AQ21" s="390">
        <f>+AV45</f>
        <v/>
      </c>
      <c r="AR21" s="390">
        <f>+AV44</f>
        <v/>
      </c>
      <c r="AS21" s="391">
        <f>+AV43</f>
        <v/>
      </c>
      <c r="AT21" s="392">
        <f>+AV42</f>
        <v/>
      </c>
      <c r="AX21" s="147" t="n"/>
    </row>
    <row r="22" ht="15.45" customFormat="1" customHeight="1" s="36">
      <c r="A22" s="155" t="n"/>
      <c r="R22" s="149" t="n"/>
      <c r="U22" s="156" t="n"/>
      <c r="Z22" s="46" t="n"/>
      <c r="AD22" s="147" t="n"/>
      <c r="AE22" s="156" t="n"/>
      <c r="AJ22" s="46" t="n"/>
      <c r="AN22" s="147" t="n"/>
      <c r="AO22" s="156" t="n"/>
      <c r="AT22" s="46" t="n"/>
      <c r="AX22" s="147" t="n"/>
    </row>
    <row r="23" ht="15.45" customFormat="1" customHeight="1" s="36">
      <c r="A23" s="157" t="n"/>
      <c r="B23" s="35" t="n"/>
      <c r="C23" s="35" t="n"/>
      <c r="D23" s="35" t="n"/>
      <c r="E23" s="35" t="n"/>
      <c r="F23" s="35" t="n"/>
      <c r="G23" s="35" t="n"/>
      <c r="H23" s="35" t="n"/>
      <c r="I23" s="35" t="n"/>
      <c r="R23" s="149" t="n"/>
      <c r="U23" s="156" t="n"/>
      <c r="W23" s="46" t="n"/>
      <c r="X23" s="46" t="n"/>
      <c r="Y23" s="57" t="inlineStr">
        <is>
          <t>x=penetracion</t>
        </is>
      </c>
      <c r="Z23" s="57" t="inlineStr">
        <is>
          <t>y= tensiòn</t>
        </is>
      </c>
      <c r="AD23" s="147" t="n"/>
      <c r="AE23" s="156" t="n"/>
      <c r="AG23" s="46" t="n"/>
      <c r="AH23" s="46" t="n"/>
      <c r="AI23" s="57" t="inlineStr">
        <is>
          <t>x=penetracion</t>
        </is>
      </c>
      <c r="AJ23" s="57" t="inlineStr">
        <is>
          <t>y= tensiòn</t>
        </is>
      </c>
      <c r="AN23" s="147" t="n"/>
      <c r="AO23" s="156" t="n"/>
      <c r="AQ23" s="46" t="n"/>
      <c r="AR23" s="46" t="n"/>
      <c r="AS23" s="57" t="inlineStr">
        <is>
          <t>x=penetracion</t>
        </is>
      </c>
      <c r="AT23" s="57" t="inlineStr">
        <is>
          <t>y= tensiòn</t>
        </is>
      </c>
      <c r="AX23" s="147" t="n"/>
    </row>
    <row r="24" ht="15.45" customFormat="1" customHeight="1" s="36">
      <c r="A24" s="158" t="n"/>
      <c r="B24" s="159" t="n"/>
      <c r="C24" s="159" t="n"/>
      <c r="D24" s="159" t="n"/>
      <c r="E24" s="159" t="n"/>
      <c r="F24" s="160" t="n"/>
      <c r="G24" s="160" t="n"/>
      <c r="H24" s="159" t="n"/>
      <c r="I24" s="159" t="n"/>
      <c r="R24" s="149" t="n"/>
      <c r="U24" s="156" t="n"/>
      <c r="W24" s="60" t="inlineStr">
        <is>
          <t>Carga para 0.1":</t>
        </is>
      </c>
      <c r="X24" s="61" t="n"/>
      <c r="Y24" s="58">
        <f>IF(Y11="SI",0.1+Y16,0.1)</f>
        <v/>
      </c>
      <c r="Z24" s="59">
        <f>$U$21*Y24^5+$V$21*Y24^4+$W$21*Y24^3+$X$21*Y24^2+$Y$21*Y24+$Z$21</f>
        <v/>
      </c>
      <c r="AD24" s="147" t="n"/>
      <c r="AE24" s="156" t="n"/>
      <c r="AG24" s="60" t="inlineStr">
        <is>
          <t>Carga para 0.1":</t>
        </is>
      </c>
      <c r="AH24" s="61" t="n"/>
      <c r="AI24" s="58">
        <f>IF(AI11="SI",0.1+AI16,0.1)</f>
        <v/>
      </c>
      <c r="AJ24" s="59">
        <f>$AE$21*AI24^5+$AF$21*AI24^4+$AG$21*AI24^3+$AH$21*AI24^2+$AI$21*AI24+$AJ$21</f>
        <v/>
      </c>
      <c r="AN24" s="147" t="n"/>
      <c r="AO24" s="156" t="n"/>
      <c r="AQ24" s="60" t="inlineStr">
        <is>
          <t>Carga para 0.1":</t>
        </is>
      </c>
      <c r="AR24" s="61" t="n"/>
      <c r="AS24" s="58">
        <f>IF(AS11="SI",0.1+AS16,0.1)</f>
        <v/>
      </c>
      <c r="AT24" s="59">
        <f>$AO$21*AS24^5+$AP$21*AS24^4+$AQ$21*AS24^3+$AR$21*AS24^2+$AS$21*AS24+$AT$21</f>
        <v/>
      </c>
      <c r="AX24" s="147" t="n"/>
    </row>
    <row r="25" ht="15.45" customFormat="1" customHeight="1" s="36">
      <c r="A25" s="158" t="n"/>
      <c r="B25" s="159" t="n"/>
      <c r="C25" s="159" t="n"/>
      <c r="D25" s="159" t="n"/>
      <c r="E25" s="159" t="n"/>
      <c r="F25" s="159" t="n"/>
      <c r="G25" s="159" t="n"/>
      <c r="H25" s="159" t="n"/>
      <c r="I25" s="159" t="n"/>
      <c r="K25" s="985" t="n"/>
      <c r="L25" s="984" t="n"/>
      <c r="M25" s="984" t="n"/>
      <c r="N25" s="984" t="n"/>
      <c r="R25" s="149" t="n"/>
      <c r="U25" s="156" t="n"/>
      <c r="W25" s="60" t="inlineStr">
        <is>
          <t>Carga para 0.2":</t>
        </is>
      </c>
      <c r="X25" s="62" t="n"/>
      <c r="Y25" s="58">
        <f>IF(Y11="SI",0.2+Y16,0.2)</f>
        <v/>
      </c>
      <c r="Z25" s="59">
        <f>$U$21*Y25^5+$V$21*Y25^4+$W$21*Y25^3+$X$21*Y25^2+$Y$21*Y25+$Z$21</f>
        <v/>
      </c>
      <c r="AD25" s="147" t="n"/>
      <c r="AE25" s="156" t="n"/>
      <c r="AG25" s="60" t="inlineStr">
        <is>
          <t>Carga para 0.2":</t>
        </is>
      </c>
      <c r="AH25" s="62" t="n"/>
      <c r="AI25" s="58">
        <f>IF(AI11="SI",0.2+AI16,0.2)</f>
        <v/>
      </c>
      <c r="AJ25" s="59">
        <f>$AE$21*AI25^5+$AF$21*AI25^4+$AG$21*AI25^3+$AH$21*AI25^2+$AI$21*AI25+$AJ$21</f>
        <v/>
      </c>
      <c r="AN25" s="147" t="n"/>
      <c r="AO25" s="156" t="n"/>
      <c r="AQ25" s="60" t="inlineStr">
        <is>
          <t>Carga para 0.2":</t>
        </is>
      </c>
      <c r="AR25" s="62" t="n"/>
      <c r="AS25" s="58">
        <f>IF(AS11="SI",0.2+AS16,0.2)</f>
        <v/>
      </c>
      <c r="AT25" s="59">
        <f>$AO$21*AS25^5+$AP$21*AS25^4+$AQ$21*AS25^3+$AR$21*AS25^2+$AS$21*AS25+$AT$21</f>
        <v/>
      </c>
      <c r="AX25" s="147" t="n"/>
    </row>
    <row r="26" ht="15.45" customFormat="1" customHeight="1" s="36" thickBot="1">
      <c r="A26" s="158" t="n"/>
      <c r="B26" s="159" t="n"/>
      <c r="C26" s="159" t="n"/>
      <c r="D26" s="159" t="n"/>
      <c r="E26" s="159" t="n"/>
      <c r="F26" s="159" t="n"/>
      <c r="G26" s="159" t="n"/>
      <c r="H26" s="159" t="n"/>
      <c r="I26" s="159" t="n"/>
      <c r="K26" s="984" t="n"/>
      <c r="L26" s="984" t="n"/>
      <c r="M26" s="984" t="n"/>
      <c r="N26" s="984" t="n"/>
      <c r="R26" s="149" t="n"/>
      <c r="U26" s="328" t="n"/>
      <c r="V26" s="329" t="n"/>
      <c r="W26" s="329" t="n"/>
      <c r="X26" s="329" t="n"/>
      <c r="Y26" s="329" t="n"/>
      <c r="Z26" s="330" t="n"/>
      <c r="AA26" s="329" t="n"/>
      <c r="AB26" s="329" t="n"/>
      <c r="AC26" s="329" t="n"/>
      <c r="AD26" s="331" t="n"/>
      <c r="AE26" s="328" t="n"/>
      <c r="AF26" s="329" t="n"/>
      <c r="AG26" s="329" t="n"/>
      <c r="AH26" s="329" t="n"/>
      <c r="AI26" s="329" t="n"/>
      <c r="AJ26" s="330" t="n"/>
      <c r="AK26" s="329" t="n"/>
      <c r="AL26" s="329" t="n"/>
      <c r="AM26" s="329" t="n"/>
      <c r="AN26" s="331" t="n"/>
      <c r="AO26" s="328" t="n"/>
      <c r="AP26" s="329" t="n"/>
      <c r="AQ26" s="329" t="n"/>
      <c r="AR26" s="329" t="n"/>
      <c r="AS26" s="329" t="n"/>
      <c r="AT26" s="330" t="n"/>
      <c r="AU26" s="329" t="n"/>
      <c r="AV26" s="329" t="n"/>
      <c r="AW26" s="329" t="n"/>
      <c r="AX26" s="331" t="n"/>
    </row>
    <row r="27" ht="15.45" customFormat="1" customHeight="1" s="36">
      <c r="A27" s="161" t="n"/>
      <c r="B27" s="144" t="n"/>
      <c r="C27" s="162" t="n"/>
      <c r="D27" s="162" t="n"/>
      <c r="E27" s="162" t="n"/>
      <c r="F27" s="162" t="n"/>
      <c r="G27" s="162" t="n"/>
      <c r="H27" s="144" t="n"/>
      <c r="I27" s="162" t="n"/>
      <c r="K27" s="163" t="n"/>
      <c r="L27" s="163" t="n"/>
      <c r="M27" s="163" t="n"/>
      <c r="N27" s="163" t="n"/>
      <c r="R27" s="149" t="n"/>
      <c r="U27" s="884" t="inlineStr">
        <is>
          <t>X (in.)</t>
        </is>
      </c>
      <c r="V27" s="893" t="inlineStr">
        <is>
          <t>Y Esfuerzo lbf/in2</t>
        </is>
      </c>
      <c r="W27" s="326" t="n"/>
      <c r="X27" s="326" t="n"/>
      <c r="Y27" s="326" t="n"/>
      <c r="Z27" s="326" t="n"/>
      <c r="AA27" s="374" t="n"/>
      <c r="AB27" s="374" t="n"/>
      <c r="AC27" s="375" t="n"/>
      <c r="AD27" s="376" t="n"/>
      <c r="AE27" s="884" t="inlineStr">
        <is>
          <t>X (in.)</t>
        </is>
      </c>
      <c r="AF27" s="893" t="inlineStr">
        <is>
          <t>Y Esfuerzo lbf/in2</t>
        </is>
      </c>
      <c r="AG27" s="326" t="n"/>
      <c r="AH27" s="326" t="n"/>
      <c r="AI27" s="326" t="n"/>
      <c r="AJ27" s="326" t="n"/>
      <c r="AK27" s="374" t="n"/>
      <c r="AL27" s="374" t="n"/>
      <c r="AM27" s="375" t="n"/>
      <c r="AN27" s="376" t="n"/>
      <c r="AO27" s="884" t="inlineStr">
        <is>
          <t>X (in.)</t>
        </is>
      </c>
      <c r="AP27" s="893" t="inlineStr">
        <is>
          <t>Y Esfuerzo lbf/in2</t>
        </is>
      </c>
      <c r="AQ27" s="326" t="n"/>
      <c r="AR27" s="326" t="n"/>
      <c r="AS27" s="326" t="n"/>
      <c r="AT27" s="326" t="n"/>
      <c r="AU27" s="374" t="n"/>
      <c r="AV27" s="374" t="n"/>
      <c r="AW27" s="375" t="n"/>
      <c r="AX27" s="376" t="n"/>
    </row>
    <row r="28" ht="18" customFormat="1" customHeight="1" s="36">
      <c r="A28" s="240" t="inlineStr">
        <is>
          <t>C.B.R. (0.10 in) 56 Golpes (%):</t>
        </is>
      </c>
      <c r="B28" s="153" t="n"/>
      <c r="C28" s="153" t="n"/>
      <c r="D28" s="153" t="n"/>
      <c r="E28" s="162">
        <f>+W55</f>
        <v/>
      </c>
      <c r="F28" s="153" t="n"/>
      <c r="G28" s="162" t="n"/>
      <c r="I28" s="241" t="inlineStr">
        <is>
          <t>C.B.R. (0.10 in) 25 Golpes (%):</t>
        </is>
      </c>
      <c r="L28" s="162">
        <f>+Z55</f>
        <v/>
      </c>
      <c r="N28" s="241" t="inlineStr">
        <is>
          <t>C.B.R. (0.10 in) 10 Golpes (%):</t>
        </is>
      </c>
      <c r="O28" s="153" t="n"/>
      <c r="Q28" s="162">
        <f>+AC55</f>
        <v/>
      </c>
      <c r="R28" s="149" t="n"/>
      <c r="S28" s="36" t="inlineStr">
        <is>
          <t>AL 1%</t>
        </is>
      </c>
      <c r="U28" s="885" t="n"/>
      <c r="V28" s="894" t="n"/>
      <c r="W28" s="320" t="inlineStr">
        <is>
          <t>Xi2</t>
        </is>
      </c>
      <c r="X28" s="320" t="inlineStr">
        <is>
          <t>Xi3</t>
        </is>
      </c>
      <c r="Y28" s="320" t="inlineStr">
        <is>
          <t>Xi4</t>
        </is>
      </c>
      <c r="Z28" s="320" t="inlineStr">
        <is>
          <t>Xi5</t>
        </is>
      </c>
      <c r="AA28" s="320" t="inlineStr">
        <is>
          <t>Xi6</t>
        </is>
      </c>
      <c r="AB28" s="320" t="inlineStr">
        <is>
          <t>XiYi</t>
        </is>
      </c>
      <c r="AC28" s="320" t="inlineStr">
        <is>
          <t>Xi2Yi</t>
        </is>
      </c>
      <c r="AD28" s="377" t="inlineStr">
        <is>
          <t>Xi3Yi</t>
        </is>
      </c>
      <c r="AE28" s="885" t="n"/>
      <c r="AF28" s="894" t="n"/>
      <c r="AG28" s="320" t="inlineStr">
        <is>
          <t>Xi2</t>
        </is>
      </c>
      <c r="AH28" s="320" t="inlineStr">
        <is>
          <t>Xi3</t>
        </is>
      </c>
      <c r="AI28" s="320" t="inlineStr">
        <is>
          <t>Xi4</t>
        </is>
      </c>
      <c r="AJ28" s="320" t="inlineStr">
        <is>
          <t>Xi5</t>
        </is>
      </c>
      <c r="AK28" s="320" t="inlineStr">
        <is>
          <t>Xi6</t>
        </is>
      </c>
      <c r="AL28" s="320" t="inlineStr">
        <is>
          <t>XiYi</t>
        </is>
      </c>
      <c r="AM28" s="320" t="inlineStr">
        <is>
          <t>Xi2Yi</t>
        </is>
      </c>
      <c r="AN28" s="377" t="inlineStr">
        <is>
          <t>Xi3Yi</t>
        </is>
      </c>
      <c r="AO28" s="885" t="n"/>
      <c r="AP28" s="894" t="n"/>
      <c r="AQ28" s="320" t="inlineStr">
        <is>
          <t>Xi2</t>
        </is>
      </c>
      <c r="AR28" s="320" t="inlineStr">
        <is>
          <t>Xi3</t>
        </is>
      </c>
      <c r="AS28" s="320" t="inlineStr">
        <is>
          <t>Xi4</t>
        </is>
      </c>
      <c r="AT28" s="320" t="inlineStr">
        <is>
          <t>Xi5</t>
        </is>
      </c>
      <c r="AU28" s="320" t="inlineStr">
        <is>
          <t>Xi6</t>
        </is>
      </c>
      <c r="AV28" s="320" t="inlineStr">
        <is>
          <t>XiYi</t>
        </is>
      </c>
      <c r="AW28" s="320" t="inlineStr">
        <is>
          <t>Xi2Yi</t>
        </is>
      </c>
      <c r="AX28" s="377" t="inlineStr">
        <is>
          <t>Xi3Yi</t>
        </is>
      </c>
    </row>
    <row r="29" ht="15.45" customFormat="1" customHeight="1" s="36">
      <c r="A29" s="240" t="inlineStr">
        <is>
          <t>C.B.R. (0.20 in) 56 Golpes (%):</t>
        </is>
      </c>
      <c r="B29" s="153" t="n"/>
      <c r="C29" s="153" t="n"/>
      <c r="D29" s="153" t="n"/>
      <c r="E29" s="162">
        <f>+W56</f>
        <v/>
      </c>
      <c r="F29" s="153" t="n"/>
      <c r="G29" s="162" t="n"/>
      <c r="I29" s="241" t="inlineStr">
        <is>
          <t>C.B.R. (0.20 in) 25 Golpes (%):</t>
        </is>
      </c>
      <c r="L29" s="162">
        <f>+Z56</f>
        <v/>
      </c>
      <c r="N29" s="241" t="inlineStr">
        <is>
          <t>C.B.R. (0.20 in) 10 Golpes (%):</t>
        </is>
      </c>
      <c r="O29" s="153" t="n"/>
      <c r="Q29" s="162">
        <f>+AC56</f>
        <v/>
      </c>
      <c r="R29" s="149" t="n"/>
      <c r="S29" s="36" t="inlineStr">
        <is>
          <t>AL 1%</t>
        </is>
      </c>
      <c r="U29" s="164">
        <f>IF(Y11="SI",Y16,0)</f>
        <v/>
      </c>
      <c r="V29" s="165">
        <f>+Y15</f>
        <v/>
      </c>
      <c r="W29" s="322">
        <f>IF(U29="","",U29^2)</f>
        <v/>
      </c>
      <c r="X29" s="322">
        <f>IF(U29="","",U29^3)</f>
        <v/>
      </c>
      <c r="Y29" s="322">
        <f>IF(U29="","",U29^4)</f>
        <v/>
      </c>
      <c r="Z29" s="322">
        <f>IF(U29="","",U29^5)</f>
        <v/>
      </c>
      <c r="AA29" s="322">
        <f>IF(U29="","",U29^6)</f>
        <v/>
      </c>
      <c r="AB29" s="322">
        <f>IF(U29="","",U29*V29)</f>
        <v/>
      </c>
      <c r="AC29" s="322">
        <f>IF(U29="","",U29^2*V29)</f>
        <v/>
      </c>
      <c r="AD29" s="378">
        <f>IF(U29="","",U29^3*V29)</f>
        <v/>
      </c>
      <c r="AE29" s="164">
        <f>IF(AI11="SI",AI16,0)</f>
        <v/>
      </c>
      <c r="AF29" s="165">
        <f>+AI15</f>
        <v/>
      </c>
      <c r="AG29" s="322">
        <f>IF(AE29="","",AE29^2)</f>
        <v/>
      </c>
      <c r="AH29" s="322">
        <f>IF(AE29="","",AE29^3)</f>
        <v/>
      </c>
      <c r="AI29" s="322">
        <f>IF(AE29="","",AE29^4)</f>
        <v/>
      </c>
      <c r="AJ29" s="322">
        <f>IF(AE29="","",AE29^5)</f>
        <v/>
      </c>
      <c r="AK29" s="322">
        <f>IF(AE29="","",AE29^6)</f>
        <v/>
      </c>
      <c r="AL29" s="322">
        <f>IF(AE29="","",AE29*AF29)</f>
        <v/>
      </c>
      <c r="AM29" s="322">
        <f>IF(AE29="","",AE29^2*AF29)</f>
        <v/>
      </c>
      <c r="AN29" s="378">
        <f>IF(AE29="","",AE29^3*AF29)</f>
        <v/>
      </c>
      <c r="AO29" s="164">
        <f>IF(AS11="SI",AS16,0)</f>
        <v/>
      </c>
      <c r="AP29" s="165">
        <f>+AS15</f>
        <v/>
      </c>
      <c r="AQ29" s="322">
        <f>IF(AO29="","",AO29^2)</f>
        <v/>
      </c>
      <c r="AR29" s="322">
        <f>IF(AO29="","",AO29^3)</f>
        <v/>
      </c>
      <c r="AS29" s="322">
        <f>IF(AO29="","",AO29^4)</f>
        <v/>
      </c>
      <c r="AT29" s="322">
        <f>IF(AO29="","",AO29^5)</f>
        <v/>
      </c>
      <c r="AU29" s="322">
        <f>IF(AO29="","",AO29^6)</f>
        <v/>
      </c>
      <c r="AV29" s="322">
        <f>IF(AO29="","",AO29*AP29)</f>
        <v/>
      </c>
      <c r="AW29" s="322">
        <f>IF(AO29="","",AO29^2*AP29)</f>
        <v/>
      </c>
      <c r="AX29" s="378">
        <f>IF(AO29="","",AO29^3*AP29)</f>
        <v/>
      </c>
    </row>
    <row r="30" ht="15.45" customHeight="1">
      <c r="A30" s="240" t="inlineStr">
        <is>
          <t>Peso unitario seco (kN/m3) :</t>
        </is>
      </c>
      <c r="B30" s="153" t="n"/>
      <c r="C30" s="153" t="n"/>
      <c r="D30" s="153" t="n"/>
      <c r="E30" s="152">
        <f>+DATOS!E24</f>
        <v/>
      </c>
      <c r="F30" s="153" t="n"/>
      <c r="G30" s="162" t="n"/>
      <c r="I30" s="241" t="inlineStr">
        <is>
          <t>Peso unitario seco (kN/m3) :</t>
        </is>
      </c>
      <c r="J30" s="36" t="n"/>
      <c r="L30" s="150">
        <f>+DATOS!I24</f>
        <v/>
      </c>
      <c r="N30" s="241" t="inlineStr">
        <is>
          <t>Peso unitario seco (kN/m3) :</t>
        </is>
      </c>
      <c r="O30" s="153" t="n"/>
      <c r="Q30" s="150">
        <f>+DATOS!M24</f>
        <v/>
      </c>
      <c r="R30" s="149" t="n"/>
      <c r="S30" s="36" t="inlineStr">
        <is>
          <t>4 CIFRAS</t>
        </is>
      </c>
      <c r="U30" s="295">
        <f>+DATOS!A45</f>
        <v/>
      </c>
      <c r="V30" s="296">
        <f>+DATOS!G45</f>
        <v/>
      </c>
      <c r="W30" s="322">
        <f>IF(U30="","",U30^2)</f>
        <v/>
      </c>
      <c r="X30" s="322">
        <f>IF(U30="","",U30^3)</f>
        <v/>
      </c>
      <c r="Y30" s="322">
        <f>IF(U30="","",U30^4)</f>
        <v/>
      </c>
      <c r="Z30" s="322">
        <f>IF(U30="","",U30^5)</f>
        <v/>
      </c>
      <c r="AA30" s="322">
        <f>IF(U30="","",U30^6)</f>
        <v/>
      </c>
      <c r="AB30" s="322">
        <f>IF(U30="","",U30*V30)</f>
        <v/>
      </c>
      <c r="AC30" s="322">
        <f>IF(U30="","",U30^2*V30)</f>
        <v/>
      </c>
      <c r="AD30" s="378">
        <f>IF(U30="","",U30^3*V30)</f>
        <v/>
      </c>
      <c r="AE30" s="295">
        <f>+DATOS!A45</f>
        <v/>
      </c>
      <c r="AF30" s="296">
        <f>+DATOS!K45</f>
        <v/>
      </c>
      <c r="AG30" s="322">
        <f>IF(AE30="","",AE30^2)</f>
        <v/>
      </c>
      <c r="AH30" s="322">
        <f>IF(AE30="","",AE30^3)</f>
        <v/>
      </c>
      <c r="AI30" s="322">
        <f>IF(AE30="","",AE30^4)</f>
        <v/>
      </c>
      <c r="AJ30" s="322">
        <f>IF(AE30="","",AE30^5)</f>
        <v/>
      </c>
      <c r="AK30" s="322">
        <f>IF(AE30="","",AE30^6)</f>
        <v/>
      </c>
      <c r="AL30" s="322">
        <f>IF(AE30="","",AE30*AF30)</f>
        <v/>
      </c>
      <c r="AM30" s="322">
        <f>IF(AE30="","",AE30^2*AF30)</f>
        <v/>
      </c>
      <c r="AN30" s="378">
        <f>IF(AE30="","",AE30^3*AF30)</f>
        <v/>
      </c>
      <c r="AO30" s="295">
        <f>+DATOS!A45</f>
        <v/>
      </c>
      <c r="AP30" s="296">
        <f>+DATOS!O45</f>
        <v/>
      </c>
      <c r="AQ30" s="322">
        <f>IF(AO30="","",AO30^2)</f>
        <v/>
      </c>
      <c r="AR30" s="322">
        <f>IF(AO30="","",AO30^3)</f>
        <v/>
      </c>
      <c r="AS30" s="322">
        <f>IF(AO30="","",AO30^4)</f>
        <v/>
      </c>
      <c r="AT30" s="322">
        <f>IF(AO30="","",AO30^5)</f>
        <v/>
      </c>
      <c r="AU30" s="322">
        <f>IF(AO30="","",AO30^6)</f>
        <v/>
      </c>
      <c r="AV30" s="322">
        <f>IF(AO30="","",AO30*AP30)</f>
        <v/>
      </c>
      <c r="AW30" s="322">
        <f>IF(AO30="","",AO30^2*AP30)</f>
        <v/>
      </c>
      <c r="AX30" s="378">
        <f>IF(AO30="","",AO30^3*AP30)</f>
        <v/>
      </c>
    </row>
    <row r="31" ht="15.45" customHeight="1">
      <c r="A31" s="166" t="n"/>
      <c r="B31" s="167" t="n"/>
      <c r="C31" s="167" t="n"/>
      <c r="D31" s="167" t="n"/>
      <c r="E31" s="167" t="n"/>
      <c r="F31" s="167" t="n"/>
      <c r="G31" s="167" t="n"/>
      <c r="H31" s="167" t="n"/>
      <c r="I31" s="167" t="n"/>
      <c r="J31" s="167" t="n"/>
      <c r="K31" s="168" t="n"/>
      <c r="L31" s="168" t="n"/>
      <c r="M31" s="168" t="n"/>
      <c r="N31" s="168" t="n"/>
      <c r="O31" s="168" t="n"/>
      <c r="P31" s="168" t="n"/>
      <c r="Q31" s="168" t="n"/>
      <c r="R31" s="146" t="n"/>
      <c r="U31" s="295">
        <f>+DATOS!A46</f>
        <v/>
      </c>
      <c r="V31" s="296">
        <f>+DATOS!G46</f>
        <v/>
      </c>
      <c r="W31" s="322">
        <f>IF(U31="","",U31^2)</f>
        <v/>
      </c>
      <c r="X31" s="322">
        <f>IF(U31="","",U31^3)</f>
        <v/>
      </c>
      <c r="Y31" s="322">
        <f>IF(U31="","",U31^4)</f>
        <v/>
      </c>
      <c r="Z31" s="322">
        <f>IF(U31="","",U31^5)</f>
        <v/>
      </c>
      <c r="AA31" s="322">
        <f>IF(U31="","",U31^6)</f>
        <v/>
      </c>
      <c r="AB31" s="322">
        <f>IF(U31="","",U31*V31)</f>
        <v/>
      </c>
      <c r="AC31" s="322">
        <f>IF(U31="","",U31^2*V31)</f>
        <v/>
      </c>
      <c r="AD31" s="378">
        <f>IF(U31="","",U31^3*V31)</f>
        <v/>
      </c>
      <c r="AE31" s="295">
        <f>+DATOS!A46</f>
        <v/>
      </c>
      <c r="AF31" s="296">
        <f>+DATOS!K46</f>
        <v/>
      </c>
      <c r="AG31" s="322">
        <f>IF(AE31="","",AE31^2)</f>
        <v/>
      </c>
      <c r="AH31" s="322">
        <f>IF(AE31="","",AE31^3)</f>
        <v/>
      </c>
      <c r="AI31" s="322">
        <f>IF(AE31="","",AE31^4)</f>
        <v/>
      </c>
      <c r="AJ31" s="322">
        <f>IF(AE31="","",AE31^5)</f>
        <v/>
      </c>
      <c r="AK31" s="322">
        <f>IF(AE31="","",AE31^6)</f>
        <v/>
      </c>
      <c r="AL31" s="322">
        <f>IF(AE31="","",AE31*AF31)</f>
        <v/>
      </c>
      <c r="AM31" s="322">
        <f>IF(AE31="","",AE31^2*AF31)</f>
        <v/>
      </c>
      <c r="AN31" s="378">
        <f>IF(AE31="","",AE31^3*AF31)</f>
        <v/>
      </c>
      <c r="AO31" s="295">
        <f>+DATOS!A46</f>
        <v/>
      </c>
      <c r="AP31" s="296">
        <f>+DATOS!O46</f>
        <v/>
      </c>
      <c r="AQ31" s="322">
        <f>IF(AO31="","",AO31^2)</f>
        <v/>
      </c>
      <c r="AR31" s="322">
        <f>IF(AO31="","",AO31^3)</f>
        <v/>
      </c>
      <c r="AS31" s="322">
        <f>IF(AO31="","",AO31^4)</f>
        <v/>
      </c>
      <c r="AT31" s="322">
        <f>IF(AO31="","",AO31^5)</f>
        <v/>
      </c>
      <c r="AU31" s="322">
        <f>IF(AO31="","",AO31^6)</f>
        <v/>
      </c>
      <c r="AV31" s="322">
        <f>IF(AO31="","",AO31*AP31)</f>
        <v/>
      </c>
      <c r="AW31" s="322">
        <f>IF(AO31="","",AO31^2*AP31)</f>
        <v/>
      </c>
      <c r="AX31" s="378">
        <f>IF(AO31="","",AO31^3*AP31)</f>
        <v/>
      </c>
    </row>
    <row r="32" ht="21.75" customHeight="1" thickBot="1">
      <c r="A32" s="882" t="n"/>
      <c r="K32" s="169" t="n"/>
      <c r="R32" s="146" t="n"/>
      <c r="U32" s="295">
        <f>+DATOS!A47</f>
        <v/>
      </c>
      <c r="V32" s="296">
        <f>+DATOS!G47</f>
        <v/>
      </c>
      <c r="W32" s="322">
        <f>IF(U32="","",U32^2)</f>
        <v/>
      </c>
      <c r="X32" s="322">
        <f>IF(U32="","",U32^3)</f>
        <v/>
      </c>
      <c r="Y32" s="322">
        <f>IF(U32="","",U32^4)</f>
        <v/>
      </c>
      <c r="Z32" s="322">
        <f>IF(U32="","",U32^5)</f>
        <v/>
      </c>
      <c r="AA32" s="322">
        <f>IF(U32="","",U32^6)</f>
        <v/>
      </c>
      <c r="AB32" s="322">
        <f>IF(U32="","",U32*V32)</f>
        <v/>
      </c>
      <c r="AC32" s="322">
        <f>IF(U32="","",U32^2*V32)</f>
        <v/>
      </c>
      <c r="AD32" s="378">
        <f>IF(U32="","",U32^3*V32)</f>
        <v/>
      </c>
      <c r="AE32" s="295">
        <f>+DATOS!A47</f>
        <v/>
      </c>
      <c r="AF32" s="296">
        <f>+DATOS!K47</f>
        <v/>
      </c>
      <c r="AG32" s="322">
        <f>IF(AE32="","",AE32^2)</f>
        <v/>
      </c>
      <c r="AH32" s="322">
        <f>IF(AE32="","",AE32^3)</f>
        <v/>
      </c>
      <c r="AI32" s="322">
        <f>IF(AE32="","",AE32^4)</f>
        <v/>
      </c>
      <c r="AJ32" s="322">
        <f>IF(AE32="","",AE32^5)</f>
        <v/>
      </c>
      <c r="AK32" s="322">
        <f>IF(AE32="","",AE32^6)</f>
        <v/>
      </c>
      <c r="AL32" s="322">
        <f>IF(AE32="","",AE32*AF32)</f>
        <v/>
      </c>
      <c r="AM32" s="322">
        <f>IF(AE32="","",AE32^2*AF32)</f>
        <v/>
      </c>
      <c r="AN32" s="378">
        <f>IF(AE32="","",AE32^3*AF32)</f>
        <v/>
      </c>
      <c r="AO32" s="295">
        <f>+DATOS!A47</f>
        <v/>
      </c>
      <c r="AP32" s="296">
        <f>+DATOS!O47</f>
        <v/>
      </c>
      <c r="AQ32" s="322">
        <f>IF(AO32="","",AO32^2)</f>
        <v/>
      </c>
      <c r="AR32" s="322">
        <f>IF(AO32="","",AO32^3)</f>
        <v/>
      </c>
      <c r="AS32" s="322">
        <f>IF(AO32="","",AO32^4)</f>
        <v/>
      </c>
      <c r="AT32" s="322">
        <f>IF(AO32="","",AO32^5)</f>
        <v/>
      </c>
      <c r="AU32" s="322">
        <f>IF(AO32="","",AO32^6)</f>
        <v/>
      </c>
      <c r="AV32" s="322">
        <f>IF(AO32="","",AO32*AP32)</f>
        <v/>
      </c>
      <c r="AW32" s="322">
        <f>IF(AO32="","",AO32^2*AP32)</f>
        <v/>
      </c>
      <c r="AX32" s="378">
        <f>IF(AO32="","",AO32^3*AP32)</f>
        <v/>
      </c>
    </row>
    <row r="33" ht="15.45" customHeight="1" thickTop="1">
      <c r="A33" s="882" t="n"/>
      <c r="B33" s="163" t="n"/>
      <c r="C33" s="170" t="n"/>
      <c r="D33" s="170" t="n"/>
      <c r="E33" s="162" t="n"/>
      <c r="F33" s="163" t="n"/>
      <c r="G33" s="162" t="n"/>
      <c r="H33" s="163" t="n"/>
      <c r="I33" s="162" t="n"/>
      <c r="K33" s="171" t="n"/>
      <c r="L33" s="172" t="n"/>
      <c r="M33" s="172" t="n"/>
      <c r="N33" s="173" t="inlineStr">
        <is>
          <t>PESO UNITARIO SECO 100%:</t>
        </is>
      </c>
      <c r="O33" s="174">
        <f>+'INFORME-1'!F25</f>
        <v/>
      </c>
      <c r="P33" s="175" t="inlineStr">
        <is>
          <t>kN/m3</t>
        </is>
      </c>
      <c r="R33" s="146" t="n"/>
      <c r="U33" s="295">
        <f>+DATOS!A48</f>
        <v/>
      </c>
      <c r="V33" s="296">
        <f>+DATOS!G48</f>
        <v/>
      </c>
      <c r="W33" s="322">
        <f>IF(U33="","",U33^2)</f>
        <v/>
      </c>
      <c r="X33" s="322">
        <f>IF(U33="","",U33^3)</f>
        <v/>
      </c>
      <c r="Y33" s="322">
        <f>IF(U33="","",U33^4)</f>
        <v/>
      </c>
      <c r="Z33" s="322">
        <f>IF(U33="","",U33^5)</f>
        <v/>
      </c>
      <c r="AA33" s="322">
        <f>IF(U33="","",U33^6)</f>
        <v/>
      </c>
      <c r="AB33" s="322">
        <f>IF(U33="","",U33*V33)</f>
        <v/>
      </c>
      <c r="AC33" s="322">
        <f>IF(U33="","",U33^2*V33)</f>
        <v/>
      </c>
      <c r="AD33" s="378">
        <f>IF(U33="","",U33^3*V33)</f>
        <v/>
      </c>
      <c r="AE33" s="295">
        <f>+DATOS!A48</f>
        <v/>
      </c>
      <c r="AF33" s="296">
        <f>+DATOS!K48</f>
        <v/>
      </c>
      <c r="AG33" s="322">
        <f>IF(AE33="","",AE33^2)</f>
        <v/>
      </c>
      <c r="AH33" s="322">
        <f>IF(AE33="","",AE33^3)</f>
        <v/>
      </c>
      <c r="AI33" s="322">
        <f>IF(AE33="","",AE33^4)</f>
        <v/>
      </c>
      <c r="AJ33" s="322">
        <f>IF(AE33="","",AE33^5)</f>
        <v/>
      </c>
      <c r="AK33" s="322">
        <f>IF(AE33="","",AE33^6)</f>
        <v/>
      </c>
      <c r="AL33" s="322">
        <f>IF(AE33="","",AE33*AF33)</f>
        <v/>
      </c>
      <c r="AM33" s="322">
        <f>IF(AE33="","",AE33^2*AF33)</f>
        <v/>
      </c>
      <c r="AN33" s="378">
        <f>IF(AE33="","",AE33^3*AF33)</f>
        <v/>
      </c>
      <c r="AO33" s="295">
        <f>+DATOS!A48</f>
        <v/>
      </c>
      <c r="AP33" s="296">
        <f>+DATOS!O48</f>
        <v/>
      </c>
      <c r="AQ33" s="322">
        <f>IF(AO33="","",AO33^2)</f>
        <v/>
      </c>
      <c r="AR33" s="322">
        <f>IF(AO33="","",AO33^3)</f>
        <v/>
      </c>
      <c r="AS33" s="322">
        <f>IF(AO33="","",AO33^4)</f>
        <v/>
      </c>
      <c r="AT33" s="322">
        <f>IF(AO33="","",AO33^5)</f>
        <v/>
      </c>
      <c r="AU33" s="322">
        <f>IF(AO33="","",AO33^6)</f>
        <v/>
      </c>
      <c r="AV33" s="322">
        <f>IF(AO33="","",AO33*AP33)</f>
        <v/>
      </c>
      <c r="AW33" s="322">
        <f>IF(AO33="","",AO33^2*AP33)</f>
        <v/>
      </c>
      <c r="AX33" s="378">
        <f>IF(AO33="","",AO33^3*AP33)</f>
        <v/>
      </c>
    </row>
    <row r="34" ht="15.45" customHeight="1" thickBot="1">
      <c r="A34" s="882" t="n"/>
      <c r="B34" s="163" t="n"/>
      <c r="C34" s="170" t="n"/>
      <c r="D34" s="170" t="n"/>
      <c r="E34" s="162" t="n"/>
      <c r="F34" s="163" t="n"/>
      <c r="G34" s="162" t="n"/>
      <c r="H34" s="163" t="n"/>
      <c r="I34" s="162" t="n"/>
      <c r="K34" s="176" t="n"/>
      <c r="L34" s="177" t="n"/>
      <c r="M34" s="177" t="n"/>
      <c r="N34" s="178" t="inlineStr">
        <is>
          <t>PESO UNITARIO SECO 95%:</t>
        </is>
      </c>
      <c r="O34" s="179">
        <f>+O33*0.95</f>
        <v/>
      </c>
      <c r="P34" s="569" t="inlineStr">
        <is>
          <t>kN/m3</t>
        </is>
      </c>
      <c r="R34" s="146" t="n"/>
      <c r="U34" s="295">
        <f>+DATOS!A49</f>
        <v/>
      </c>
      <c r="V34" s="296">
        <f>+DATOS!G49</f>
        <v/>
      </c>
      <c r="W34" s="322">
        <f>IF(U34="","",U34^2)</f>
        <v/>
      </c>
      <c r="X34" s="322">
        <f>IF(U34="","",U34^3)</f>
        <v/>
      </c>
      <c r="Y34" s="322">
        <f>IF(U34="","",U34^4)</f>
        <v/>
      </c>
      <c r="Z34" s="322">
        <f>IF(U34="","",U34^5)</f>
        <v/>
      </c>
      <c r="AA34" s="322">
        <f>IF(U34="","",U34^6)</f>
        <v/>
      </c>
      <c r="AB34" s="322">
        <f>IF(U34="","",U34*V34)</f>
        <v/>
      </c>
      <c r="AC34" s="322">
        <f>IF(U34="","",U34^2*V34)</f>
        <v/>
      </c>
      <c r="AD34" s="378">
        <f>IF(U34="","",U34^3*V34)</f>
        <v/>
      </c>
      <c r="AE34" s="295">
        <f>+DATOS!A49</f>
        <v/>
      </c>
      <c r="AF34" s="296">
        <f>+DATOS!K49</f>
        <v/>
      </c>
      <c r="AG34" s="322">
        <f>IF(AE34="","",AE34^2)</f>
        <v/>
      </c>
      <c r="AH34" s="322">
        <f>IF(AE34="","",AE34^3)</f>
        <v/>
      </c>
      <c r="AI34" s="322">
        <f>IF(AE34="","",AE34^4)</f>
        <v/>
      </c>
      <c r="AJ34" s="322">
        <f>IF(AE34="","",AE34^5)</f>
        <v/>
      </c>
      <c r="AK34" s="322">
        <f>IF(AE34="","",AE34^6)</f>
        <v/>
      </c>
      <c r="AL34" s="322">
        <f>IF(AE34="","",AE34*AF34)</f>
        <v/>
      </c>
      <c r="AM34" s="322">
        <f>IF(AE34="","",AE34^2*AF34)</f>
        <v/>
      </c>
      <c r="AN34" s="378">
        <f>IF(AE34="","",AE34^3*AF34)</f>
        <v/>
      </c>
      <c r="AO34" s="295">
        <f>+DATOS!A49</f>
        <v/>
      </c>
      <c r="AP34" s="296">
        <f>+DATOS!O49</f>
        <v/>
      </c>
      <c r="AQ34" s="322">
        <f>IF(AO34="","",AO34^2)</f>
        <v/>
      </c>
      <c r="AR34" s="322">
        <f>IF(AO34="","",AO34^3)</f>
        <v/>
      </c>
      <c r="AS34" s="322">
        <f>IF(AO34="","",AO34^4)</f>
        <v/>
      </c>
      <c r="AT34" s="322">
        <f>IF(AO34="","",AO34^5)</f>
        <v/>
      </c>
      <c r="AU34" s="322">
        <f>IF(AO34="","",AO34^6)</f>
        <v/>
      </c>
      <c r="AV34" s="322">
        <f>IF(AO34="","",AO34*AP34)</f>
        <v/>
      </c>
      <c r="AW34" s="322">
        <f>IF(AO34="","",AO34^2*AP34)</f>
        <v/>
      </c>
      <c r="AX34" s="378">
        <f>IF(AO34="","",AO34^3*AP34)</f>
        <v/>
      </c>
    </row>
    <row r="35" ht="15.45" customHeight="1" thickTop="1">
      <c r="A35" s="882" t="n"/>
      <c r="B35" s="163" t="n"/>
      <c r="C35" s="170" t="n"/>
      <c r="D35" s="170" t="n"/>
      <c r="E35" s="162" t="n"/>
      <c r="F35" s="163" t="n"/>
      <c r="G35" s="162" t="n"/>
      <c r="H35" s="163" t="n"/>
      <c r="I35" s="162" t="n"/>
      <c r="K35" s="181" t="n"/>
      <c r="L35" s="172" t="n"/>
      <c r="M35" s="172" t="n"/>
      <c r="N35" s="173" t="inlineStr">
        <is>
          <t>C.B.R. (100% P.U.S.) 0.10 in :</t>
        </is>
      </c>
      <c r="O35" s="206">
        <f>ROUND(IF(E30&lt;O33,E28,(O33-E30)*(L28-E28)/(L30-E30)+E28),2)</f>
        <v/>
      </c>
      <c r="P35" s="182" t="inlineStr">
        <is>
          <t>%</t>
        </is>
      </c>
      <c r="R35" s="146" t="n"/>
      <c r="U35" s="295">
        <f>+DATOS!A50</f>
        <v/>
      </c>
      <c r="V35" s="296">
        <f>+DATOS!G50</f>
        <v/>
      </c>
      <c r="W35" s="322">
        <f>IF(U35="","",U35^2)</f>
        <v/>
      </c>
      <c r="X35" s="322">
        <f>IF(U35="","",U35^3)</f>
        <v/>
      </c>
      <c r="Y35" s="322">
        <f>IF(U35="","",U35^4)</f>
        <v/>
      </c>
      <c r="Z35" s="322">
        <f>IF(U35="","",U35^5)</f>
        <v/>
      </c>
      <c r="AA35" s="322">
        <f>IF(U35="","",U35^6)</f>
        <v/>
      </c>
      <c r="AB35" s="322">
        <f>IF(U35="","",U35*V35)</f>
        <v/>
      </c>
      <c r="AC35" s="322">
        <f>IF(U35="","",U35^2*V35)</f>
        <v/>
      </c>
      <c r="AD35" s="378">
        <f>IF(U35="","",U35^3*V35)</f>
        <v/>
      </c>
      <c r="AE35" s="295">
        <f>+DATOS!A50</f>
        <v/>
      </c>
      <c r="AF35" s="296">
        <f>+DATOS!K50</f>
        <v/>
      </c>
      <c r="AG35" s="322">
        <f>IF(AE35="","",AE35^2)</f>
        <v/>
      </c>
      <c r="AH35" s="322">
        <f>IF(AE35="","",AE35^3)</f>
        <v/>
      </c>
      <c r="AI35" s="322">
        <f>IF(AE35="","",AE35^4)</f>
        <v/>
      </c>
      <c r="AJ35" s="322">
        <f>IF(AE35="","",AE35^5)</f>
        <v/>
      </c>
      <c r="AK35" s="322">
        <f>IF(AE35="","",AE35^6)</f>
        <v/>
      </c>
      <c r="AL35" s="322">
        <f>IF(AE35="","",AE35*AF35)</f>
        <v/>
      </c>
      <c r="AM35" s="322">
        <f>IF(AE35="","",AE35^2*AF35)</f>
        <v/>
      </c>
      <c r="AN35" s="378">
        <f>IF(AE35="","",AE35^3*AF35)</f>
        <v/>
      </c>
      <c r="AO35" s="295">
        <f>+DATOS!A50</f>
        <v/>
      </c>
      <c r="AP35" s="296">
        <f>+DATOS!O50</f>
        <v/>
      </c>
      <c r="AQ35" s="322">
        <f>IF(AO35="","",AO35^2)</f>
        <v/>
      </c>
      <c r="AR35" s="322">
        <f>IF(AO35="","",AO35^3)</f>
        <v/>
      </c>
      <c r="AS35" s="322">
        <f>IF(AO35="","",AO35^4)</f>
        <v/>
      </c>
      <c r="AT35" s="322">
        <f>IF(AO35="","",AO35^5)</f>
        <v/>
      </c>
      <c r="AU35" s="322">
        <f>IF(AO35="","",AO35^6)</f>
        <v/>
      </c>
      <c r="AV35" s="322">
        <f>IF(AO35="","",AO35*AP35)</f>
        <v/>
      </c>
      <c r="AW35" s="322">
        <f>IF(AO35="","",AO35^2*AP35)</f>
        <v/>
      </c>
      <c r="AX35" s="378">
        <f>IF(AO35="","",AO35^3*AP35)</f>
        <v/>
      </c>
    </row>
    <row r="36" ht="15.45" customHeight="1" thickBot="1">
      <c r="A36" s="882" t="n"/>
      <c r="B36" s="163" t="n"/>
      <c r="C36" s="170" t="n"/>
      <c r="D36" s="170" t="n"/>
      <c r="E36" s="162" t="n"/>
      <c r="F36" s="163" t="n"/>
      <c r="G36" s="162" t="n"/>
      <c r="H36" s="163" t="n"/>
      <c r="I36" s="162" t="n"/>
      <c r="K36" s="183" t="n"/>
      <c r="N36" s="184" t="inlineStr">
        <is>
          <t>C.B.R. (95% P.U.S.) 0.10 in :</t>
        </is>
      </c>
      <c r="O36" s="207">
        <f>ROUND(IF(Q30&gt;O34,Q28,(O34-L30)*(Q28-L28)/(Q30-L30)+L28),2)</f>
        <v/>
      </c>
      <c r="P36" s="185" t="inlineStr">
        <is>
          <t>%</t>
        </is>
      </c>
      <c r="R36" s="146" t="n"/>
      <c r="U36" s="295">
        <f>+DATOS!A51</f>
        <v/>
      </c>
      <c r="V36" s="296">
        <f>+DATOS!G51</f>
        <v/>
      </c>
      <c r="W36" s="322">
        <f>IF(U36="","",U36^2)</f>
        <v/>
      </c>
      <c r="X36" s="322">
        <f>IF(U36="","",U36^3)</f>
        <v/>
      </c>
      <c r="Y36" s="322">
        <f>IF(U36="","",U36^4)</f>
        <v/>
      </c>
      <c r="Z36" s="322">
        <f>IF(U36="","",U36^5)</f>
        <v/>
      </c>
      <c r="AA36" s="322">
        <f>IF(U36="","",U36^6)</f>
        <v/>
      </c>
      <c r="AB36" s="322">
        <f>IF(U36="","",U36*V36)</f>
        <v/>
      </c>
      <c r="AC36" s="322">
        <f>IF(U36="","",U36^2*V36)</f>
        <v/>
      </c>
      <c r="AD36" s="378">
        <f>IF(U36="","",U36^3*V36)</f>
        <v/>
      </c>
      <c r="AE36" s="295">
        <f>+DATOS!A51</f>
        <v/>
      </c>
      <c r="AF36" s="296">
        <f>+DATOS!K51</f>
        <v/>
      </c>
      <c r="AG36" s="322">
        <f>IF(AE36="","",AE36^2)</f>
        <v/>
      </c>
      <c r="AH36" s="322">
        <f>IF(AE36="","",AE36^3)</f>
        <v/>
      </c>
      <c r="AI36" s="322">
        <f>IF(AE36="","",AE36^4)</f>
        <v/>
      </c>
      <c r="AJ36" s="322">
        <f>IF(AE36="","",AE36^5)</f>
        <v/>
      </c>
      <c r="AK36" s="322">
        <f>IF(AE36="","",AE36^6)</f>
        <v/>
      </c>
      <c r="AL36" s="322">
        <f>IF(AE36="","",AE36*AF36)</f>
        <v/>
      </c>
      <c r="AM36" s="322">
        <f>IF(AE36="","",AE36^2*AF36)</f>
        <v/>
      </c>
      <c r="AN36" s="378">
        <f>IF(AE36="","",AE36^3*AF36)</f>
        <v/>
      </c>
      <c r="AO36" s="295">
        <f>+DATOS!A51</f>
        <v/>
      </c>
      <c r="AP36" s="296">
        <f>+DATOS!O51</f>
        <v/>
      </c>
      <c r="AQ36" s="322">
        <f>IF(AO36="","",AO36^2)</f>
        <v/>
      </c>
      <c r="AR36" s="322">
        <f>IF(AO36="","",AO36^3)</f>
        <v/>
      </c>
      <c r="AS36" s="322">
        <f>IF(AO36="","",AO36^4)</f>
        <v/>
      </c>
      <c r="AT36" s="322">
        <f>IF(AO36="","",AO36^5)</f>
        <v/>
      </c>
      <c r="AU36" s="322">
        <f>IF(AO36="","",AO36^6)</f>
        <v/>
      </c>
      <c r="AV36" s="322">
        <f>IF(AO36="","",AO36*AP36)</f>
        <v/>
      </c>
      <c r="AW36" s="322">
        <f>IF(AO36="","",AO36^2*AP36)</f>
        <v/>
      </c>
      <c r="AX36" s="378">
        <f>IF(AO36="","",AO36^3*AP36)</f>
        <v/>
      </c>
    </row>
    <row r="37" ht="15.45" customHeight="1" thickTop="1">
      <c r="A37" s="882" t="n"/>
      <c r="B37" s="163" t="n"/>
      <c r="C37" s="170" t="n"/>
      <c r="D37" s="170" t="n"/>
      <c r="E37" s="162" t="n"/>
      <c r="F37" s="163" t="n"/>
      <c r="G37" s="162" t="n"/>
      <c r="H37" s="163" t="n"/>
      <c r="I37" s="162" t="n"/>
      <c r="K37" s="181" t="n"/>
      <c r="L37" s="172" t="n"/>
      <c r="M37" s="172" t="n"/>
      <c r="N37" s="173" t="inlineStr">
        <is>
          <t>C.B.R. (100% P.U.S.) 0.20 in :</t>
        </is>
      </c>
      <c r="O37" s="206">
        <f>ROUND(IF(E30&lt;O33,E29,(O33-E30)*(L29-E29)/(L30-E30)+E29),2)</f>
        <v/>
      </c>
      <c r="P37" s="182" t="inlineStr">
        <is>
          <t>%</t>
        </is>
      </c>
      <c r="Q37" s="186" t="n"/>
      <c r="R37" s="146" t="n"/>
      <c r="U37" s="295">
        <f>+DATOS!A52</f>
        <v/>
      </c>
      <c r="V37" s="296">
        <f>+DATOS!G52</f>
        <v/>
      </c>
      <c r="W37" s="322">
        <f>IF(U37="","",U37^2)</f>
        <v/>
      </c>
      <c r="X37" s="322">
        <f>IF(U37="","",U37^3)</f>
        <v/>
      </c>
      <c r="Y37" s="322">
        <f>IF(U37="","",U37^4)</f>
        <v/>
      </c>
      <c r="Z37" s="322">
        <f>IF(U37="","",U37^5)</f>
        <v/>
      </c>
      <c r="AA37" s="322">
        <f>IF(U37="","",U37^6)</f>
        <v/>
      </c>
      <c r="AB37" s="322">
        <f>IF(U37="","",U37*V37)</f>
        <v/>
      </c>
      <c r="AC37" s="322">
        <f>IF(U37="","",U37^2*V37)</f>
        <v/>
      </c>
      <c r="AD37" s="378">
        <f>IF(U37="","",U37^3*V37)</f>
        <v/>
      </c>
      <c r="AE37" s="295">
        <f>+DATOS!A52</f>
        <v/>
      </c>
      <c r="AF37" s="296">
        <f>+DATOS!K52</f>
        <v/>
      </c>
      <c r="AG37" s="322">
        <f>IF(AE37="","",AE37^2)</f>
        <v/>
      </c>
      <c r="AH37" s="322">
        <f>IF(AE37="","",AE37^3)</f>
        <v/>
      </c>
      <c r="AI37" s="322">
        <f>IF(AE37="","",AE37^4)</f>
        <v/>
      </c>
      <c r="AJ37" s="322">
        <f>IF(AE37="","",AE37^5)</f>
        <v/>
      </c>
      <c r="AK37" s="322">
        <f>IF(AE37="","",AE37^6)</f>
        <v/>
      </c>
      <c r="AL37" s="322">
        <f>IF(AE37="","",AE37*AF37)</f>
        <v/>
      </c>
      <c r="AM37" s="322">
        <f>IF(AE37="","",AE37^2*AF37)</f>
        <v/>
      </c>
      <c r="AN37" s="378">
        <f>IF(AE37="","",AE37^3*AF37)</f>
        <v/>
      </c>
      <c r="AO37" s="295">
        <f>+DATOS!A52</f>
        <v/>
      </c>
      <c r="AP37" s="296">
        <f>+DATOS!O52</f>
        <v/>
      </c>
      <c r="AQ37" s="322">
        <f>IF(AO37="","",AO37^2)</f>
        <v/>
      </c>
      <c r="AR37" s="322">
        <f>IF(AO37="","",AO37^3)</f>
        <v/>
      </c>
      <c r="AS37" s="322">
        <f>IF(AO37="","",AO37^4)</f>
        <v/>
      </c>
      <c r="AT37" s="322">
        <f>IF(AO37="","",AO37^5)</f>
        <v/>
      </c>
      <c r="AU37" s="322">
        <f>IF(AO37="","",AO37^6)</f>
        <v/>
      </c>
      <c r="AV37" s="322">
        <f>IF(AO37="","",AO37*AP37)</f>
        <v/>
      </c>
      <c r="AW37" s="322">
        <f>IF(AO37="","",AO37^2*AP37)</f>
        <v/>
      </c>
      <c r="AX37" s="378">
        <f>IF(AO37="","",AO37^3*AP37)</f>
        <v/>
      </c>
    </row>
    <row r="38" ht="15.45" customHeight="1" thickBot="1">
      <c r="A38" s="882" t="n"/>
      <c r="B38" s="163" t="n"/>
      <c r="C38" s="170" t="n"/>
      <c r="D38" s="170" t="n"/>
      <c r="E38" s="162" t="n"/>
      <c r="F38" s="163" t="n"/>
      <c r="G38" s="162" t="n"/>
      <c r="H38" s="163" t="n"/>
      <c r="I38" s="162" t="n"/>
      <c r="K38" s="187" t="n"/>
      <c r="L38" s="177" t="n"/>
      <c r="M38" s="177" t="n"/>
      <c r="N38" s="178" t="inlineStr">
        <is>
          <t>C.B.R. (95% P.U.S.) 0.20 in :</t>
        </is>
      </c>
      <c r="O38" s="208">
        <f>ROUND(IF(L30&lt;O34,L29,(O34-L30)*(Q29-L29)/(Q30-L30)+L29),2)</f>
        <v/>
      </c>
      <c r="P38" s="180" t="inlineStr">
        <is>
          <t>%</t>
        </is>
      </c>
      <c r="Q38" s="186" t="n"/>
      <c r="R38" s="146" t="n"/>
      <c r="U38" s="295">
        <f>+DATOS!A53</f>
        <v/>
      </c>
      <c r="V38" s="296">
        <f>+DATOS!G53</f>
        <v/>
      </c>
      <c r="W38" s="322">
        <f>IF(U38="","",U38^2)</f>
        <v/>
      </c>
      <c r="X38" s="322">
        <f>IF(U38="","",U38^3)</f>
        <v/>
      </c>
      <c r="Y38" s="322">
        <f>IF(U38="","",U38^4)</f>
        <v/>
      </c>
      <c r="Z38" s="322">
        <f>IF(U38="","",U38^5)</f>
        <v/>
      </c>
      <c r="AA38" s="322">
        <f>IF(U38="","",U38^6)</f>
        <v/>
      </c>
      <c r="AB38" s="322">
        <f>IF(U38="","",U38*V38)</f>
        <v/>
      </c>
      <c r="AC38" s="322">
        <f>IF(U38="","",U38^2*V38)</f>
        <v/>
      </c>
      <c r="AD38" s="378">
        <f>IF(U38="","",U38^3*V38)</f>
        <v/>
      </c>
      <c r="AE38" s="295">
        <f>+DATOS!A53</f>
        <v/>
      </c>
      <c r="AF38" s="296">
        <f>+DATOS!K53</f>
        <v/>
      </c>
      <c r="AG38" s="322">
        <f>IF(AE38="","",AE38^2)</f>
        <v/>
      </c>
      <c r="AH38" s="322">
        <f>IF(AE38="","",AE38^3)</f>
        <v/>
      </c>
      <c r="AI38" s="322">
        <f>IF(AE38="","",AE38^4)</f>
        <v/>
      </c>
      <c r="AJ38" s="322">
        <f>IF(AE38="","",AE38^5)</f>
        <v/>
      </c>
      <c r="AK38" s="322">
        <f>IF(AE38="","",AE38^6)</f>
        <v/>
      </c>
      <c r="AL38" s="322">
        <f>IF(AE38="","",AE38*AF38)</f>
        <v/>
      </c>
      <c r="AM38" s="322">
        <f>IF(AE38="","",AE38^2*AF38)</f>
        <v/>
      </c>
      <c r="AN38" s="378">
        <f>IF(AE38="","",AE38^3*AF38)</f>
        <v/>
      </c>
      <c r="AO38" s="295">
        <f>+DATOS!A53</f>
        <v/>
      </c>
      <c r="AP38" s="296">
        <f>+DATOS!O53</f>
        <v/>
      </c>
      <c r="AQ38" s="322">
        <f>IF(AO38="","",AO38^2)</f>
        <v/>
      </c>
      <c r="AR38" s="322">
        <f>IF(AO38="","",AO38^3)</f>
        <v/>
      </c>
      <c r="AS38" s="322">
        <f>IF(AO38="","",AO38^4)</f>
        <v/>
      </c>
      <c r="AT38" s="322">
        <f>IF(AO38="","",AO38^5)</f>
        <v/>
      </c>
      <c r="AU38" s="322">
        <f>IF(AO38="","",AO38^6)</f>
        <v/>
      </c>
      <c r="AV38" s="322">
        <f>IF(AO38="","",AO38*AP38)</f>
        <v/>
      </c>
      <c r="AW38" s="322">
        <f>IF(AO38="","",AO38^2*AP38)</f>
        <v/>
      </c>
      <c r="AX38" s="378">
        <f>IF(AO38="","",AO38^3*AP38)</f>
        <v/>
      </c>
    </row>
    <row r="39" ht="15.45" customHeight="1" thickTop="1">
      <c r="A39" s="188" t="n"/>
      <c r="K39" s="189" t="n"/>
      <c r="L39" s="186" t="n"/>
      <c r="M39" s="186" t="n"/>
      <c r="N39" s="189" t="n"/>
      <c r="O39" s="190" t="n"/>
      <c r="P39" s="186" t="n"/>
      <c r="Q39" s="191" t="n"/>
      <c r="R39" s="146" t="n"/>
      <c r="U39" s="295">
        <f>+DATOS!A54</f>
        <v/>
      </c>
      <c r="V39" s="296">
        <f>+DATOS!G54</f>
        <v/>
      </c>
      <c r="W39" s="322">
        <f>IF(U39="","",U39^2)</f>
        <v/>
      </c>
      <c r="X39" s="322">
        <f>IF(U39="","",U39^3)</f>
        <v/>
      </c>
      <c r="Y39" s="322">
        <f>IF(U39="","",U39^4)</f>
        <v/>
      </c>
      <c r="Z39" s="322">
        <f>IF(U39="","",U39^5)</f>
        <v/>
      </c>
      <c r="AA39" s="322">
        <f>IF(U39="","",U39^6)</f>
        <v/>
      </c>
      <c r="AB39" s="322">
        <f>IF(U39="","",U39*V39)</f>
        <v/>
      </c>
      <c r="AC39" s="322">
        <f>IF(U39="","",U39^2*V39)</f>
        <v/>
      </c>
      <c r="AD39" s="378">
        <f>IF(U39="","",U39^3*V39)</f>
        <v/>
      </c>
      <c r="AE39" s="295">
        <f>+DATOS!A54</f>
        <v/>
      </c>
      <c r="AF39" s="296">
        <f>+DATOS!K54</f>
        <v/>
      </c>
      <c r="AG39" s="322">
        <f>IF(AE39="","",AE39^2)</f>
        <v/>
      </c>
      <c r="AH39" s="322">
        <f>IF(AE39="","",AE39^3)</f>
        <v/>
      </c>
      <c r="AI39" s="322">
        <f>IF(AE39="","",AE39^4)</f>
        <v/>
      </c>
      <c r="AJ39" s="322">
        <f>IF(AE39="","",AE39^5)</f>
        <v/>
      </c>
      <c r="AK39" s="322">
        <f>IF(AE39="","",AE39^6)</f>
        <v/>
      </c>
      <c r="AL39" s="322">
        <f>IF(AE39="","",AE39*AF39)</f>
        <v/>
      </c>
      <c r="AM39" s="322">
        <f>IF(AE39="","",AE39^2*AF39)</f>
        <v/>
      </c>
      <c r="AN39" s="378">
        <f>IF(AE39="","",AE39^3*AF39)</f>
        <v/>
      </c>
      <c r="AO39" s="295">
        <f>+DATOS!A54</f>
        <v/>
      </c>
      <c r="AP39" s="296">
        <f>+DATOS!O54</f>
        <v/>
      </c>
      <c r="AQ39" s="322">
        <f>IF(AO39="","",AO39^2)</f>
        <v/>
      </c>
      <c r="AR39" s="322">
        <f>IF(AO39="","",AO39^3)</f>
        <v/>
      </c>
      <c r="AS39" s="322">
        <f>IF(AO39="","",AO39^4)</f>
        <v/>
      </c>
      <c r="AT39" s="322">
        <f>IF(AO39="","",AO39^5)</f>
        <v/>
      </c>
      <c r="AU39" s="322">
        <f>IF(AO39="","",AO39^6)</f>
        <v/>
      </c>
      <c r="AV39" s="322">
        <f>IF(AO39="","",AO39*AP39)</f>
        <v/>
      </c>
      <c r="AW39" s="322">
        <f>IF(AO39="","",AO39^2*AP39)</f>
        <v/>
      </c>
      <c r="AX39" s="378">
        <f>IF(AO39="","",AO39^3*AP39)</f>
        <v/>
      </c>
    </row>
    <row r="40" ht="15.45" customHeight="1">
      <c r="A40" s="188" t="n"/>
      <c r="R40" s="146" t="n"/>
      <c r="U40" s="379">
        <f>SUM(U29:U39)</f>
        <v/>
      </c>
      <c r="V40" s="322">
        <f>SUM(V29:V39)</f>
        <v/>
      </c>
      <c r="W40" s="322">
        <f>SUM(W29:W39)</f>
        <v/>
      </c>
      <c r="X40" s="322">
        <f>SUM(X29:X39)</f>
        <v/>
      </c>
      <c r="Y40" s="322">
        <f>SUM(Y29:Y39)</f>
        <v/>
      </c>
      <c r="Z40" s="322">
        <f>SUM(Z29:Z39)</f>
        <v/>
      </c>
      <c r="AA40" s="322">
        <f>SUM(AA29:AA39)</f>
        <v/>
      </c>
      <c r="AB40" s="322">
        <f>SUM(AB29:AB39)</f>
        <v/>
      </c>
      <c r="AC40" s="322">
        <f>SUM(AC29:AC39)</f>
        <v/>
      </c>
      <c r="AD40" s="378">
        <f>SUM(AD29:AD39)</f>
        <v/>
      </c>
      <c r="AE40" s="379">
        <f>SUM(AE29:AE39)</f>
        <v/>
      </c>
      <c r="AF40" s="322">
        <f>SUM(AF29:AF39)</f>
        <v/>
      </c>
      <c r="AG40" s="322">
        <f>SUM(AG29:AG39)</f>
        <v/>
      </c>
      <c r="AH40" s="322">
        <f>SUM(AH29:AH39)</f>
        <v/>
      </c>
      <c r="AI40" s="322">
        <f>SUM(AI29:AI39)</f>
        <v/>
      </c>
      <c r="AJ40" s="322">
        <f>SUM(AJ29:AJ39)</f>
        <v/>
      </c>
      <c r="AK40" s="322">
        <f>SUM(AK29:AK39)</f>
        <v/>
      </c>
      <c r="AL40" s="322">
        <f>SUM(AL29:AL39)</f>
        <v/>
      </c>
      <c r="AM40" s="322">
        <f>SUM(AM29:AM39)</f>
        <v/>
      </c>
      <c r="AN40" s="378">
        <f>SUM(AN29:AN39)</f>
        <v/>
      </c>
      <c r="AO40" s="379">
        <f>SUM(AO29:AO39)</f>
        <v/>
      </c>
      <c r="AP40" s="322">
        <f>SUM(AP29:AP39)</f>
        <v/>
      </c>
      <c r="AQ40" s="322">
        <f>SUM(AQ29:AQ39)</f>
        <v/>
      </c>
      <c r="AR40" s="322">
        <f>SUM(AR29:AR39)</f>
        <v/>
      </c>
      <c r="AS40" s="322">
        <f>SUM(AS29:AS39)</f>
        <v/>
      </c>
      <c r="AT40" s="322">
        <f>SUM(AT29:AT39)</f>
        <v/>
      </c>
      <c r="AU40" s="322">
        <f>SUM(AU29:AU39)</f>
        <v/>
      </c>
      <c r="AV40" s="322">
        <f>SUM(AV29:AV39)</f>
        <v/>
      </c>
      <c r="AW40" s="322">
        <f>SUM(AW29:AW39)</f>
        <v/>
      </c>
      <c r="AX40" s="378">
        <f>SUM(AX29:AX39)</f>
        <v/>
      </c>
    </row>
    <row r="41" ht="15.45" customHeight="1">
      <c r="A41" s="188" t="n"/>
      <c r="R41" s="146" t="n"/>
      <c r="U41" s="380" t="n"/>
      <c r="AD41" s="135" t="n"/>
      <c r="AE41" s="380" t="n"/>
      <c r="AN41" s="135" t="n"/>
      <c r="AO41" s="380" t="n"/>
      <c r="AX41" s="135" t="n"/>
    </row>
    <row r="42" ht="15.45" customHeight="1">
      <c r="A42" s="188" t="n"/>
      <c r="R42" s="146" t="n"/>
      <c r="U42" s="381">
        <f>COUNT(U29:U39)</f>
        <v/>
      </c>
      <c r="V42" s="335">
        <f>+U40</f>
        <v/>
      </c>
      <c r="W42" s="335">
        <f>+W40</f>
        <v/>
      </c>
      <c r="X42" s="335">
        <f>+X40</f>
        <v/>
      </c>
      <c r="Y42" s="335">
        <f>+V40</f>
        <v/>
      </c>
      <c r="AA42" s="320" t="inlineStr">
        <is>
          <t>Cte.</t>
        </is>
      </c>
      <c r="AB42" s="335">
        <f t="array" ref="AB42:AB45">MMULT(U47:X50,Y47:Y50)</f>
        <v/>
      </c>
      <c r="AC42" s="323" t="n"/>
      <c r="AD42" s="135" t="n"/>
      <c r="AE42" s="381">
        <f>COUNT(AE29:AE39)</f>
        <v/>
      </c>
      <c r="AF42" s="335">
        <f>+AE40</f>
        <v/>
      </c>
      <c r="AG42" s="335">
        <f>+AG40</f>
        <v/>
      </c>
      <c r="AH42" s="335">
        <f>+AH40</f>
        <v/>
      </c>
      <c r="AI42" s="335">
        <f>+AF40</f>
        <v/>
      </c>
      <c r="AK42" s="320" t="inlineStr">
        <is>
          <t>Cte.</t>
        </is>
      </c>
      <c r="AL42" s="335">
        <f t="array" ref="AL42:AL45">MMULT(AE47:AH50,AI47:AI50)</f>
        <v/>
      </c>
      <c r="AM42" s="323" t="n"/>
      <c r="AN42" s="135" t="n"/>
      <c r="AO42" s="381">
        <f>COUNT(AO29:AO39)</f>
        <v/>
      </c>
      <c r="AP42" s="335">
        <f>+AO40</f>
        <v/>
      </c>
      <c r="AQ42" s="335">
        <f>+AQ40</f>
        <v/>
      </c>
      <c r="AR42" s="335">
        <f>+AR40</f>
        <v/>
      </c>
      <c r="AS42" s="335">
        <f>+AP40</f>
        <v/>
      </c>
      <c r="AU42" s="320" t="inlineStr">
        <is>
          <t>Cte.</t>
        </is>
      </c>
      <c r="AV42" s="335">
        <f t="array" ref="AV42:AV45">MMULT(AO47:AR50,AS47:AS50)</f>
        <v/>
      </c>
      <c r="AW42" s="323" t="n"/>
      <c r="AX42" s="135" t="n"/>
    </row>
    <row r="43" ht="15.45" customHeight="1">
      <c r="A43" s="188" t="n"/>
      <c r="R43" s="146" t="n"/>
      <c r="U43" s="381">
        <f>+U40</f>
        <v/>
      </c>
      <c r="V43" s="335">
        <f>+W40</f>
        <v/>
      </c>
      <c r="W43" s="335">
        <f>+X40</f>
        <v/>
      </c>
      <c r="X43" s="335">
        <f>+Y40</f>
        <v/>
      </c>
      <c r="Y43" s="335">
        <f>+AB40</f>
        <v/>
      </c>
      <c r="AA43" s="320" t="inlineStr">
        <is>
          <t>X</t>
        </is>
      </c>
      <c r="AB43" s="335" t="n">
        <v>9.970603971862715</v>
      </c>
      <c r="AC43" s="323">
        <f>+AB43</f>
        <v/>
      </c>
      <c r="AD43" s="135" t="n"/>
      <c r="AE43" s="381">
        <f>+AE40</f>
        <v/>
      </c>
      <c r="AF43" s="335">
        <f>+AG40</f>
        <v/>
      </c>
      <c r="AG43" s="335">
        <f>+AH40</f>
        <v/>
      </c>
      <c r="AH43" s="335">
        <f>+AI40</f>
        <v/>
      </c>
      <c r="AI43" s="335">
        <f>+AL40</f>
        <v/>
      </c>
      <c r="AK43" s="320" t="inlineStr">
        <is>
          <t>X</t>
        </is>
      </c>
      <c r="AL43" s="335" t="n">
        <v>9.970603971862715</v>
      </c>
      <c r="AM43" s="323">
        <f>+AL43</f>
        <v/>
      </c>
      <c r="AN43" s="135" t="n"/>
      <c r="AO43" s="381">
        <f>+AO40</f>
        <v/>
      </c>
      <c r="AP43" s="335">
        <f>+AQ40</f>
        <v/>
      </c>
      <c r="AQ43" s="335">
        <f>+AR40</f>
        <v/>
      </c>
      <c r="AR43" s="335">
        <f>+AS40</f>
        <v/>
      </c>
      <c r="AS43" s="335">
        <f>+AV40</f>
        <v/>
      </c>
      <c r="AU43" s="320" t="inlineStr">
        <is>
          <t>X</t>
        </is>
      </c>
      <c r="AV43" s="335" t="n">
        <v>9.970603971862715</v>
      </c>
      <c r="AW43" s="323">
        <f>+AV43</f>
        <v/>
      </c>
      <c r="AX43" s="135" t="n"/>
    </row>
    <row r="44" ht="20.25" customHeight="1">
      <c r="A44" s="336" t="n"/>
      <c r="R44" s="146" t="n"/>
      <c r="U44" s="381">
        <f>+W40</f>
        <v/>
      </c>
      <c r="V44" s="335">
        <f>+X40</f>
        <v/>
      </c>
      <c r="W44" s="335">
        <f>+Y40</f>
        <v/>
      </c>
      <c r="X44" s="335">
        <f>+Z40</f>
        <v/>
      </c>
      <c r="Y44" s="335">
        <f>+AC40</f>
        <v/>
      </c>
      <c r="AA44" s="320" t="inlineStr">
        <is>
          <t>X2</t>
        </is>
      </c>
      <c r="AB44" s="335" t="n">
        <v>-51.59040034055761</v>
      </c>
      <c r="AC44" s="323">
        <f>2*AB44</f>
        <v/>
      </c>
      <c r="AD44" s="135" t="n"/>
      <c r="AE44" s="381">
        <f>+AG40</f>
        <v/>
      </c>
      <c r="AF44" s="335">
        <f>+AH40</f>
        <v/>
      </c>
      <c r="AG44" s="335">
        <f>+AI40</f>
        <v/>
      </c>
      <c r="AH44" s="335">
        <f>+AJ40</f>
        <v/>
      </c>
      <c r="AI44" s="335">
        <f>+AM40</f>
        <v/>
      </c>
      <c r="AK44" s="320" t="inlineStr">
        <is>
          <t>X2</t>
        </is>
      </c>
      <c r="AL44" s="335" t="n">
        <v>-51.59040034055761</v>
      </c>
      <c r="AM44" s="323">
        <f>2*AL44</f>
        <v/>
      </c>
      <c r="AN44" s="135" t="n"/>
      <c r="AO44" s="381">
        <f>+AQ40</f>
        <v/>
      </c>
      <c r="AP44" s="335">
        <f>+AR40</f>
        <v/>
      </c>
      <c r="AQ44" s="335">
        <f>+AS40</f>
        <v/>
      </c>
      <c r="AR44" s="335">
        <f>+AT40</f>
        <v/>
      </c>
      <c r="AS44" s="335">
        <f>+AW40</f>
        <v/>
      </c>
      <c r="AU44" s="320" t="inlineStr">
        <is>
          <t>X2</t>
        </is>
      </c>
      <c r="AV44" s="335" t="n">
        <v>-51.59040034055761</v>
      </c>
      <c r="AW44" s="323">
        <f>2*AV44</f>
        <v/>
      </c>
      <c r="AX44" s="135" t="n"/>
    </row>
    <row r="45" ht="15.45" customHeight="1">
      <c r="A45" s="39" t="inlineStr">
        <is>
          <t>Nota:</t>
        </is>
      </c>
      <c r="B45" s="138" t="n"/>
      <c r="C45" s="138" t="n"/>
      <c r="D45" s="138" t="n"/>
      <c r="E45" s="138" t="n"/>
      <c r="F45" s="138" t="n"/>
      <c r="G45" s="138" t="n"/>
      <c r="H45" s="138" t="n"/>
      <c r="I45" s="138" t="n"/>
      <c r="J45" s="138" t="n"/>
      <c r="K45" s="138" t="n"/>
      <c r="L45" s="138" t="n"/>
      <c r="M45" s="138" t="n"/>
      <c r="N45" s="138" t="n"/>
      <c r="O45" s="138" t="n"/>
      <c r="P45" s="138" t="n"/>
      <c r="Q45" s="138" t="n"/>
      <c r="R45" s="138" t="n"/>
      <c r="U45" s="381">
        <f>+X40</f>
        <v/>
      </c>
      <c r="V45" s="335">
        <f>+Y40</f>
        <v/>
      </c>
      <c r="W45" s="335">
        <f>+Z40</f>
        <v/>
      </c>
      <c r="X45" s="335">
        <f>+AA40</f>
        <v/>
      </c>
      <c r="Y45" s="335">
        <f>+AD40</f>
        <v/>
      </c>
      <c r="AA45" s="320" t="inlineStr">
        <is>
          <t>X3</t>
        </is>
      </c>
      <c r="AB45" s="335" t="n">
        <v>75.33523915110254</v>
      </c>
      <c r="AC45" s="323">
        <f>3*AB45</f>
        <v/>
      </c>
      <c r="AD45" s="135" t="n"/>
      <c r="AE45" s="381">
        <f>+AH40</f>
        <v/>
      </c>
      <c r="AF45" s="335">
        <f>+AI40</f>
        <v/>
      </c>
      <c r="AG45" s="335">
        <f>+AJ40</f>
        <v/>
      </c>
      <c r="AH45" s="335">
        <f>+AK40</f>
        <v/>
      </c>
      <c r="AI45" s="335">
        <f>+AN40</f>
        <v/>
      </c>
      <c r="AK45" s="320" t="inlineStr">
        <is>
          <t>X3</t>
        </is>
      </c>
      <c r="AL45" s="335" t="n">
        <v>75.33523915110254</v>
      </c>
      <c r="AM45" s="323">
        <f>3*AL45</f>
        <v/>
      </c>
      <c r="AN45" s="135" t="n"/>
      <c r="AO45" s="381">
        <f>+AR40</f>
        <v/>
      </c>
      <c r="AP45" s="335">
        <f>+AS40</f>
        <v/>
      </c>
      <c r="AQ45" s="335">
        <f>+AT40</f>
        <v/>
      </c>
      <c r="AR45" s="335">
        <f>+AU40</f>
        <v/>
      </c>
      <c r="AS45" s="335">
        <f>+AX40</f>
        <v/>
      </c>
      <c r="AU45" s="320" t="inlineStr">
        <is>
          <t>X3</t>
        </is>
      </c>
      <c r="AV45" s="335" t="n">
        <v>75.33523915110254</v>
      </c>
      <c r="AW45" s="323">
        <f>3*AV45</f>
        <v/>
      </c>
      <c r="AX45" s="135" t="n"/>
    </row>
    <row r="46" ht="15.45" customHeight="1">
      <c r="A46" s="41" t="inlineStr">
        <is>
          <t>- Los datos de identificación de la muestra son proporcionados por el cliente.</t>
        </is>
      </c>
      <c r="U46" s="382" t="n"/>
      <c r="V46" s="321" t="n"/>
      <c r="W46" s="321" t="n"/>
      <c r="X46" s="321" t="n"/>
      <c r="Y46" s="321" t="n"/>
      <c r="AD46" s="135" t="n"/>
      <c r="AE46" s="386" t="n"/>
      <c r="AF46" s="387" t="n"/>
      <c r="AG46" s="387" t="n"/>
      <c r="AH46" s="387" t="n"/>
      <c r="AI46" s="387" t="n"/>
      <c r="AN46" s="135" t="n"/>
      <c r="AO46" s="386" t="n"/>
      <c r="AP46" s="387" t="n"/>
      <c r="AQ46" s="387" t="n"/>
      <c r="AR46" s="387" t="n"/>
      <c r="AS46" s="387" t="n"/>
      <c r="AX46" s="135" t="n"/>
    </row>
    <row r="47" ht="13.95" customHeight="1">
      <c r="A47" s="42" t="inlineStr">
        <is>
          <t>- Los resultados corresponden sólo a los ensayos realizados sobre la muestra proporcionada por el cliente.</t>
        </is>
      </c>
      <c r="B47" s="40" t="n"/>
      <c r="C47" s="198" t="n"/>
      <c r="D47" s="198" t="n"/>
      <c r="E47" s="198" t="n"/>
      <c r="F47" s="198" t="n"/>
      <c r="G47" s="198" t="n"/>
      <c r="H47" s="198" t="n"/>
      <c r="I47" s="198" t="n"/>
      <c r="J47" s="199" t="n"/>
      <c r="K47" s="198" t="n"/>
      <c r="L47" s="129" t="n"/>
      <c r="U47" s="381">
        <f t="array" ref="U47:X50">MINVERSE(U42:X45)</f>
        <v/>
      </c>
      <c r="V47" s="335" t="n">
        <v>-12.64415771503319</v>
      </c>
      <c r="W47" s="335" t="n">
        <v>65.42403653064325</v>
      </c>
      <c r="X47" s="335" t="n">
        <v>-95.535902139372</v>
      </c>
      <c r="Y47" s="335">
        <f>+Y42</f>
        <v/>
      </c>
      <c r="AD47" s="135" t="n"/>
      <c r="AE47" s="381">
        <f t="array" ref="AE47:AH50">MINVERSE(AE42:AH45)</f>
        <v/>
      </c>
      <c r="AF47" s="335" t="n">
        <v>-12.64415771503319</v>
      </c>
      <c r="AG47" s="335" t="n">
        <v>65.42403653064325</v>
      </c>
      <c r="AH47" s="335" t="n">
        <v>-95.535902139372</v>
      </c>
      <c r="AI47" s="335">
        <f>+AI42</f>
        <v/>
      </c>
      <c r="AN47" s="135" t="n"/>
      <c r="AO47" s="381">
        <f t="array" ref="AO47:AR50">MINVERSE(AO42:AR45)</f>
        <v/>
      </c>
      <c r="AP47" s="335" t="n">
        <v>-12.64415771503319</v>
      </c>
      <c r="AQ47" s="335" t="n">
        <v>65.42403653064325</v>
      </c>
      <c r="AR47" s="335" t="n">
        <v>-95.535902139372</v>
      </c>
      <c r="AS47" s="335">
        <f>+AS42</f>
        <v/>
      </c>
      <c r="AX47" s="135" t="n"/>
    </row>
    <row r="48" ht="20.25" customHeight="1">
      <c r="A48" s="890" t="inlineStr">
        <is>
          <t xml:space="preserve">- Los resultados de los ensayos no deben ser utilizados como una certificación de conformidad con normas de productos o como certificado del sistema de calidad de Geofal SAC. </t>
        </is>
      </c>
      <c r="R48" s="41" t="n"/>
      <c r="U48" s="381" t="n">
        <v>-12.64415771503319</v>
      </c>
      <c r="V48" s="335" t="n">
        <v>388.0901090412415</v>
      </c>
      <c r="W48" s="335" t="n">
        <v>-2412.308501504323</v>
      </c>
      <c r="X48" s="335" t="n">
        <v>3854.274334537178</v>
      </c>
      <c r="Y48" s="335">
        <f>+Y43</f>
        <v/>
      </c>
      <c r="AD48" s="135" t="n"/>
      <c r="AE48" s="381" t="n">
        <v>-12.64415771503319</v>
      </c>
      <c r="AF48" s="335" t="n">
        <v>388.0901090412415</v>
      </c>
      <c r="AG48" s="335" t="n">
        <v>-2412.308501504323</v>
      </c>
      <c r="AH48" s="335" t="n">
        <v>3854.274334537178</v>
      </c>
      <c r="AI48" s="335">
        <f>+AI43</f>
        <v/>
      </c>
      <c r="AN48" s="135" t="n"/>
      <c r="AO48" s="381" t="n">
        <v>-12.64415771503319</v>
      </c>
      <c r="AP48" s="335" t="n">
        <v>388.0901090412415</v>
      </c>
      <c r="AQ48" s="335" t="n">
        <v>-2412.308501504323</v>
      </c>
      <c r="AR48" s="335" t="n">
        <v>3854.274334537178</v>
      </c>
      <c r="AS48" s="335">
        <f>+AS43</f>
        <v/>
      </c>
      <c r="AX48" s="135" t="n"/>
    </row>
    <row r="49" ht="13.95" customHeight="1">
      <c r="A49" s="42" t="inlineStr">
        <is>
          <t>- Prohibida la reproducción total o parcial del presente informe de ensayo sin la autorización escrita de Geofal S.A.C.</t>
        </is>
      </c>
      <c r="B49" s="42" t="n"/>
      <c r="C49" s="42" t="n"/>
      <c r="D49" s="42" t="n"/>
      <c r="E49" s="200" t="n"/>
      <c r="F49" s="200" t="n"/>
      <c r="G49" s="200" t="n"/>
      <c r="H49" s="200" t="n"/>
      <c r="I49" s="200" t="n"/>
      <c r="J49" s="200" t="n"/>
      <c r="K49" s="200" t="n"/>
      <c r="L49" s="129" t="n"/>
      <c r="U49" s="381" t="n">
        <v>65.42403653064345</v>
      </c>
      <c r="V49" s="335" t="n">
        <v>-2412.308501504324</v>
      </c>
      <c r="W49" s="335" t="n">
        <v>16424.18165233107</v>
      </c>
      <c r="X49" s="335" t="n">
        <v>-27506.51121964168</v>
      </c>
      <c r="Y49" s="335">
        <f>+Y44</f>
        <v/>
      </c>
      <c r="AD49" s="135" t="n"/>
      <c r="AE49" s="381" t="n">
        <v>65.42403653064345</v>
      </c>
      <c r="AF49" s="335" t="n">
        <v>-2412.308501504324</v>
      </c>
      <c r="AG49" s="335" t="n">
        <v>16424.18165233107</v>
      </c>
      <c r="AH49" s="335" t="n">
        <v>-27506.51121964168</v>
      </c>
      <c r="AI49" s="335">
        <f>+AI44</f>
        <v/>
      </c>
      <c r="AN49" s="135" t="n"/>
      <c r="AO49" s="381" t="n">
        <v>65.42403653064345</v>
      </c>
      <c r="AP49" s="335" t="n">
        <v>-2412.308501504324</v>
      </c>
      <c r="AQ49" s="335" t="n">
        <v>16424.18165233107</v>
      </c>
      <c r="AR49" s="335" t="n">
        <v>-27506.51121964168</v>
      </c>
      <c r="AS49" s="335">
        <f>+AS44</f>
        <v/>
      </c>
      <c r="AX49" s="135" t="n"/>
    </row>
    <row r="50" ht="20.4" customHeight="1">
      <c r="A50" s="896" t="inlineStr">
        <is>
          <t>- Este informe de ensayo, al estar en el marco de la acreditación del INACAL - DA, se encuentra dentro del ámbito de reconocimiento multilateral/mutuo de los miembros firmantes de IAAC e ILAC.</t>
        </is>
      </c>
      <c r="R50" s="245" t="n"/>
      <c r="U50" s="381" t="n">
        <v>-95.53590213937227</v>
      </c>
      <c r="V50" s="335" t="n">
        <v>3854.274334537179</v>
      </c>
      <c r="W50" s="335" t="n">
        <v>-27506.51121964168</v>
      </c>
      <c r="X50" s="335" t="n">
        <v>47350.68740394016</v>
      </c>
      <c r="Y50" s="335">
        <f>+Y45</f>
        <v/>
      </c>
      <c r="AD50" s="135" t="n"/>
      <c r="AE50" s="381" t="n">
        <v>-95.53590213937227</v>
      </c>
      <c r="AF50" s="335" t="n">
        <v>3854.274334537179</v>
      </c>
      <c r="AG50" s="335" t="n">
        <v>-27506.51121964168</v>
      </c>
      <c r="AH50" s="335" t="n">
        <v>47350.68740394016</v>
      </c>
      <c r="AI50" s="335">
        <f>+AI45</f>
        <v/>
      </c>
      <c r="AN50" s="135" t="n"/>
      <c r="AO50" s="381" t="n">
        <v>-95.53590213937227</v>
      </c>
      <c r="AP50" s="335" t="n">
        <v>3854.274334537179</v>
      </c>
      <c r="AQ50" s="335" t="n">
        <v>-27506.51121964168</v>
      </c>
      <c r="AR50" s="335" t="n">
        <v>47350.68740394016</v>
      </c>
      <c r="AS50" s="335">
        <f>+AS45</f>
        <v/>
      </c>
      <c r="AX50" s="135" t="n"/>
    </row>
    <row r="51" ht="6.75" customHeight="1" thickBot="1">
      <c r="B51" s="42" t="n"/>
      <c r="C51" s="42" t="n"/>
      <c r="D51" s="42" t="n"/>
      <c r="E51" s="200" t="n"/>
      <c r="F51" s="200" t="n"/>
      <c r="G51" s="200" t="n"/>
      <c r="H51" s="200" t="n"/>
      <c r="I51" s="200" t="n"/>
      <c r="J51" s="200" t="n"/>
      <c r="K51" s="200" t="n"/>
      <c r="L51" s="129" t="n"/>
      <c r="U51" s="383" t="n"/>
      <c r="V51" s="384" t="n"/>
      <c r="W51" s="384" t="n"/>
      <c r="X51" s="384" t="n"/>
      <c r="Y51" s="384" t="n"/>
      <c r="Z51" s="384" t="n"/>
      <c r="AA51" s="384" t="n"/>
      <c r="AB51" s="384" t="n"/>
      <c r="AC51" s="384" t="n"/>
      <c r="AD51" s="385" t="n"/>
      <c r="AE51" s="383" t="n"/>
      <c r="AF51" s="384" t="n"/>
      <c r="AG51" s="384" t="n"/>
      <c r="AH51" s="384" t="n"/>
      <c r="AI51" s="384" t="n"/>
      <c r="AJ51" s="384" t="n"/>
      <c r="AK51" s="384" t="n"/>
      <c r="AL51" s="384" t="n"/>
      <c r="AM51" s="384" t="n"/>
      <c r="AN51" s="385" t="n"/>
      <c r="AO51" s="383" t="n"/>
      <c r="AP51" s="384" t="n"/>
      <c r="AQ51" s="384" t="n"/>
      <c r="AR51" s="384" t="n"/>
      <c r="AS51" s="384" t="n"/>
      <c r="AT51" s="384" t="n"/>
      <c r="AU51" s="384" t="n"/>
      <c r="AV51" s="384" t="n"/>
      <c r="AW51" s="384" t="n"/>
      <c r="AX51" s="385" t="n"/>
    </row>
    <row r="52" ht="7.5" customHeight="1" thickBot="1">
      <c r="A52" s="42" t="n"/>
      <c r="B52" s="42" t="n"/>
      <c r="C52" s="42" t="n"/>
      <c r="D52" s="42" t="n"/>
      <c r="E52" s="200" t="n"/>
      <c r="F52" s="200" t="n"/>
      <c r="G52" s="200" t="n"/>
      <c r="H52" s="200" t="n"/>
      <c r="I52" s="200" t="n"/>
      <c r="J52" s="200" t="n"/>
      <c r="K52" s="200" t="n"/>
      <c r="L52" s="129" t="n"/>
    </row>
    <row r="53" ht="13.95" customHeight="1">
      <c r="A53" s="42" t="n"/>
      <c r="B53" s="42" t="n"/>
      <c r="C53" s="42" t="n"/>
      <c r="D53" s="42" t="n"/>
      <c r="E53" s="200" t="n"/>
      <c r="F53" s="200" t="n"/>
      <c r="G53" s="200" t="n"/>
      <c r="H53" s="200" t="n"/>
      <c r="I53" s="200" t="n"/>
      <c r="J53" s="200" t="n"/>
      <c r="K53" s="200" t="n"/>
      <c r="L53" s="129" t="n"/>
      <c r="U53" s="192" t="inlineStr">
        <is>
          <t>56 golpes % con Corrección</t>
        </is>
      </c>
      <c r="V53" s="193" t="n"/>
      <c r="W53" s="194" t="n"/>
      <c r="X53" s="192" t="inlineStr">
        <is>
          <t>25 golpes % con Corrección</t>
        </is>
      </c>
      <c r="Y53" s="193" t="n"/>
      <c r="Z53" s="193" t="n"/>
      <c r="AA53" s="192" t="inlineStr">
        <is>
          <t>12 golpes % con Corrección</t>
        </is>
      </c>
      <c r="AB53" s="193" t="n"/>
      <c r="AC53" s="195" t="n"/>
    </row>
    <row r="54" ht="12" customHeight="1">
      <c r="E54" s="129" t="n"/>
      <c r="L54" s="129" t="n"/>
      <c r="U54" s="911" t="inlineStr">
        <is>
          <t>Pulg.</t>
        </is>
      </c>
      <c r="V54" s="297" t="inlineStr">
        <is>
          <t>Esfuerzo corregido</t>
        </is>
      </c>
      <c r="W54" s="233" t="inlineStr">
        <is>
          <t>%</t>
        </is>
      </c>
      <c r="X54" s="911" t="inlineStr">
        <is>
          <t>Pulg.</t>
        </is>
      </c>
      <c r="Y54" s="297" t="inlineStr">
        <is>
          <t>Esfuerzo corregido</t>
        </is>
      </c>
      <c r="Z54" s="233" t="inlineStr">
        <is>
          <t>%</t>
        </is>
      </c>
      <c r="AA54" s="911" t="inlineStr">
        <is>
          <t>Pulg.</t>
        </is>
      </c>
      <c r="AB54" s="297" t="inlineStr">
        <is>
          <t>Esfuerzo corregido</t>
        </is>
      </c>
      <c r="AC54" s="233" t="inlineStr">
        <is>
          <t>%</t>
        </is>
      </c>
    </row>
    <row r="55" ht="12" customHeight="1">
      <c r="E55" s="129" t="n"/>
      <c r="L55" s="129" t="n"/>
      <c r="U55" s="911" t="inlineStr">
        <is>
          <t>1"</t>
        </is>
      </c>
      <c r="V55" s="334">
        <f>+Z24</f>
        <v/>
      </c>
      <c r="W55" s="196">
        <f>V55/1000*100</f>
        <v/>
      </c>
      <c r="X55" s="911" t="inlineStr">
        <is>
          <t>1"</t>
        </is>
      </c>
      <c r="Y55" s="334">
        <f>+AJ24</f>
        <v/>
      </c>
      <c r="Z55" s="196">
        <f>Y55/1000*100</f>
        <v/>
      </c>
      <c r="AA55" s="911" t="inlineStr">
        <is>
          <t>1"</t>
        </is>
      </c>
      <c r="AB55" s="334">
        <f>+AT24</f>
        <v/>
      </c>
      <c r="AC55" s="196">
        <f>AB55/1000*100</f>
        <v/>
      </c>
    </row>
    <row r="56" ht="12" customHeight="1" thickBot="1">
      <c r="E56" s="129" t="n"/>
      <c r="L56" s="129" t="n"/>
      <c r="U56" s="197" t="inlineStr">
        <is>
          <t>2"</t>
        </is>
      </c>
      <c r="V56" s="90">
        <f>+Z25</f>
        <v/>
      </c>
      <c r="W56" s="91">
        <f>V56/1500*100</f>
        <v/>
      </c>
      <c r="X56" s="197" t="inlineStr">
        <is>
          <t>2"</t>
        </is>
      </c>
      <c r="Y56" s="90">
        <f>+AJ25</f>
        <v/>
      </c>
      <c r="Z56" s="91">
        <f>Y56/1500*100</f>
        <v/>
      </c>
      <c r="AA56" s="197" t="inlineStr">
        <is>
          <t>2"</t>
        </is>
      </c>
      <c r="AB56" s="90">
        <f>+AT25</f>
        <v/>
      </c>
      <c r="AC56" s="91">
        <f>AB56/1500*100</f>
        <v/>
      </c>
    </row>
    <row r="57" ht="7.95" customHeight="1" thickBot="1">
      <c r="E57" s="129" t="n"/>
      <c r="L57" s="129" t="n"/>
    </row>
    <row r="58" ht="10.95" customHeight="1">
      <c r="B58" s="44" t="n"/>
      <c r="C58" s="44" t="n"/>
      <c r="D58" s="44" t="n"/>
      <c r="E58" s="44" t="n"/>
      <c r="F58" s="44" t="n"/>
      <c r="G58" s="44" t="n"/>
      <c r="H58" s="44" t="n"/>
      <c r="I58" s="44" t="n"/>
      <c r="J58" s="44" t="n"/>
      <c r="K58" s="44" t="n"/>
      <c r="L58" s="44" t="n"/>
      <c r="M58" s="44" t="n"/>
      <c r="N58" s="44" t="n"/>
      <c r="O58" s="44" t="n"/>
      <c r="P58" s="44" t="n"/>
      <c r="Q58" s="44" t="n"/>
      <c r="R58" s="44" t="n"/>
      <c r="U58" s="316" t="inlineStr">
        <is>
          <t>0.1"</t>
        </is>
      </c>
      <c r="V58" s="317" t="inlineStr">
        <is>
          <t>56 golpe</t>
        </is>
      </c>
      <c r="W58" s="317" t="inlineStr">
        <is>
          <t>25 golpe</t>
        </is>
      </c>
      <c r="X58" s="317" t="inlineStr">
        <is>
          <t>10 golpe</t>
        </is>
      </c>
      <c r="Y58" s="318" t="n"/>
    </row>
    <row r="59" ht="13.95" customHeight="1">
      <c r="A59" s="20" t="inlineStr">
        <is>
          <t>Página 2 de 2</t>
        </is>
      </c>
      <c r="E59" s="129" t="n"/>
      <c r="L59" s="129" t="n"/>
      <c r="U59" s="298" t="inlineStr">
        <is>
          <t xml:space="preserve">y </t>
        </is>
      </c>
      <c r="V59" s="299">
        <f>+W55</f>
        <v/>
      </c>
      <c r="W59" s="299">
        <f>+Z55</f>
        <v/>
      </c>
      <c r="X59" s="300">
        <f>+AC55</f>
        <v/>
      </c>
      <c r="Y59" s="301" t="inlineStr">
        <is>
          <t>CBR (lbf/in2)</t>
        </is>
      </c>
    </row>
    <row r="60" ht="13.95" customHeight="1">
      <c r="A60" s="20" t="inlineStr">
        <is>
          <t>Versión: 02 (05-10-2024)</t>
        </is>
      </c>
      <c r="R60" s="43" t="inlineStr">
        <is>
          <t>Fin del Informe</t>
        </is>
      </c>
      <c r="U60" s="298" t="inlineStr">
        <is>
          <t>X</t>
        </is>
      </c>
      <c r="V60" s="299">
        <f>+E30</f>
        <v/>
      </c>
      <c r="W60" s="299">
        <f>+L30</f>
        <v/>
      </c>
      <c r="X60" s="300">
        <f>+Q30</f>
        <v/>
      </c>
      <c r="Y60" s="301" t="inlineStr">
        <is>
          <t>DENSIDAD lbf/ft3</t>
        </is>
      </c>
    </row>
    <row r="61" ht="15.75" customHeight="1">
      <c r="U61" s="302" t="inlineStr">
        <is>
          <t>0.2"</t>
        </is>
      </c>
      <c r="V61" s="312" t="n"/>
      <c r="W61" s="312" t="n"/>
      <c r="X61" s="312" t="n"/>
      <c r="Y61" s="313" t="n"/>
    </row>
    <row r="62" ht="15.75" customHeight="1">
      <c r="A62" s="201" t="n"/>
      <c r="J62" s="201" t="n"/>
      <c r="U62" s="302" t="inlineStr">
        <is>
          <t>Y</t>
        </is>
      </c>
      <c r="V62" s="299">
        <f>+W56</f>
        <v/>
      </c>
      <c r="W62" s="300">
        <f>+Z56</f>
        <v/>
      </c>
      <c r="X62" s="303">
        <f>+AC56</f>
        <v/>
      </c>
      <c r="Y62" s="301" t="inlineStr">
        <is>
          <t>CBR</t>
        </is>
      </c>
    </row>
    <row r="63" ht="15.75" customHeight="1" thickBot="1">
      <c r="A63" s="202" t="n"/>
      <c r="B63" s="202" t="n"/>
      <c r="C63" s="202" t="n"/>
      <c r="D63" s="202" t="n"/>
      <c r="E63" s="202" t="n"/>
      <c r="F63" s="202" t="n"/>
      <c r="G63" s="202" t="n"/>
      <c r="H63" s="202" t="n"/>
      <c r="I63" s="202" t="n"/>
      <c r="J63" s="202" t="n"/>
      <c r="K63" s="202" t="n"/>
      <c r="L63" s="202" t="n"/>
      <c r="M63" s="202" t="n"/>
      <c r="N63" s="202" t="n"/>
      <c r="O63" s="202" t="n"/>
      <c r="P63" s="202" t="n"/>
      <c r="Q63" s="202" t="n"/>
      <c r="R63" s="202" t="n"/>
      <c r="U63" s="304" t="inlineStr">
        <is>
          <t>X</t>
        </is>
      </c>
      <c r="V63" s="333">
        <f>+V60</f>
        <v/>
      </c>
      <c r="W63" s="333">
        <f>+W60</f>
        <v/>
      </c>
      <c r="X63" s="333">
        <f>+X60</f>
        <v/>
      </c>
      <c r="Y63" s="305" t="inlineStr">
        <is>
          <t>DENSIDAD</t>
        </is>
      </c>
    </row>
    <row r="64" ht="15" customHeight="1">
      <c r="A64" s="130" t="n"/>
      <c r="B64" s="130" t="n"/>
      <c r="C64" s="130" t="n"/>
      <c r="D64" s="130" t="n"/>
      <c r="E64" s="130" t="n"/>
      <c r="F64" s="130" t="n"/>
      <c r="G64" s="130" t="n"/>
      <c r="H64" s="130" t="n"/>
      <c r="I64" s="130" t="n"/>
      <c r="J64" s="130" t="n"/>
    </row>
    <row r="72" ht="15" customHeight="1">
      <c r="P72" s="246" t="n"/>
      <c r="Q72" s="246" t="n"/>
    </row>
    <row r="73" ht="15" customHeight="1">
      <c r="P73" s="247" t="n"/>
      <c r="Q73" s="247" t="n"/>
    </row>
    <row r="85" ht="15" customHeight="1">
      <c r="AE85" s="321" t="n"/>
    </row>
    <row r="86" ht="15" customHeight="1">
      <c r="Z86" s="321" t="n"/>
      <c r="AA86" s="321" t="n"/>
      <c r="AB86" s="321" t="n"/>
      <c r="AC86" s="321" t="n"/>
      <c r="AD86" s="321" t="n"/>
    </row>
    <row r="87" ht="15" customHeight="1">
      <c r="Z87" s="321" t="n"/>
      <c r="AA87" s="321" t="n"/>
      <c r="AB87" s="321" t="n"/>
      <c r="AC87" s="321" t="n"/>
      <c r="AD87" s="321" t="n"/>
    </row>
    <row r="88" ht="15" customHeight="1">
      <c r="Z88" s="321" t="n"/>
      <c r="AD88" s="321" t="n"/>
    </row>
    <row r="89" ht="15" customHeight="1">
      <c r="Z89" s="321" t="n"/>
      <c r="AD89" s="321" t="n"/>
    </row>
    <row r="90" ht="15" customHeight="1">
      <c r="Z90" s="321" t="n"/>
      <c r="AD90" s="321" t="n"/>
    </row>
    <row r="91" ht="15" customHeight="1">
      <c r="Z91" s="321" t="n"/>
      <c r="AD91" s="321" t="n"/>
    </row>
    <row r="92" ht="15" customHeight="1">
      <c r="Z92" s="321" t="n"/>
      <c r="AA92" s="321" t="n"/>
      <c r="AB92" s="321" t="n"/>
      <c r="AC92" s="321" t="n"/>
      <c r="AD92" s="321" t="n"/>
    </row>
  </sheetData>
  <sheetProtection selectLockedCells="1" selectUnlockedCells="1" algorithmName="SHA-512" sheet="1" objects="0" insertRows="1" insertHyperlinks="1" autoFilter="1" scenarios="0" formatColumns="1" deleteColumns="1" insertColumns="1" pivotTables="1" deleteRows="1" formatCells="1" saltValue="H5dAXpZhoJq/ajCXPj67aw==" formatRows="1" sort="1" spinCount="100000" hashValue="vU/dCQV1wVKrIs2LVuL8Gs75lznHDquz0K9gGWkx2S/QghIt98S4Qxdbf+CRo8GnI6+XoJ81j1Na7cleoh7u1A=="/>
  <mergeCells count="24">
    <mergeCell ref="A32:J32"/>
    <mergeCell ref="U27:U28"/>
    <mergeCell ref="D4:M4"/>
    <mergeCell ref="AE9:AN9"/>
    <mergeCell ref="A48:Q48"/>
    <mergeCell ref="AO9:AX9"/>
    <mergeCell ref="A12:R12"/>
    <mergeCell ref="AE11:AH11"/>
    <mergeCell ref="D5:M5"/>
    <mergeCell ref="V27:V28"/>
    <mergeCell ref="A2:R2"/>
    <mergeCell ref="U9:AD9"/>
    <mergeCell ref="AO11:AR11"/>
    <mergeCell ref="AP27:AP28"/>
    <mergeCell ref="A50:Q50"/>
    <mergeCell ref="A10:R10"/>
    <mergeCell ref="D6:M6"/>
    <mergeCell ref="U11:X11"/>
    <mergeCell ref="A9:R9"/>
    <mergeCell ref="AE27:AE28"/>
    <mergeCell ref="AF27:AF28"/>
    <mergeCell ref="D7:M7"/>
    <mergeCell ref="A1:R1"/>
    <mergeCell ref="AO27:AO28"/>
  </mergeCells>
  <conditionalFormatting sqref="O35:O38">
    <cfRule type="expression" priority="9" dxfId="0" stopIfTrue="1">
      <formula>$V$45&gt;=100</formula>
    </cfRule>
  </conditionalFormatting>
  <dataValidations count="1">
    <dataValidation sqref="Y11 AI11 AS11" showDropDown="0" showInputMessage="1" showErrorMessage="1" allowBlank="0" type="list">
      <formula1>"SI, NO"</formula1>
    </dataValidation>
  </dataValidations>
  <printOptions horizontalCentered="1"/>
  <pageMargins left="0.3937007874015748" right="0.3937007874015748" top="1.574803149606299" bottom="0" header="0" footer="0"/>
  <pageSetup orientation="portrait" paperSize="274" scale="80"/>
  <headerFooter scaleWithDoc="0">
    <oddHeader>&amp;C&amp;G</oddHeader>
    <oddFooter/>
    <evenHeader/>
    <evenFooter/>
    <firstHeader/>
    <firstFooter/>
  </headerFooter>
  <rowBreaks count="1" manualBreakCount="1">
    <brk id="63" min="0" max="16383" man="1"/>
  </rowBreaks>
  <drawing xmlns:r="http://schemas.openxmlformats.org/officeDocument/2006/relationships" r:id="rId1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tabColor rgb="FFC00000"/>
    <outlinePr summaryBelow="1" summaryRight="1"/>
    <pageSetUpPr/>
  </sheetPr>
  <dimension ref="A2:AB72"/>
  <sheetViews>
    <sheetView showGridLines="0" showWhiteSpace="0" zoomScale="120" zoomScaleNormal="120" zoomScaleSheetLayoutView="100" workbookViewId="0">
      <selection activeCell="J10" sqref="J10"/>
    </sheetView>
  </sheetViews>
  <sheetFormatPr baseColWidth="10" defaultColWidth="11.44140625" defaultRowHeight="15" customHeight="1"/>
  <cols>
    <col width="14" customWidth="1" style="871" min="1" max="1"/>
    <col width="17.88671875" customWidth="1" style="871" min="2" max="2"/>
    <col width="9.5546875" customWidth="1" style="871" min="3" max="3"/>
    <col width="8.6640625" customWidth="1" style="871" min="4" max="9"/>
    <col width="10.44140625" customWidth="1" style="871" min="10" max="10"/>
    <col width="8.6640625" customWidth="1" style="871" min="11" max="12"/>
    <col width="9.6640625" customWidth="1" style="871" min="13" max="13"/>
    <col width="10.33203125" customWidth="1" style="871" min="14" max="14"/>
    <col width="11.33203125" customWidth="1" style="871" min="15" max="15"/>
    <col width="6.88671875" customWidth="1" style="871" min="16" max="16"/>
    <col width="9" customWidth="1" style="871" min="17" max="17"/>
    <col width="8.33203125" customWidth="1" style="871" min="18" max="18"/>
    <col width="9.6640625" customWidth="1" style="871" min="19" max="19"/>
    <col width="10.5546875" customWidth="1" style="871" min="20" max="21"/>
    <col width="2.33203125" customWidth="1" style="871" min="22" max="22"/>
    <col width="8.88671875" customWidth="1" style="871" min="23" max="25"/>
    <col width="3" customWidth="1" style="871" min="26" max="26"/>
    <col width="11.44140625" customWidth="1" style="871" min="27" max="27"/>
    <col width="11.44140625" customWidth="1" style="871" min="28" max="16384"/>
  </cols>
  <sheetData>
    <row r="1" ht="8.25" customHeight="1"/>
    <row r="2" ht="15" customHeight="1">
      <c r="A2" s="920" t="inlineStr">
        <is>
          <t>Personal Autorizado</t>
        </is>
      </c>
      <c r="B2" s="859" t="n"/>
      <c r="C2" s="853" t="n"/>
      <c r="D2" s="921" t="inlineStr">
        <is>
          <t>-</t>
        </is>
      </c>
      <c r="E2" s="853" t="n"/>
      <c r="F2" s="1">
        <f>+FORMATO!K9</f>
        <v/>
      </c>
      <c r="G2" s="565" t="inlineStr">
        <is>
          <t xml:space="preserve">Máxima Densidad Seca (kN/m3)         </t>
        </is>
      </c>
      <c r="H2" s="566" t="n"/>
      <c r="I2" s="250" t="n"/>
      <c r="J2" s="564" t="n"/>
      <c r="L2" s="941" t="inlineStr">
        <is>
          <t>BALANZA</t>
        </is>
      </c>
      <c r="M2" s="859" t="n"/>
      <c r="N2" s="853" t="n"/>
      <c r="O2" s="866" t="inlineStr">
        <is>
          <t xml:space="preserve">FECHA </t>
        </is>
      </c>
      <c r="Q2" s="948" t="inlineStr">
        <is>
          <t>DATOS DEL MOLDE</t>
        </is>
      </c>
      <c r="R2" s="859" t="n"/>
      <c r="S2" s="859" t="n"/>
      <c r="T2" s="859" t="n"/>
      <c r="U2" s="853" t="n"/>
      <c r="W2" s="929" t="inlineStr">
        <is>
          <t>Altura de la muestra (mm)</t>
        </is>
      </c>
      <c r="X2" s="810" t="n"/>
      <c r="Y2" s="811" t="n"/>
      <c r="AA2" s="662" t="inlineStr">
        <is>
          <t>PISTON mm</t>
        </is>
      </c>
      <c r="AB2" s="540" t="n"/>
    </row>
    <row r="3" ht="15" customHeight="1">
      <c r="A3" s="248" t="inlineStr">
        <is>
          <t>Tiene SUCS</t>
        </is>
      </c>
      <c r="B3" s="249" t="n"/>
      <c r="C3" s="250" t="n"/>
      <c r="D3" s="940" t="inlineStr">
        <is>
          <t>-</t>
        </is>
      </c>
      <c r="E3" s="853" t="n"/>
      <c r="F3" s="102" t="n"/>
      <c r="G3" s="565" t="inlineStr">
        <is>
          <t xml:space="preserve">Contenido de Humedad Óptimo (%)   </t>
        </is>
      </c>
      <c r="H3" s="249" t="n"/>
      <c r="I3" s="250" t="n"/>
      <c r="J3" s="564" t="n"/>
      <c r="L3" s="941" t="inlineStr">
        <is>
          <t>N°</t>
        </is>
      </c>
      <c r="M3" s="688" t="inlineStr">
        <is>
          <t>Corrección de Lectura</t>
        </is>
      </c>
      <c r="N3" s="689" t="n"/>
      <c r="O3" s="866" t="inlineStr">
        <is>
          <t>calibracion</t>
        </is>
      </c>
      <c r="Q3" s="948" t="inlineStr">
        <is>
          <t>N°</t>
        </is>
      </c>
      <c r="R3" s="948" t="inlineStr">
        <is>
          <t>MASA (g)</t>
        </is>
      </c>
      <c r="S3" s="920" t="inlineStr">
        <is>
          <t>VOLUMEN (cm3)</t>
        </is>
      </c>
      <c r="T3" s="920" t="inlineStr">
        <is>
          <t>ALTURA (mm)</t>
        </is>
      </c>
      <c r="U3" s="920" t="inlineStr">
        <is>
          <t>DIAMETRO (mm)</t>
        </is>
      </c>
      <c r="W3" s="259">
        <f>+D17</f>
        <v/>
      </c>
      <c r="X3" s="259">
        <f>+H17</f>
        <v/>
      </c>
      <c r="Y3" s="259">
        <f>+L17</f>
        <v/>
      </c>
      <c r="AA3" s="535" t="inlineStr">
        <is>
          <t>CANT.</t>
        </is>
      </c>
      <c r="AB3" s="848" t="inlineStr">
        <is>
          <t>DIAMETRO</t>
        </is>
      </c>
    </row>
    <row r="4" ht="15" customHeight="1">
      <c r="A4" s="248" t="inlineStr">
        <is>
          <t>Metodo de Compactación:</t>
        </is>
      </c>
      <c r="B4" s="249" t="n"/>
      <c r="C4" s="250" t="n"/>
      <c r="D4" s="935" t="inlineStr">
        <is>
          <t>-</t>
        </is>
      </c>
      <c r="E4" s="936" t="n"/>
      <c r="F4" s="30" t="n"/>
      <c r="G4" s="565" t="inlineStr">
        <is>
          <t>Porcentaje de retenido tamiz 3/4"</t>
        </is>
      </c>
      <c r="H4" s="249" t="n"/>
      <c r="I4" s="250" t="n"/>
      <c r="J4" s="568" t="n"/>
      <c r="L4" s="948" t="n">
        <v>1</v>
      </c>
      <c r="M4" s="948">
        <f>+Balanza!C11</f>
        <v/>
      </c>
      <c r="N4" s="948">
        <f>+Balanza!C7</f>
        <v/>
      </c>
      <c r="O4" s="686">
        <f>+Balanza!D12</f>
        <v/>
      </c>
      <c r="Q4" s="948" t="inlineStr">
        <is>
          <t>INS-173</t>
        </is>
      </c>
      <c r="R4" s="663" t="n">
        <v>8178</v>
      </c>
      <c r="S4" s="664" t="n">
        <v>2122.2</v>
      </c>
      <c r="T4" s="678" t="n">
        <v>116.5</v>
      </c>
      <c r="U4" s="678" t="n">
        <v>152.295</v>
      </c>
      <c r="V4" s="871" t="n">
        <v>11</v>
      </c>
      <c r="W4" s="929">
        <f>LOOKUP(D17,Q4:Q21,T4:T21)</f>
        <v/>
      </c>
      <c r="X4" s="929">
        <f>LOOKUP(H17,Q4:Q21,T4:T21)</f>
        <v/>
      </c>
      <c r="Y4" s="929">
        <f>LOOKUP(L17,Q4:Q21,T4:T21)</f>
        <v/>
      </c>
      <c r="AA4" s="847" t="n">
        <v>1</v>
      </c>
      <c r="AB4" s="537" t="n">
        <v>49.6</v>
      </c>
    </row>
    <row r="5" ht="15" customHeight="1">
      <c r="A5" s="248" t="inlineStr">
        <is>
          <t>Metodo de preparación:</t>
        </is>
      </c>
      <c r="B5" s="249" t="n"/>
      <c r="C5" s="249" t="n"/>
      <c r="D5" s="921" t="inlineStr">
        <is>
          <t>-</t>
        </is>
      </c>
      <c r="E5" s="853" t="n"/>
      <c r="F5" s="102" t="n"/>
      <c r="G5" s="102" t="n"/>
      <c r="L5" s="948" t="n">
        <v>2</v>
      </c>
      <c r="M5" s="948">
        <f>+Balanza!M11</f>
        <v/>
      </c>
      <c r="N5" s="563">
        <f>+Balanza!M7</f>
        <v/>
      </c>
      <c r="O5" s="686">
        <f>+Balanza!O12</f>
        <v/>
      </c>
      <c r="Q5" s="948" t="inlineStr">
        <is>
          <t>INS-174</t>
        </is>
      </c>
      <c r="R5" s="663" t="n">
        <v>7715</v>
      </c>
      <c r="S5" s="664" t="n">
        <v>2119.4</v>
      </c>
      <c r="T5" s="663" t="n">
        <v>116.35</v>
      </c>
      <c r="U5" s="678" t="n">
        <v>152.295</v>
      </c>
      <c r="V5" s="871" t="n">
        <v>12</v>
      </c>
      <c r="AA5" s="847" t="n">
        <v>2</v>
      </c>
      <c r="AB5" s="537" t="n">
        <v>49.61</v>
      </c>
    </row>
    <row r="6" ht="15" customHeight="1">
      <c r="A6" s="248" t="inlineStr">
        <is>
          <t>Condición de la muestra</t>
        </is>
      </c>
      <c r="B6" s="249" t="n"/>
      <c r="C6" s="250" t="n"/>
      <c r="D6" s="921" t="inlineStr">
        <is>
          <t>-</t>
        </is>
      </c>
      <c r="E6" s="853" t="n"/>
      <c r="F6" s="102" t="n"/>
      <c r="G6" s="102" t="n"/>
      <c r="Q6" s="948" t="inlineStr">
        <is>
          <t>INS-175</t>
        </is>
      </c>
      <c r="R6" s="663" t="n">
        <v>8378</v>
      </c>
      <c r="S6" s="664" t="n">
        <v>2121.3</v>
      </c>
      <c r="T6" s="663" t="n">
        <v>116.62</v>
      </c>
      <c r="U6" s="678" t="n">
        <v>152.185</v>
      </c>
      <c r="V6" s="871" t="n">
        <v>13</v>
      </c>
      <c r="AA6" s="847" t="n">
        <v>3</v>
      </c>
      <c r="AB6" s="537" t="n">
        <v>49.6</v>
      </c>
    </row>
    <row r="7" ht="15" customHeight="1">
      <c r="L7" s="910" t="inlineStr">
        <is>
          <t>Correccion del dial</t>
        </is>
      </c>
      <c r="M7" s="862" t="n"/>
      <c r="N7" s="570" t="n">
        <v>1</v>
      </c>
      <c r="Q7" s="716" t="n">
        <v>1</v>
      </c>
      <c r="R7" s="948" t="n">
        <v>7629</v>
      </c>
      <c r="S7" s="165" t="n">
        <v>2118.8</v>
      </c>
      <c r="T7" s="948" t="n">
        <v>116.27</v>
      </c>
      <c r="U7" s="948" t="n">
        <v>152.33</v>
      </c>
      <c r="V7" s="574" t="n"/>
      <c r="AA7" s="847" t="n">
        <v>4</v>
      </c>
      <c r="AB7" s="537" t="n">
        <v>49.6</v>
      </c>
    </row>
    <row r="8" ht="15" customHeight="1">
      <c r="A8" s="248" t="inlineStr">
        <is>
          <t>Diámetro de pistón</t>
        </is>
      </c>
      <c r="B8" s="252" t="n"/>
      <c r="C8" s="948" t="inlineStr">
        <is>
          <t>mm</t>
        </is>
      </c>
      <c r="D8" s="942">
        <f>+AB9+INCERT!D80</f>
        <v/>
      </c>
      <c r="E8" s="853" t="n"/>
      <c r="P8" s="290" t="n"/>
      <c r="Q8" s="716" t="n">
        <v>2</v>
      </c>
      <c r="R8" s="715" t="n">
        <v>7625.2</v>
      </c>
      <c r="S8" s="165" t="n">
        <v>2123.7</v>
      </c>
      <c r="T8" s="948" t="n">
        <v>116.23</v>
      </c>
      <c r="U8" s="948" t="n">
        <v>152.53</v>
      </c>
      <c r="V8" s="574" t="n"/>
      <c r="AA8" s="847" t="n">
        <v>5</v>
      </c>
      <c r="AB8" s="537" t="n">
        <v>49.61</v>
      </c>
    </row>
    <row r="9" ht="15" customHeight="1">
      <c r="A9" s="248" t="inlineStr">
        <is>
          <t xml:space="preserve">Area de Pistón </t>
        </is>
      </c>
      <c r="B9" s="250" t="n"/>
      <c r="C9" s="948" t="inlineStr">
        <is>
          <t>cm²</t>
        </is>
      </c>
      <c r="D9" s="939">
        <f>((D8^2)*PI()/4)/100</f>
        <v/>
      </c>
      <c r="E9" s="853" t="n"/>
      <c r="P9" s="290" t="n"/>
      <c r="Q9" s="716" t="n">
        <v>3</v>
      </c>
      <c r="R9" s="715" t="n">
        <v>7712.1</v>
      </c>
      <c r="S9" s="165" t="n">
        <v>2112.3</v>
      </c>
      <c r="T9" s="948" t="n">
        <v>116.12</v>
      </c>
      <c r="U9" s="948" t="n">
        <v>152.19</v>
      </c>
      <c r="V9" s="574" t="n"/>
      <c r="AA9" s="449" t="inlineStr">
        <is>
          <t>PROMEDIO</t>
        </is>
      </c>
      <c r="AB9" s="679">
        <f>+AVERAGE(AB4:AB8)</f>
        <v/>
      </c>
    </row>
    <row r="10" ht="15" customHeight="1">
      <c r="A10" s="248" t="inlineStr">
        <is>
          <t>Temperatura Inicial-Compactación:</t>
        </is>
      </c>
      <c r="B10" s="254" t="n"/>
      <c r="C10" s="858" t="inlineStr">
        <is>
          <t>ºC</t>
        </is>
      </c>
      <c r="D10" s="908">
        <f>+FORMATO!D25</f>
        <v/>
      </c>
      <c r="E10" s="853" t="n"/>
      <c r="F10" s="256">
        <f>+IF(AND(D10&gt;18,D10&lt;24),"conforme","Temperatura Fuera del rango")</f>
        <v/>
      </c>
      <c r="M10" s="255" t="n"/>
      <c r="O10" s="1" t="n"/>
      <c r="P10" s="290" t="n"/>
      <c r="Q10" s="716" t="n">
        <v>4</v>
      </c>
      <c r="R10" s="715" t="n">
        <v>7501.7</v>
      </c>
      <c r="S10" s="165" t="n">
        <v>2121.9</v>
      </c>
      <c r="T10" s="948" t="n">
        <v>116.33</v>
      </c>
      <c r="U10" s="939" t="n">
        <v>152.4</v>
      </c>
      <c r="V10" s="574" t="n"/>
    </row>
    <row r="11" ht="15" customHeight="1">
      <c r="A11" s="248" t="inlineStr">
        <is>
          <t>Temperatura máxima Final-Compactación:</t>
        </is>
      </c>
      <c r="B11" s="254" t="n"/>
      <c r="C11" s="858" t="inlineStr">
        <is>
          <t>ºC</t>
        </is>
      </c>
      <c r="D11" s="908">
        <f>+FORMATO!D26</f>
        <v/>
      </c>
      <c r="E11" s="853" t="n"/>
      <c r="F11" s="256">
        <f>+IF(AND(D11&gt;18,D11&lt;24),"conforme","Temperatura Fuera del rango")</f>
        <v/>
      </c>
      <c r="P11" s="290" t="n"/>
      <c r="Q11" s="716" t="n">
        <v>5</v>
      </c>
      <c r="R11" s="715" t="n">
        <v>7577.5</v>
      </c>
      <c r="S11" s="165" t="n">
        <v>2117.5</v>
      </c>
      <c r="T11" s="948" t="n">
        <v>116.31</v>
      </c>
      <c r="U11" s="939" t="n">
        <v>152.25</v>
      </c>
      <c r="V11" s="668" t="inlineStr">
        <is>
          <t>P</t>
        </is>
      </c>
    </row>
    <row r="12" ht="15" customHeight="1">
      <c r="P12" s="290" t="n"/>
      <c r="Q12" s="716" t="n">
        <v>6</v>
      </c>
      <c r="R12" s="715" t="n">
        <v>7277.4</v>
      </c>
      <c r="S12" s="165" t="n">
        <v>2121.33</v>
      </c>
      <c r="T12" s="948" t="n">
        <v>116.29</v>
      </c>
      <c r="U12" s="939" t="n">
        <v>152.4</v>
      </c>
      <c r="V12" s="668" t="inlineStr">
        <is>
          <t>M</t>
        </is>
      </c>
    </row>
    <row r="13" ht="15" customHeight="1" thickBot="1">
      <c r="Q13" s="716" t="n">
        <v>7</v>
      </c>
      <c r="R13" s="715" t="n">
        <v>7555.3</v>
      </c>
      <c r="S13" s="165" t="n">
        <v>2123.23</v>
      </c>
      <c r="T13" s="948" t="n">
        <v>116.39</v>
      </c>
      <c r="U13" s="939" t="n">
        <v>152.4</v>
      </c>
      <c r="V13" s="668" t="inlineStr">
        <is>
          <t>A</t>
        </is>
      </c>
    </row>
    <row r="14" ht="18" customHeight="1" thickBot="1">
      <c r="A14" s="926" t="inlineStr">
        <is>
          <t>DENSIDAD Y PESO UNITARIO SECO</t>
        </is>
      </c>
      <c r="B14" s="906" t="n"/>
      <c r="C14" s="906" t="n"/>
      <c r="D14" s="906" t="n"/>
      <c r="E14" s="906" t="n"/>
      <c r="F14" s="906" t="n"/>
      <c r="G14" s="906" t="n"/>
      <c r="H14" s="906" t="n"/>
      <c r="I14" s="906" t="n"/>
      <c r="J14" s="906" t="n"/>
      <c r="K14" s="906" t="n"/>
      <c r="L14" s="906" t="n"/>
      <c r="M14" s="906" t="n"/>
      <c r="N14" s="906" t="n"/>
      <c r="O14" s="927" t="n"/>
      <c r="Q14" s="716" t="n">
        <v>8</v>
      </c>
      <c r="R14" s="715" t="n">
        <v>7645.3</v>
      </c>
      <c r="S14" s="165" t="n">
        <v>2118.96</v>
      </c>
      <c r="T14" s="948" t="n">
        <v>116.15</v>
      </c>
      <c r="U14" s="939" t="n">
        <v>152.41</v>
      </c>
      <c r="V14" s="668" t="inlineStr">
        <is>
          <t>B</t>
        </is>
      </c>
      <c r="W14" s="257" t="n"/>
      <c r="X14" s="257" t="n"/>
      <c r="Y14" s="257" t="n"/>
    </row>
    <row r="15" ht="18" customHeight="1">
      <c r="A15" s="938" t="inlineStr">
        <is>
          <t>Nº  GOLPES</t>
        </is>
      </c>
      <c r="B15" s="915" t="n"/>
      <c r="C15" s="931" t="n"/>
      <c r="D15" s="914" t="n">
        <v>56</v>
      </c>
      <c r="E15" s="915" t="n"/>
      <c r="F15" s="915" t="n"/>
      <c r="G15" s="916" t="n"/>
      <c r="H15" s="914" t="n">
        <v>25</v>
      </c>
      <c r="I15" s="915" t="n"/>
      <c r="J15" s="915" t="n"/>
      <c r="K15" s="916" t="n"/>
      <c r="L15" s="914" t="n">
        <v>10</v>
      </c>
      <c r="M15" s="915" t="n"/>
      <c r="N15" s="915" t="n"/>
      <c r="O15" s="916" t="n"/>
      <c r="Q15" s="716" t="n">
        <v>9</v>
      </c>
      <c r="R15" s="715" t="n">
        <v>7674</v>
      </c>
      <c r="S15" s="165" t="n">
        <v>2119.27</v>
      </c>
      <c r="T15" s="948" t="n">
        <v>116.22</v>
      </c>
      <c r="U15" s="939" t="n">
        <v>152.37</v>
      </c>
      <c r="V15" s="668" t="inlineStr">
        <is>
          <t>C</t>
        </is>
      </c>
      <c r="W15" s="257" t="n"/>
      <c r="X15" s="257" t="n"/>
    </row>
    <row r="16" ht="18" customFormat="1" customHeight="1" s="1">
      <c r="A16" s="83" t="inlineStr">
        <is>
          <t>Condicion de la muestra</t>
        </is>
      </c>
      <c r="B16" s="66" t="n"/>
      <c r="C16" s="84" t="n"/>
      <c r="D16" s="911" t="inlineStr">
        <is>
          <t>Sin Saturar</t>
        </is>
      </c>
      <c r="E16" s="811" t="n"/>
      <c r="F16" s="872" t="inlineStr">
        <is>
          <t>Saturado</t>
        </is>
      </c>
      <c r="G16" s="811" t="n"/>
      <c r="H16" s="911" t="inlineStr">
        <is>
          <t>Sin Saturar</t>
        </is>
      </c>
      <c r="I16" s="811" t="n"/>
      <c r="J16" s="872" t="inlineStr">
        <is>
          <t>Saturado</t>
        </is>
      </c>
      <c r="K16" s="811" t="n"/>
      <c r="L16" s="911" t="inlineStr">
        <is>
          <t>Sin Saturar</t>
        </is>
      </c>
      <c r="M16" s="811" t="n"/>
      <c r="N16" s="872" t="inlineStr">
        <is>
          <t>Saturado</t>
        </is>
      </c>
      <c r="O16" s="811" t="n"/>
      <c r="P16" s="871" t="n"/>
      <c r="Q16" s="948" t="inlineStr">
        <is>
          <t>A</t>
        </is>
      </c>
      <c r="R16" s="665" t="n">
        <v>8105</v>
      </c>
      <c r="S16" s="664" t="n">
        <v>2125</v>
      </c>
      <c r="T16" s="663" t="n">
        <v>116.59</v>
      </c>
      <c r="U16" s="678" t="n">
        <v>152.335</v>
      </c>
      <c r="V16" s="668" t="inlineStr">
        <is>
          <t>C</t>
        </is>
      </c>
      <c r="W16" s="257" t="inlineStr">
        <is>
          <t>INS-200</t>
        </is>
      </c>
      <c r="X16" s="257" t="n"/>
    </row>
    <row r="17" ht="18" customFormat="1" customHeight="1" s="1">
      <c r="A17" s="83" t="inlineStr">
        <is>
          <t>Código de molde</t>
        </is>
      </c>
      <c r="B17" s="66" t="n"/>
      <c r="C17" s="84" t="n"/>
      <c r="D17" s="943">
        <f>+FORMATO!D24</f>
        <v/>
      </c>
      <c r="E17" s="859" t="n"/>
      <c r="F17" s="859" t="n"/>
      <c r="G17" s="925" t="n"/>
      <c r="H17" s="924" t="inlineStr">
        <is>
          <t>+FORMATO!H24</t>
        </is>
      </c>
      <c r="I17" s="859" t="n"/>
      <c r="J17" s="859" t="n"/>
      <c r="K17" s="925" t="n"/>
      <c r="L17" s="924">
        <f>+FORMATO!L24</f>
        <v/>
      </c>
      <c r="M17" s="859" t="n"/>
      <c r="N17" s="859" t="n"/>
      <c r="O17" s="925" t="n"/>
      <c r="P17" s="871" t="n"/>
      <c r="Q17" s="948" t="inlineStr">
        <is>
          <t>B</t>
        </is>
      </c>
      <c r="R17" s="665" t="n">
        <v>7581</v>
      </c>
      <c r="S17" s="664" t="n">
        <v>2126.1</v>
      </c>
      <c r="T17" s="663" t="n">
        <v>116.69</v>
      </c>
      <c r="U17" s="678" t="n">
        <v>152.315</v>
      </c>
      <c r="V17" s="668" t="inlineStr">
        <is>
          <t>C</t>
        </is>
      </c>
      <c r="W17" s="257" t="inlineStr">
        <is>
          <t>INS-201</t>
        </is>
      </c>
      <c r="X17" s="257" t="n"/>
    </row>
    <row r="18" ht="18" customFormat="1" customHeight="1" s="1">
      <c r="A18" s="928" t="inlineStr">
        <is>
          <t>Masa de molde+suelo moldeado</t>
        </is>
      </c>
      <c r="B18" s="811" t="n"/>
      <c r="C18" s="233" t="inlineStr">
        <is>
          <t>g</t>
        </is>
      </c>
      <c r="D18" s="718">
        <f>+FORMATO!D27</f>
        <v/>
      </c>
      <c r="E18" s="67">
        <f>+D18+$N$4*D18</f>
        <v/>
      </c>
      <c r="F18" s="718">
        <f>+FORMATO!F27</f>
        <v/>
      </c>
      <c r="G18" s="71">
        <f>+F18+$N$4*F18</f>
        <v/>
      </c>
      <c r="H18" s="718">
        <f>+FORMATO!H27</f>
        <v/>
      </c>
      <c r="I18" s="67">
        <f>+H18+$N$4*H18</f>
        <v/>
      </c>
      <c r="J18" s="718">
        <f>+FORMATO!J27</f>
        <v/>
      </c>
      <c r="K18" s="71">
        <f>+J18+$N$4*J18</f>
        <v/>
      </c>
      <c r="L18" s="718">
        <f>+FORMATO!L27</f>
        <v/>
      </c>
      <c r="M18" s="67">
        <f>+L18+$N$4*L18</f>
        <v/>
      </c>
      <c r="N18" s="718">
        <f>+FORMATO!O27</f>
        <v/>
      </c>
      <c r="O18" s="71">
        <f>+N18+$N$4*N18</f>
        <v/>
      </c>
      <c r="P18" s="871" t="n"/>
      <c r="Q18" s="948" t="inlineStr">
        <is>
          <t>C</t>
        </is>
      </c>
      <c r="R18" s="665" t="n">
        <v>8171</v>
      </c>
      <c r="S18" s="664" t="n">
        <v>2124.6</v>
      </c>
      <c r="T18" s="663" t="n">
        <v>116.67</v>
      </c>
      <c r="U18" s="678" t="n">
        <v>152.27</v>
      </c>
      <c r="V18" s="668" t="inlineStr">
        <is>
          <t>C</t>
        </is>
      </c>
      <c r="W18" s="257" t="inlineStr">
        <is>
          <t>INS-202</t>
        </is>
      </c>
      <c r="X18" s="257" t="n"/>
      <c r="Y18" s="257" t="n"/>
    </row>
    <row r="19" ht="18" customFormat="1" customHeight="1" s="1">
      <c r="A19" s="928" t="inlineStr">
        <is>
          <t>Masa de molde</t>
        </is>
      </c>
      <c r="B19" s="811" t="n"/>
      <c r="C19" s="233" t="inlineStr">
        <is>
          <t>g</t>
        </is>
      </c>
      <c r="D19" s="76" t="n"/>
      <c r="E19" s="67">
        <f>+LOOKUP($D$17,$Q$4:$Q$21,$R$4:$R$21)</f>
        <v/>
      </c>
      <c r="G19" s="67">
        <f>+LOOKUP($D$17,$Q$4:$Q$21,$R$4:$R$21)</f>
        <v/>
      </c>
      <c r="H19" s="78" t="n"/>
      <c r="I19" s="67">
        <f>+LOOKUP($H$17,$Q$4:$Q$21,$R$4:$R$21)</f>
        <v/>
      </c>
      <c r="J19" s="65" t="n"/>
      <c r="K19" s="67">
        <f>+LOOKUP($H$17,$Q$4:$Q$21,$R$4:$R$21)</f>
        <v/>
      </c>
      <c r="L19" s="78" t="n"/>
      <c r="M19" s="67">
        <f>+LOOKUP($L$17,$Q$4:$Q$21,$R$4:$R$21)</f>
        <v/>
      </c>
      <c r="N19" s="65" t="n"/>
      <c r="O19" s="71">
        <f>+LOOKUP($L$17,$Q$4:$Q$21,$R$4:$R$21)</f>
        <v/>
      </c>
      <c r="P19" s="871" t="n"/>
      <c r="Q19" s="948" t="inlineStr">
        <is>
          <t>E</t>
        </is>
      </c>
      <c r="R19" s="665" t="n">
        <v>7844</v>
      </c>
      <c r="S19" s="664" t="n">
        <v>2126.1</v>
      </c>
      <c r="T19" s="663" t="n">
        <v>116.7</v>
      </c>
      <c r="U19" s="678" t="n">
        <v>152.305</v>
      </c>
      <c r="V19" s="668" t="inlineStr">
        <is>
          <t>C</t>
        </is>
      </c>
      <c r="W19" s="257" t="inlineStr">
        <is>
          <t>INS-203</t>
        </is>
      </c>
      <c r="X19" s="257" t="n"/>
      <c r="Y19" s="257" t="n"/>
    </row>
    <row r="20" ht="18" customFormat="1" customHeight="1" s="1">
      <c r="A20" s="928" t="inlineStr">
        <is>
          <t xml:space="preserve">Contenido de humedad </t>
        </is>
      </c>
      <c r="B20" s="811" t="n"/>
      <c r="C20" s="233" t="inlineStr">
        <is>
          <t>%</t>
        </is>
      </c>
      <c r="D20" s="77" t="n"/>
      <c r="E20" s="67">
        <f>+E32</f>
        <v/>
      </c>
      <c r="F20" s="68" t="n"/>
      <c r="G20" s="71">
        <f>+G32</f>
        <v/>
      </c>
      <c r="H20" s="77" t="n"/>
      <c r="I20" s="67">
        <f>+I32</f>
        <v/>
      </c>
      <c r="J20" s="68" t="n"/>
      <c r="K20" s="71">
        <f>+K32</f>
        <v/>
      </c>
      <c r="L20" s="77" t="n"/>
      <c r="M20" s="67">
        <f>+M32</f>
        <v/>
      </c>
      <c r="N20" s="68" t="n"/>
      <c r="O20" s="71">
        <f>+O32</f>
        <v/>
      </c>
      <c r="P20" s="871" t="n"/>
      <c r="Q20" s="948" t="inlineStr">
        <is>
          <t>H</t>
        </is>
      </c>
      <c r="R20" s="665" t="n">
        <v>7874</v>
      </c>
      <c r="S20" s="664" t="n">
        <v>2127.8</v>
      </c>
      <c r="T20" s="663" t="n">
        <v>116.69</v>
      </c>
      <c r="U20" s="678" t="n">
        <v>152.375</v>
      </c>
      <c r="V20" s="668" t="inlineStr">
        <is>
          <t>C</t>
        </is>
      </c>
      <c r="W20" s="257" t="inlineStr">
        <is>
          <t>INS-204</t>
        </is>
      </c>
      <c r="X20" s="257" t="n"/>
      <c r="Y20" s="258" t="n"/>
    </row>
    <row r="21" ht="18" customFormat="1" customHeight="1" s="1">
      <c r="A21" s="932" t="inlineStr">
        <is>
          <t>Masa seca del suelo compactado</t>
        </is>
      </c>
      <c r="B21" s="811" t="n"/>
      <c r="C21" s="233" t="inlineStr">
        <is>
          <t>g</t>
        </is>
      </c>
      <c r="D21" s="72" t="n"/>
      <c r="E21" s="67">
        <f>(E18-E19)/(1+(E20/100))</f>
        <v/>
      </c>
      <c r="F21" s="855" t="n"/>
      <c r="G21" s="71">
        <f>(G18-G19)/(1+(G20/100))</f>
        <v/>
      </c>
      <c r="H21" s="72" t="n"/>
      <c r="I21" s="67">
        <f>(I18-I19)/(1+(I20/100))</f>
        <v/>
      </c>
      <c r="J21" s="855" t="n"/>
      <c r="K21" s="71">
        <f>(K18-K19)/(1+(K20/100))</f>
        <v/>
      </c>
      <c r="L21" s="72" t="n"/>
      <c r="M21" s="67">
        <f>(M18-M19)/(1+(M20/100))</f>
        <v/>
      </c>
      <c r="N21" s="855" t="n"/>
      <c r="O21" s="71">
        <f>(O18-O19)/(1+(O20/100))</f>
        <v/>
      </c>
      <c r="P21" s="871" t="n"/>
      <c r="Q21" s="948" t="inlineStr">
        <is>
          <t>L</t>
        </is>
      </c>
      <c r="R21" s="665" t="n">
        <v>8010</v>
      </c>
      <c r="S21" s="664" t="n">
        <v>2125.8</v>
      </c>
      <c r="T21" s="663" t="n">
        <v>116.69</v>
      </c>
      <c r="U21" s="678" t="n">
        <v>152.3</v>
      </c>
      <c r="V21" s="668" t="inlineStr">
        <is>
          <t>C</t>
        </is>
      </c>
      <c r="W21" s="257" t="inlineStr">
        <is>
          <t>INS-205</t>
        </is>
      </c>
      <c r="X21" s="257" t="n"/>
      <c r="Y21" s="258" t="n"/>
    </row>
    <row r="22" ht="18" customFormat="1" customHeight="1" s="1">
      <c r="A22" s="928" t="inlineStr">
        <is>
          <t>Volumen de molde</t>
        </is>
      </c>
      <c r="B22" s="811" t="n"/>
      <c r="C22" s="233" t="inlineStr">
        <is>
          <t>cm3</t>
        </is>
      </c>
      <c r="D22" s="78" t="n"/>
      <c r="E22" s="67">
        <f>+LOOKUP($D$17,$Q$4:$Q$21,$S$4:$S$21)</f>
        <v/>
      </c>
      <c r="F22" s="65" t="n"/>
      <c r="G22" s="67">
        <f>+LOOKUP($D$17,$Q$4:$Q$21,$S$4:$S$21)</f>
        <v/>
      </c>
      <c r="H22" s="78" t="n"/>
      <c r="I22" s="67">
        <f>+LOOKUP($H$17,$Q$4:$Q$21,$S$4:$S$21)</f>
        <v/>
      </c>
      <c r="J22" s="65" t="n"/>
      <c r="K22" s="67">
        <f>+LOOKUP($H$17,$Q$4:$Q$21,$S$4:$S$21)</f>
        <v/>
      </c>
      <c r="L22" s="78" t="n"/>
      <c r="M22" s="67">
        <f>+LOOKUP($L$17,$Q$4:$Q$21,$S$4:$S$21)</f>
        <v/>
      </c>
      <c r="N22" s="65" t="n"/>
      <c r="O22" s="71">
        <f>+LOOKUP($L$17,$Q$4:$Q$21,$S$4:$S$21)</f>
        <v/>
      </c>
      <c r="P22" s="871" t="n"/>
      <c r="W22" s="257" t="n"/>
      <c r="X22" s="257" t="n"/>
    </row>
    <row r="23" ht="18" customFormat="1" customHeight="1" s="1">
      <c r="A23" s="937" t="inlineStr">
        <is>
          <t xml:space="preserve">Densidad seca </t>
        </is>
      </c>
      <c r="B23" s="811" t="n"/>
      <c r="C23" s="577" t="inlineStr">
        <is>
          <t>g/cm3</t>
        </is>
      </c>
      <c r="D23" s="78" t="n"/>
      <c r="E23" s="860">
        <f>+E21/E22</f>
        <v/>
      </c>
      <c r="F23" s="860" t="n"/>
      <c r="G23" s="579">
        <f>+G21/G22</f>
        <v/>
      </c>
      <c r="H23" s="580" t="n"/>
      <c r="I23" s="860">
        <f>+I21/I22</f>
        <v/>
      </c>
      <c r="J23" s="860" t="n"/>
      <c r="K23" s="579">
        <f>+K21/K22</f>
        <v/>
      </c>
      <c r="L23" s="580" t="n"/>
      <c r="M23" s="860">
        <f>+M21/M22</f>
        <v/>
      </c>
      <c r="N23" s="860" t="n"/>
      <c r="O23" s="579">
        <f>+O21/O22</f>
        <v/>
      </c>
      <c r="P23" s="871" t="n"/>
      <c r="W23" s="257" t="n"/>
      <c r="X23" s="257" t="n"/>
      <c r="Y23" s="257" t="n"/>
    </row>
    <row r="24" ht="18" customFormat="1" customHeight="1" s="1" thickBot="1">
      <c r="A24" s="903" t="inlineStr">
        <is>
          <t>Peso unitario seco</t>
        </is>
      </c>
      <c r="B24" s="904" t="n"/>
      <c r="C24" s="85" t="inlineStr">
        <is>
          <t>kN/m3</t>
        </is>
      </c>
      <c r="D24" s="79" t="n"/>
      <c r="E24" s="80">
        <f>9.8066*E23</f>
        <v/>
      </c>
      <c r="F24" s="90" t="n"/>
      <c r="G24" s="91">
        <f>9.8066*G23</f>
        <v/>
      </c>
      <c r="H24" s="82" t="n"/>
      <c r="I24" s="80">
        <f>9.8066*I23</f>
        <v/>
      </c>
      <c r="J24" s="80" t="n"/>
      <c r="K24" s="81">
        <f>9.8066*K23</f>
        <v/>
      </c>
      <c r="L24" s="82" t="n"/>
      <c r="M24" s="80">
        <f>9.8066*M23</f>
        <v/>
      </c>
      <c r="N24" s="80" t="n"/>
      <c r="O24" s="81">
        <f>9.8066*O23</f>
        <v/>
      </c>
      <c r="P24" s="871" t="n"/>
      <c r="W24" s="257" t="n"/>
      <c r="X24" s="257" t="n"/>
      <c r="Y24" s="257" t="n"/>
    </row>
    <row r="25" ht="18" customFormat="1" customHeight="1" s="1" thickBot="1">
      <c r="A25" s="905" t="inlineStr">
        <is>
          <t>DETERMINACION DE LA HUMEDAD DE COMPACTACION</t>
        </is>
      </c>
      <c r="B25" s="906" t="n"/>
      <c r="C25" s="906" t="n"/>
      <c r="D25" s="906" t="n"/>
      <c r="E25" s="906" t="n"/>
      <c r="F25" s="906" t="n"/>
      <c r="G25" s="906" t="n"/>
      <c r="H25" s="906" t="n"/>
      <c r="I25" s="906" t="n"/>
      <c r="J25" s="906" t="n"/>
      <c r="K25" s="906" t="n"/>
      <c r="L25" s="906" t="n"/>
      <c r="M25" s="906" t="n"/>
      <c r="N25" s="906" t="n"/>
      <c r="O25" s="907" t="n"/>
      <c r="P25" s="871" t="n"/>
      <c r="Q25" s="65">
        <f>+J3-0.5</f>
        <v/>
      </c>
      <c r="R25" s="65">
        <f>+J3+0.5</f>
        <v/>
      </c>
      <c r="W25" s="257" t="n"/>
      <c r="X25" s="257" t="n"/>
      <c r="Y25" s="258" t="n"/>
    </row>
    <row r="26" ht="18" customFormat="1" customHeight="1" s="1">
      <c r="A26" s="930" t="inlineStr">
        <is>
          <t>Código tara</t>
        </is>
      </c>
      <c r="B26" s="931" t="n"/>
      <c r="C26" s="86" t="inlineStr">
        <is>
          <t>-</t>
        </is>
      </c>
      <c r="D26" s="901">
        <f>+FORMATO!D29</f>
        <v/>
      </c>
      <c r="E26" s="902" t="n"/>
      <c r="F26" s="901">
        <f>+FORMATO!F29</f>
        <v/>
      </c>
      <c r="G26" s="902" t="n"/>
      <c r="H26" s="901">
        <f>+FORMATO!H29</f>
        <v/>
      </c>
      <c r="I26" s="902" t="n"/>
      <c r="J26" s="901">
        <f>+FORMATO!J29</f>
        <v/>
      </c>
      <c r="K26" s="902" t="n"/>
      <c r="L26" s="901">
        <f>+FORMATO!L29</f>
        <v/>
      </c>
      <c r="M26" s="902" t="n"/>
      <c r="N26" s="901">
        <f>+FORMATO!O29</f>
        <v/>
      </c>
      <c r="O26" s="902" t="n"/>
      <c r="P26" s="871" t="n"/>
      <c r="T26" s="30" t="n"/>
      <c r="U26" s="30" t="n"/>
      <c r="W26" s="257" t="n"/>
      <c r="X26" s="257" t="n"/>
      <c r="Y26" s="258" t="n"/>
    </row>
    <row r="27" ht="18" customFormat="1" customHeight="1" s="1">
      <c r="A27" s="236" t="inlineStr">
        <is>
          <t>Masa de tara</t>
        </is>
      </c>
      <c r="B27" s="237" t="n"/>
      <c r="C27" s="233" t="inlineStr">
        <is>
          <t>g</t>
        </is>
      </c>
      <c r="D27" s="718">
        <f>+FORMATO!D30</f>
        <v/>
      </c>
      <c r="E27" s="70">
        <f>+D27+$N$5*D27</f>
        <v/>
      </c>
      <c r="F27" s="576">
        <f>+FORMATO!F30</f>
        <v/>
      </c>
      <c r="G27" s="70">
        <f>+F27+$N$5*F27</f>
        <v/>
      </c>
      <c r="H27" s="576">
        <f>+FORMATO!H30</f>
        <v/>
      </c>
      <c r="I27" s="70">
        <f>+H27+$N$5*H27</f>
        <v/>
      </c>
      <c r="J27" s="576">
        <f>+FORMATO!J30</f>
        <v/>
      </c>
      <c r="K27" s="70">
        <f>+J27+$N$5*J27</f>
        <v/>
      </c>
      <c r="L27" s="576">
        <f>+FORMATO!L30</f>
        <v/>
      </c>
      <c r="M27" s="70">
        <f>+L27+$N$5*L27</f>
        <v/>
      </c>
      <c r="N27" s="576">
        <f>+FORMATO!O30</f>
        <v/>
      </c>
      <c r="O27" s="70">
        <f>+N27+$N$5*N27</f>
        <v/>
      </c>
      <c r="P27" s="871" t="n"/>
      <c r="Q27" s="65" t="inlineStr">
        <is>
          <t>Masa minima humedad (g)</t>
        </is>
      </c>
      <c r="R27" s="65" t="n"/>
      <c r="S27" s="858" t="n">
        <v>2500</v>
      </c>
      <c r="T27" s="30" t="n"/>
      <c r="U27" s="30" t="n"/>
      <c r="W27" s="257" t="n"/>
      <c r="X27" s="257" t="n"/>
      <c r="Y27" s="258" t="n"/>
    </row>
    <row r="28" ht="18" customFormat="1" customHeight="1" s="1">
      <c r="A28" s="306" t="inlineStr">
        <is>
          <t>Masa de suelo húmedo + tara</t>
        </is>
      </c>
      <c r="B28" s="307" t="n"/>
      <c r="C28" s="87" t="inlineStr">
        <is>
          <t>g</t>
        </is>
      </c>
      <c r="D28" s="576">
        <f>+FORMATO!D31</f>
        <v/>
      </c>
      <c r="E28" s="70">
        <f>+D28+$N$5*D28</f>
        <v/>
      </c>
      <c r="F28" s="576">
        <f>+FORMATO!F31</f>
        <v/>
      </c>
      <c r="G28" s="70">
        <f>+F28+$N$5*F28</f>
        <v/>
      </c>
      <c r="H28" s="576">
        <f>+FORMATO!H31</f>
        <v/>
      </c>
      <c r="I28" s="70">
        <f>+H28+$N$5*H28</f>
        <v/>
      </c>
      <c r="J28" s="576">
        <f>+FORMATO!J31</f>
        <v/>
      </c>
      <c r="K28" s="70">
        <f>+J28+$N$5*J28</f>
        <v/>
      </c>
      <c r="L28" s="576">
        <f>+FORMATO!L31</f>
        <v/>
      </c>
      <c r="M28" s="70">
        <f>+L28+$N$5*L28</f>
        <v/>
      </c>
      <c r="N28" s="576">
        <f>+FORMATO!O31</f>
        <v/>
      </c>
      <c r="O28" s="70">
        <f>+N28+$N$5*N28</f>
        <v/>
      </c>
      <c r="P28" s="871" t="n"/>
      <c r="Q28" s="643">
        <f>+D26</f>
        <v/>
      </c>
      <c r="R28" s="165">
        <f>+D28-D27</f>
        <v/>
      </c>
      <c r="S28" s="661">
        <f>+IF(R28&gt;$S$27,"cumple","no cumple")</f>
        <v/>
      </c>
      <c r="W28" s="257" t="n"/>
      <c r="X28" s="257" t="n"/>
      <c r="Y28" s="258" t="n"/>
    </row>
    <row r="29" ht="18" customFormat="1" customHeight="1" s="1">
      <c r="A29" s="236" t="inlineStr">
        <is>
          <t>Masa de suelo seco + tara</t>
        </is>
      </c>
      <c r="B29" s="237" t="n"/>
      <c r="C29" s="233" t="inlineStr">
        <is>
          <t>g</t>
        </is>
      </c>
      <c r="D29" s="576">
        <f>+FORMATO!D33</f>
        <v/>
      </c>
      <c r="E29" s="71">
        <f>+D29+$N$5*D29</f>
        <v/>
      </c>
      <c r="F29" s="576">
        <f>+FORMATO!F33</f>
        <v/>
      </c>
      <c r="G29" s="71">
        <f>+F29+$N$5*F29</f>
        <v/>
      </c>
      <c r="H29" s="576">
        <f>+FORMATO!H33</f>
        <v/>
      </c>
      <c r="I29" s="71">
        <f>+H29+$N$5*H29</f>
        <v/>
      </c>
      <c r="J29" s="576">
        <f>+FORMATO!J33</f>
        <v/>
      </c>
      <c r="K29" s="71">
        <f>+J29+$N$5*J29</f>
        <v/>
      </c>
      <c r="L29" s="576">
        <f>+FORMATO!L33</f>
        <v/>
      </c>
      <c r="M29" s="71">
        <f>+L29+$N$5*L29</f>
        <v/>
      </c>
      <c r="N29" s="576">
        <f>+FORMATO!O33</f>
        <v/>
      </c>
      <c r="O29" s="71">
        <f>+N29+$N$5*N29</f>
        <v/>
      </c>
      <c r="P29" s="871" t="n"/>
      <c r="Q29" s="643">
        <f>+H26</f>
        <v/>
      </c>
      <c r="R29" s="165">
        <f>+H28-H27</f>
        <v/>
      </c>
      <c r="S29" s="661">
        <f>+IF(R29&gt;$S$27,"cumple","no cumple")</f>
        <v/>
      </c>
      <c r="W29" s="257" t="n"/>
      <c r="X29" s="257" t="n"/>
      <c r="Y29" s="257" t="n"/>
    </row>
    <row r="30" ht="18" customFormat="1" customHeight="1" s="1">
      <c r="A30" s="236" t="inlineStr">
        <is>
          <t>Masa de suelo seco + tara CONSTANTE</t>
        </is>
      </c>
      <c r="B30" s="237" t="n"/>
      <c r="C30" s="233" t="inlineStr">
        <is>
          <t>g</t>
        </is>
      </c>
      <c r="D30" s="576">
        <f>+FORMATO!D34</f>
        <v/>
      </c>
      <c r="E30" s="71">
        <f>+D30+$N$5*D30</f>
        <v/>
      </c>
      <c r="F30" s="576">
        <f>+FORMATO!F34</f>
        <v/>
      </c>
      <c r="G30" s="71">
        <f>+F30+$N$5*F30</f>
        <v/>
      </c>
      <c r="H30" s="576">
        <f>+FORMATO!H34</f>
        <v/>
      </c>
      <c r="I30" s="71">
        <f>+H30+$N$5*H30</f>
        <v/>
      </c>
      <c r="J30" s="576">
        <f>+FORMATO!J34</f>
        <v/>
      </c>
      <c r="K30" s="71">
        <f>+J30+$N$5*J30</f>
        <v/>
      </c>
      <c r="L30" s="576">
        <f>+FORMATO!L34</f>
        <v/>
      </c>
      <c r="M30" s="71">
        <f>+L30+$N$5*L30</f>
        <v/>
      </c>
      <c r="N30" s="576">
        <f>+FORMATO!O34</f>
        <v/>
      </c>
      <c r="O30" s="71">
        <f>+N30+$N$5*N30</f>
        <v/>
      </c>
      <c r="P30" s="871" t="n"/>
      <c r="Q30" s="643">
        <f>+L26</f>
        <v/>
      </c>
      <c r="R30" s="165">
        <f>+L28-L27</f>
        <v/>
      </c>
      <c r="S30" s="661">
        <f>+IF(R30&gt;$S$27,"cumple","no cumple")</f>
        <v/>
      </c>
      <c r="W30" s="257" t="n"/>
      <c r="X30" s="257" t="n"/>
      <c r="Y30" s="257" t="n"/>
    </row>
    <row r="31" ht="18" customFormat="1" customHeight="1" s="1">
      <c r="A31" s="236" t="inlineStr">
        <is>
          <t>Masa de agua</t>
        </is>
      </c>
      <c r="B31" s="237" t="n"/>
      <c r="C31" s="233" t="inlineStr">
        <is>
          <t>g</t>
        </is>
      </c>
      <c r="D31" s="291" t="n"/>
      <c r="E31" s="71">
        <f>+E28-E30</f>
        <v/>
      </c>
      <c r="F31" s="291" t="n"/>
      <c r="G31" s="71">
        <f>+G28-G30</f>
        <v/>
      </c>
      <c r="H31" s="291" t="n"/>
      <c r="I31" s="71">
        <f>+I28-I30</f>
        <v/>
      </c>
      <c r="J31" s="291" t="n"/>
      <c r="K31" s="71">
        <f>+K28-K30</f>
        <v/>
      </c>
      <c r="L31" s="291" t="n"/>
      <c r="M31" s="71">
        <f>+M28-M30</f>
        <v/>
      </c>
      <c r="N31" s="291" t="n"/>
      <c r="O31" s="71">
        <f>+O28-O30</f>
        <v/>
      </c>
      <c r="P31" s="871" t="n"/>
      <c r="Q31" s="871" t="n"/>
      <c r="R31" s="660" t="n"/>
      <c r="W31" s="257" t="n"/>
      <c r="X31" s="257" t="n"/>
    </row>
    <row r="32" ht="18" customFormat="1" customHeight="1" s="1" thickBot="1">
      <c r="A32" s="934" t="inlineStr">
        <is>
          <t xml:space="preserve">Contenido de humedad </t>
        </is>
      </c>
      <c r="B32" s="904" t="n"/>
      <c r="C32" s="85" t="inlineStr">
        <is>
          <t>%</t>
        </is>
      </c>
      <c r="D32" s="73" t="n"/>
      <c r="E32" s="74">
        <f>+(E31/(E30-E27))*100</f>
        <v/>
      </c>
      <c r="F32" s="75" t="n"/>
      <c r="G32" s="74">
        <f>+(G31/(G30-G27))*100</f>
        <v/>
      </c>
      <c r="H32" s="75" t="n"/>
      <c r="I32" s="74">
        <f>+(I31/(I30-I27))*100</f>
        <v/>
      </c>
      <c r="J32" s="75" t="n"/>
      <c r="K32" s="74">
        <f>+(K31/(K30-K27))*100</f>
        <v/>
      </c>
      <c r="L32" s="75" t="n"/>
      <c r="M32" s="74">
        <f>+(M31/(M30-M27))*100</f>
        <v/>
      </c>
      <c r="N32" s="75" t="n"/>
      <c r="O32" s="74">
        <f>+(O31/(O30-O27))*100</f>
        <v/>
      </c>
      <c r="P32" s="871" t="n"/>
      <c r="Q32" s="871" t="n"/>
      <c r="R32" s="871" t="n"/>
      <c r="W32" s="257" t="n"/>
      <c r="X32" s="257" t="n"/>
      <c r="Y32" s="257" t="n"/>
    </row>
    <row r="33" ht="18" customFormat="1" customHeight="1" s="1" thickBot="1">
      <c r="A33" s="905" t="inlineStr">
        <is>
          <t>HINCHAMIENTO</t>
        </is>
      </c>
      <c r="B33" s="906" t="n"/>
      <c r="C33" s="906" t="n"/>
      <c r="D33" s="906" t="n"/>
      <c r="E33" s="906" t="n"/>
      <c r="F33" s="906" t="n"/>
      <c r="G33" s="906" t="n"/>
      <c r="H33" s="906" t="n"/>
      <c r="I33" s="906" t="n"/>
      <c r="J33" s="906" t="n"/>
      <c r="K33" s="906" t="n"/>
      <c r="L33" s="906" t="n"/>
      <c r="M33" s="906" t="n"/>
      <c r="N33" s="906" t="n"/>
      <c r="O33" s="907" t="n"/>
      <c r="P33" s="871" t="n"/>
      <c r="Q33" s="871" t="n"/>
      <c r="V33" s="257" t="n"/>
      <c r="W33" s="257" t="n"/>
      <c r="X33" s="257" t="n"/>
      <c r="Y33" s="257" t="n"/>
    </row>
    <row r="34" ht="18" customFormat="1" customHeight="1" s="1">
      <c r="A34" s="944" t="inlineStr">
        <is>
          <t>FECHA</t>
        </is>
      </c>
      <c r="B34" s="912" t="inlineStr">
        <is>
          <t>HORA</t>
        </is>
      </c>
      <c r="C34" s="220" t="inlineStr">
        <is>
          <t>TIEMPO</t>
        </is>
      </c>
      <c r="D34" s="912" t="inlineStr">
        <is>
          <t>DIAL (0.001 in)</t>
        </is>
      </c>
      <c r="E34" s="922" t="n"/>
      <c r="F34" s="912" t="inlineStr">
        <is>
          <t>EXPANSION</t>
        </is>
      </c>
      <c r="G34" s="913" t="n"/>
      <c r="H34" s="912" t="inlineStr">
        <is>
          <t>DIAL (0.001 in)</t>
        </is>
      </c>
      <c r="I34" s="922" t="n"/>
      <c r="J34" s="912" t="inlineStr">
        <is>
          <t>EXPANSION</t>
        </is>
      </c>
      <c r="K34" s="913" t="n"/>
      <c r="L34" s="912" t="inlineStr">
        <is>
          <t>DIAL (0.001 in)</t>
        </is>
      </c>
      <c r="M34" s="922" t="n"/>
      <c r="N34" s="946" t="inlineStr">
        <is>
          <t>EXPANSION</t>
        </is>
      </c>
      <c r="O34" s="947" t="n"/>
      <c r="P34" s="871" t="n"/>
      <c r="Q34" s="871" t="n"/>
      <c r="V34" s="871" t="n"/>
      <c r="W34" s="871" t="n"/>
    </row>
    <row r="35" ht="18" customFormat="1" customHeight="1" s="1">
      <c r="A35" s="945" t="n"/>
      <c r="B35" s="832" t="n"/>
      <c r="C35" s="88" t="inlineStr">
        <is>
          <t>Hr.</t>
        </is>
      </c>
      <c r="D35" s="923" t="n"/>
      <c r="E35" s="831" t="n"/>
      <c r="F35" s="88" t="inlineStr">
        <is>
          <t>mm</t>
        </is>
      </c>
      <c r="G35" s="88" t="inlineStr">
        <is>
          <t>%</t>
        </is>
      </c>
      <c r="H35" s="923" t="n"/>
      <c r="I35" s="831" t="n"/>
      <c r="J35" s="88" t="inlineStr">
        <is>
          <t>mm</t>
        </is>
      </c>
      <c r="K35" s="88" t="inlineStr">
        <is>
          <t>%</t>
        </is>
      </c>
      <c r="L35" s="923" t="n"/>
      <c r="M35" s="831" t="n"/>
      <c r="N35" s="88" t="inlineStr">
        <is>
          <t>mm</t>
        </is>
      </c>
      <c r="O35" s="89" t="inlineStr">
        <is>
          <t>%</t>
        </is>
      </c>
      <c r="P35" s="871" t="n"/>
      <c r="Q35" s="871" t="n"/>
      <c r="R35" s="871" t="n"/>
      <c r="S35" s="871" t="n"/>
      <c r="T35" s="871" t="n"/>
      <c r="U35" s="871" t="n"/>
      <c r="V35" s="871" t="n"/>
      <c r="W35" s="871" t="n"/>
    </row>
    <row r="36" ht="18" customFormat="1" customHeight="1" s="1">
      <c r="A36" s="209" t="n">
        <v>0</v>
      </c>
      <c r="B36" s="210">
        <f>IF(A36="","","11:00:00")</f>
        <v/>
      </c>
      <c r="C36" s="57" t="n">
        <v>0</v>
      </c>
      <c r="D36" s="909">
        <f>+FORMATO!O40</f>
        <v/>
      </c>
      <c r="E36" s="853" t="n"/>
      <c r="F36" s="211">
        <f>IF(D36="","",D36*0.001*2.54*10)</f>
        <v/>
      </c>
      <c r="G36" s="212">
        <f>IF(F36="","",F36/$W$4*100)</f>
        <v/>
      </c>
      <c r="H36" s="909">
        <f>+FORMATO!P40</f>
        <v/>
      </c>
      <c r="I36" s="853" t="n"/>
      <c r="J36" s="211">
        <f>IF(H36="","",H36*0.001*2.54*10)</f>
        <v/>
      </c>
      <c r="K36" s="212">
        <f>IF(J36="","",J36/$W$4*100)</f>
        <v/>
      </c>
      <c r="L36" s="909">
        <f>+FORMATO!Q40</f>
        <v/>
      </c>
      <c r="M36" s="853" t="n"/>
      <c r="N36" s="211">
        <f>IF(L36="","",L36*0.001*2.54*10)</f>
        <v/>
      </c>
      <c r="O36" s="213">
        <f>IF(N36="","",N36/$W$4*100)</f>
        <v/>
      </c>
      <c r="P36" s="871" t="n"/>
      <c r="Q36" s="871" t="n"/>
      <c r="R36" s="871" t="n"/>
      <c r="S36" s="871" t="n"/>
      <c r="T36" s="871" t="n"/>
      <c r="U36" s="871" t="n"/>
      <c r="V36" s="871" t="n"/>
      <c r="W36" s="871" t="n"/>
    </row>
    <row r="37" ht="18" customFormat="1" customHeight="1" s="1">
      <c r="A37" s="209">
        <f>IF(A36="","",1+A36)</f>
        <v/>
      </c>
      <c r="B37" s="210">
        <f>B36</f>
        <v/>
      </c>
      <c r="C37" s="232" t="n">
        <v>24</v>
      </c>
      <c r="D37" s="909">
        <f>+FORMATO!O41</f>
        <v/>
      </c>
      <c r="E37" s="853" t="n"/>
      <c r="F37" s="211">
        <f>IF(D37="","",D37*0.001*2.54*10)</f>
        <v/>
      </c>
      <c r="G37" s="212">
        <f>IF(F37="","",F37/$W$4*100)</f>
        <v/>
      </c>
      <c r="H37" s="909">
        <f>+FORMATO!P41</f>
        <v/>
      </c>
      <c r="I37" s="853" t="n"/>
      <c r="J37" s="211">
        <f>IF(H37="","",H37*0.001*2.54*10)</f>
        <v/>
      </c>
      <c r="K37" s="212">
        <f>IF(J37="","",J37/$W$4*100)</f>
        <v/>
      </c>
      <c r="L37" s="909">
        <f>+FORMATO!Q41</f>
        <v/>
      </c>
      <c r="M37" s="853" t="n"/>
      <c r="N37" s="211">
        <f>IF(L37="","",L37*0.001*2.54*10)</f>
        <v/>
      </c>
      <c r="O37" s="213">
        <f>IF(N37="","",N37/$W$4*100)</f>
        <v/>
      </c>
      <c r="P37" s="871" t="n"/>
      <c r="Q37" s="871" t="n"/>
      <c r="R37" s="260" t="n"/>
      <c r="S37" s="871" t="n"/>
      <c r="T37" s="123" t="n"/>
      <c r="U37" s="123" t="n"/>
      <c r="V37" s="871" t="n"/>
      <c r="W37" s="871" t="n"/>
    </row>
    <row r="38" ht="18" customFormat="1" customHeight="1" s="1">
      <c r="A38" s="209">
        <f>IF(A37="","",1+A37)</f>
        <v/>
      </c>
      <c r="B38" s="210">
        <f>B37</f>
        <v/>
      </c>
      <c r="C38" s="57" t="n">
        <v>48</v>
      </c>
      <c r="D38" s="909">
        <f>+FORMATO!O42</f>
        <v/>
      </c>
      <c r="E38" s="853" t="n"/>
      <c r="F38" s="211">
        <f>IF(D38="","",D38*0.001*2.54*10)</f>
        <v/>
      </c>
      <c r="G38" s="212">
        <f>IF(F38="","",F38/$W$4*100)</f>
        <v/>
      </c>
      <c r="H38" s="909">
        <f>+FORMATO!P42</f>
        <v/>
      </c>
      <c r="I38" s="853" t="n"/>
      <c r="J38" s="211">
        <f>IF(H38="","",H38*0.001*2.54*10)</f>
        <v/>
      </c>
      <c r="K38" s="212">
        <f>IF(J38="","",J38/$W$4*100)</f>
        <v/>
      </c>
      <c r="L38" s="909">
        <f>+FORMATO!Q42</f>
        <v/>
      </c>
      <c r="M38" s="853" t="n"/>
      <c r="N38" s="211">
        <f>IF(L38="","",L38*0.001*2.54*10)</f>
        <v/>
      </c>
      <c r="O38" s="213">
        <f>IF(N38="","",N38/$W$4*100)</f>
        <v/>
      </c>
      <c r="P38" s="871" t="n"/>
      <c r="Q38" s="871" t="n"/>
      <c r="R38" s="871" t="n"/>
      <c r="S38" s="871" t="n"/>
      <c r="T38" s="871" t="n"/>
      <c r="U38" s="871" t="n"/>
      <c r="V38" s="871" t="n"/>
      <c r="W38" s="871" t="n"/>
    </row>
    <row r="39" ht="18" customFormat="1" customHeight="1" s="1">
      <c r="A39" s="209">
        <f>IF(A38="","",1+A38)</f>
        <v/>
      </c>
      <c r="B39" s="210">
        <f>B38</f>
        <v/>
      </c>
      <c r="C39" s="57" t="n">
        <v>72</v>
      </c>
      <c r="D39" s="909">
        <f>+FORMATO!O43</f>
        <v/>
      </c>
      <c r="E39" s="853" t="n"/>
      <c r="F39" s="211">
        <f>IF(D39="","",D39*0.001*2.54*10)</f>
        <v/>
      </c>
      <c r="G39" s="212">
        <f>IF(F39="","",F39/$W$4*100)</f>
        <v/>
      </c>
      <c r="H39" s="909">
        <f>+FORMATO!P43</f>
        <v/>
      </c>
      <c r="I39" s="853" t="n"/>
      <c r="J39" s="211">
        <f>IF(H39="","",H39*0.001*2.54*10)</f>
        <v/>
      </c>
      <c r="K39" s="212">
        <f>IF(J39="","",J39/$W$4*100)</f>
        <v/>
      </c>
      <c r="L39" s="909">
        <f>+FORMATO!Q43</f>
        <v/>
      </c>
      <c r="M39" s="853" t="n"/>
      <c r="N39" s="211">
        <f>IF(L39="","",L39*0.001*2.54*10)</f>
        <v/>
      </c>
      <c r="O39" s="213">
        <f>IF(N39="","",N39/$W$4*100)</f>
        <v/>
      </c>
      <c r="P39" s="871" t="n"/>
      <c r="Q39" s="871" t="n"/>
      <c r="R39" s="871" t="n"/>
      <c r="S39" s="871" t="n"/>
      <c r="T39" s="871" t="n"/>
      <c r="U39" s="871" t="n"/>
      <c r="V39" s="871" t="n"/>
      <c r="W39" s="871" t="n"/>
    </row>
    <row r="40" ht="18" customFormat="1" customHeight="1" s="1" thickBot="1">
      <c r="A40" s="214">
        <f>IF(A39="","",1+A39)</f>
        <v/>
      </c>
      <c r="B40" s="215">
        <f>B39</f>
        <v/>
      </c>
      <c r="C40" s="216" t="n">
        <v>96</v>
      </c>
      <c r="D40" s="909">
        <f>+FORMATO!O44</f>
        <v/>
      </c>
      <c r="E40" s="853" t="n"/>
      <c r="F40" s="217">
        <f>IF(D40="","",D40*0.001*2.54*10)</f>
        <v/>
      </c>
      <c r="G40" s="218">
        <f>IF(F40="","",F40/$W$4*100)</f>
        <v/>
      </c>
      <c r="H40" s="909">
        <f>+FORMATO!P44</f>
        <v/>
      </c>
      <c r="I40" s="853" t="n"/>
      <c r="J40" s="217">
        <f>IF(H40="","",H40*0.001*2.54*10)</f>
        <v/>
      </c>
      <c r="K40" s="218">
        <f>IF(J40="","",J40/$W$4*100)</f>
        <v/>
      </c>
      <c r="L40" s="909">
        <f>+FORMATO!Q44</f>
        <v/>
      </c>
      <c r="M40" s="853" t="n"/>
      <c r="N40" s="217">
        <f>IF(L40="","",L40*0.001*2.54*10)</f>
        <v/>
      </c>
      <c r="O40" s="219">
        <f>IF(N40="","",N40/$W$4*100)</f>
        <v/>
      </c>
      <c r="P40" s="871" t="n"/>
      <c r="Q40" s="871" t="n"/>
      <c r="R40" s="871" t="n"/>
      <c r="S40" s="871" t="n"/>
      <c r="T40" s="871" t="n"/>
      <c r="U40" s="871" t="n"/>
      <c r="V40" s="871" t="n"/>
      <c r="W40" s="871" t="n"/>
    </row>
    <row r="41" ht="18" customFormat="1" customHeight="1" s="1" thickBot="1">
      <c r="A41" s="905" t="inlineStr">
        <is>
          <t>LECTURA DE PENETRACION</t>
        </is>
      </c>
      <c r="B41" s="906" t="n"/>
      <c r="C41" s="906" t="n"/>
      <c r="D41" s="906" t="n"/>
      <c r="E41" s="906" t="n"/>
      <c r="F41" s="906" t="n"/>
      <c r="G41" s="906" t="n"/>
      <c r="H41" s="906" t="n"/>
      <c r="I41" s="906" t="n"/>
      <c r="J41" s="906" t="n"/>
      <c r="K41" s="906" t="n"/>
      <c r="L41" s="906" t="n"/>
      <c r="M41" s="906" t="n"/>
      <c r="N41" s="906" t="n"/>
      <c r="O41" s="907" t="n"/>
      <c r="P41" s="871" t="n"/>
      <c r="Q41" s="871" t="n"/>
      <c r="R41" s="871" t="n"/>
      <c r="S41" s="871" t="n"/>
      <c r="T41" s="871" t="n"/>
      <c r="U41" s="871" t="n"/>
      <c r="V41" s="871" t="n"/>
      <c r="W41" s="871" t="n"/>
    </row>
    <row r="42" ht="20.25" customFormat="1" customHeight="1" s="1">
      <c r="A42" s="884" t="inlineStr">
        <is>
          <t>Penetración</t>
        </is>
      </c>
      <c r="B42" s="933" t="n"/>
      <c r="C42" s="261" t="inlineStr">
        <is>
          <t>Tension Estandar SS</t>
        </is>
      </c>
      <c r="D42" s="993">
        <f>+D15</f>
        <v/>
      </c>
      <c r="E42" s="918" t="n"/>
      <c r="F42" s="918" t="n"/>
      <c r="G42" s="919" t="n"/>
      <c r="H42" s="993">
        <f>+H15</f>
        <v/>
      </c>
      <c r="I42" s="918" t="n"/>
      <c r="J42" s="918" t="n"/>
      <c r="K42" s="919" t="n"/>
      <c r="L42" s="993">
        <f>+L15</f>
        <v/>
      </c>
      <c r="M42" s="918" t="n"/>
      <c r="N42" s="918" t="n"/>
      <c r="O42" s="919" t="n"/>
      <c r="P42" s="871" t="n"/>
      <c r="V42" s="871" t="n"/>
      <c r="W42" s="871" t="n"/>
    </row>
    <row r="43" ht="34.5" customFormat="1" customHeight="1" s="1">
      <c r="A43" s="262" t="inlineStr">
        <is>
          <t>(in.)</t>
        </is>
      </c>
      <c r="B43" s="858" t="inlineStr">
        <is>
          <t>(mm.)</t>
        </is>
      </c>
      <c r="C43" s="235" t="inlineStr">
        <is>
          <t>psi = lbf/in2</t>
        </is>
      </c>
      <c r="D43" s="263" t="inlineStr">
        <is>
          <t>lectura Dial kg</t>
        </is>
      </c>
      <c r="E43" s="869" t="inlineStr">
        <is>
          <t>lectura corregida Dial kg</t>
        </is>
      </c>
      <c r="F43" s="869" t="inlineStr">
        <is>
          <t>Esfuerzo kg/cm2</t>
        </is>
      </c>
      <c r="G43" s="264" t="inlineStr">
        <is>
          <t>Esfuerzo lbf/in2</t>
        </is>
      </c>
      <c r="H43" s="239" t="inlineStr">
        <is>
          <t>lectura Dial kg</t>
        </is>
      </c>
      <c r="I43" s="869" t="inlineStr">
        <is>
          <t>lectura corregida Dial kg</t>
        </is>
      </c>
      <c r="J43" s="869" t="inlineStr">
        <is>
          <t>Esfuerzo kg/cm2</t>
        </is>
      </c>
      <c r="K43" s="238" t="inlineStr">
        <is>
          <t>Esfuerzo lbf/in2</t>
        </is>
      </c>
      <c r="L43" s="263" t="inlineStr">
        <is>
          <t>lectura Dial kg</t>
        </is>
      </c>
      <c r="M43" s="869" t="inlineStr">
        <is>
          <t>lectura corregida Dial kg</t>
        </is>
      </c>
      <c r="N43" s="869" t="inlineStr">
        <is>
          <t>Esfuerzo kg/cm2</t>
        </is>
      </c>
      <c r="O43" s="264" t="inlineStr">
        <is>
          <t>Esfuerzo lbf/in2</t>
        </is>
      </c>
      <c r="P43" s="871" t="n"/>
      <c r="V43" s="871" t="n"/>
      <c r="W43" s="871" t="n"/>
    </row>
    <row r="44" ht="18" customFormat="1" customHeight="1" s="1">
      <c r="A44" s="164" t="n">
        <v>0</v>
      </c>
      <c r="B44" s="265" t="n">
        <v>0</v>
      </c>
      <c r="D44" s="719">
        <f>+FORMATO!E40</f>
        <v/>
      </c>
      <c r="E44" s="644">
        <f>+D44</f>
        <v/>
      </c>
      <c r="F44" s="165" t="n">
        <v>0</v>
      </c>
      <c r="G44" s="266" t="n">
        <v>0</v>
      </c>
      <c r="H44" s="588">
        <f>+FORMATO!G40</f>
        <v/>
      </c>
      <c r="I44" s="644">
        <f>+H44</f>
        <v/>
      </c>
      <c r="J44" s="165" t="n">
        <v>0</v>
      </c>
      <c r="K44" s="267" t="n">
        <v>0</v>
      </c>
      <c r="L44" s="587">
        <f>+FORMATO!I40</f>
        <v/>
      </c>
      <c r="M44" s="644">
        <f>+L44</f>
        <v/>
      </c>
      <c r="N44" s="165" t="n">
        <v>0</v>
      </c>
      <c r="O44" s="266" t="n">
        <v>0</v>
      </c>
      <c r="P44" s="871" t="n"/>
      <c r="Q44" s="642" t="inlineStr">
        <is>
          <t>A</t>
        </is>
      </c>
      <c r="R44" s="643" t="n">
        <v>1.071397</v>
      </c>
      <c r="T44" s="871" t="n"/>
      <c r="U44" s="871" t="n"/>
      <c r="V44" s="332" t="n"/>
      <c r="W44" s="871" t="n"/>
    </row>
    <row r="45" ht="18" customFormat="1" customHeight="1" s="1">
      <c r="A45" s="164" t="n">
        <v>0.025</v>
      </c>
      <c r="B45" s="265" t="n">
        <v>0.64</v>
      </c>
      <c r="C45" s="268" t="n"/>
      <c r="D45" s="719">
        <f>+FORMATO!E41</f>
        <v/>
      </c>
      <c r="E45" s="644">
        <f>+$R$44+D45*$R$45+D45*$R$46+D45*$R$47</f>
        <v/>
      </c>
      <c r="F45" s="165">
        <f>IF(D45="","",E45/$D$9)</f>
        <v/>
      </c>
      <c r="G45" s="266">
        <f>IF(D45="","",F45*14.223343334285)</f>
        <v/>
      </c>
      <c r="H45" s="588">
        <f>+FORMATO!G41</f>
        <v/>
      </c>
      <c r="I45" s="644">
        <f>+$R$44+H45*$R$45+H45*$R$46+H45*$R$47</f>
        <v/>
      </c>
      <c r="J45" s="165">
        <f>IF(H45="","",I45/$D$9)</f>
        <v/>
      </c>
      <c r="K45" s="267">
        <f>IF(H45="","",J45*14.223343334285)</f>
        <v/>
      </c>
      <c r="L45" s="587">
        <f>+FORMATO!I41</f>
        <v/>
      </c>
      <c r="M45" s="644">
        <f>+$R$44+L45*$R$45+L45*$R$46+L45*$R$47</f>
        <v/>
      </c>
      <c r="N45" s="165">
        <f>IF(L45="","",M45/$D$9)</f>
        <v/>
      </c>
      <c r="O45" s="266">
        <f>IF(L45="","",N45*14.223343334285)</f>
        <v/>
      </c>
      <c r="P45" s="871" t="n"/>
      <c r="Q45" s="642" t="inlineStr">
        <is>
          <t>B</t>
        </is>
      </c>
      <c r="R45" s="643" t="n">
        <v>0.9825524</v>
      </c>
      <c r="T45" s="871" t="n"/>
      <c r="U45" s="871" t="n"/>
      <c r="V45" s="332" t="n"/>
      <c r="W45" s="871" t="n"/>
    </row>
    <row r="46" ht="18" customHeight="1">
      <c r="A46" s="164" t="n">
        <v>0.05</v>
      </c>
      <c r="B46" s="265" t="n">
        <v>1.3</v>
      </c>
      <c r="C46" s="268" t="n"/>
      <c r="D46" s="719">
        <f>+FORMATO!E42</f>
        <v/>
      </c>
      <c r="E46" s="644">
        <f>+$R$44+D46*$R$45+D46*$R$46+D46*$R$47</f>
        <v/>
      </c>
      <c r="F46" s="165">
        <f>IF(D46="","",E46/$D$9)</f>
        <v/>
      </c>
      <c r="G46" s="266">
        <f>IF(D46="","",F46*14.223343334285)</f>
        <v/>
      </c>
      <c r="H46" s="588">
        <f>+FORMATO!G42</f>
        <v/>
      </c>
      <c r="I46" s="644">
        <f>+$R$44+H46*$R$45+H46*$R$46+H46*$R$47</f>
        <v/>
      </c>
      <c r="J46" s="165">
        <f>IF(H46="","",I46/$D$9)</f>
        <v/>
      </c>
      <c r="K46" s="267">
        <f>IF(H46="","",J46*14.223343334285)</f>
        <v/>
      </c>
      <c r="L46" s="587">
        <f>+FORMATO!I42</f>
        <v/>
      </c>
      <c r="M46" s="644">
        <f>+$R$44+L46*$R$45+L46*$R$46+L46*$R$47</f>
        <v/>
      </c>
      <c r="N46" s="165">
        <f>IF(L46="","",M46/$D$9)</f>
        <v/>
      </c>
      <c r="O46" s="266">
        <f>IF(L46="","",N46*14.223343334285)</f>
        <v/>
      </c>
      <c r="Q46" s="642" t="inlineStr">
        <is>
          <t>C</t>
        </is>
      </c>
      <c r="R46" s="643" t="n">
        <v>4.075525e-06</v>
      </c>
      <c r="S46" s="1" t="n"/>
      <c r="V46" s="332" t="n"/>
    </row>
    <row r="47" ht="18" customHeight="1">
      <c r="A47" s="164" t="n">
        <v>0.075</v>
      </c>
      <c r="B47" s="265" t="n">
        <v>1.9</v>
      </c>
      <c r="C47" s="268" t="n"/>
      <c r="D47" s="719">
        <f>+FORMATO!E43</f>
        <v/>
      </c>
      <c r="E47" s="644">
        <f>+$R$44+D47*$R$45+D47*$R$46+D47*$R$47</f>
        <v/>
      </c>
      <c r="F47" s="165">
        <f>IF(D47="","",E47/$D$9)</f>
        <v/>
      </c>
      <c r="G47" s="266">
        <f>IF(D47="","",F47*14.223343334285)</f>
        <v/>
      </c>
      <c r="H47" s="588">
        <f>+FORMATO!G43</f>
        <v/>
      </c>
      <c r="I47" s="644">
        <f>+$R$44+H47*$R$45+H47*$R$46+H47*$R$47</f>
        <v/>
      </c>
      <c r="J47" s="165">
        <f>IF(H47="","",I47/$D$9)</f>
        <v/>
      </c>
      <c r="K47" s="267">
        <f>IF(H47="","",J47*14.223343334285)</f>
        <v/>
      </c>
      <c r="L47" s="587">
        <f>+FORMATO!I43</f>
        <v/>
      </c>
      <c r="M47" s="644">
        <f>+$R$44+L47*$R$45+L47*$R$46+L47*$R$47</f>
        <v/>
      </c>
      <c r="N47" s="165">
        <f>IF(L47="","",M47/$D$9)</f>
        <v/>
      </c>
      <c r="O47" s="266">
        <f>IF(L47="","",N47*14.223343334285)</f>
        <v/>
      </c>
      <c r="Q47" s="642" t="inlineStr">
        <is>
          <t>D</t>
        </is>
      </c>
      <c r="R47" s="643" t="n">
        <v>-4.304986e-10</v>
      </c>
      <c r="S47" s="1" t="n"/>
      <c r="V47" s="332" t="n"/>
    </row>
    <row r="48" ht="18" customHeight="1">
      <c r="A48" s="269" t="n">
        <v>0.1</v>
      </c>
      <c r="B48" s="270" t="n">
        <v>2.5</v>
      </c>
      <c r="C48" s="271" t="n">
        <v>1000</v>
      </c>
      <c r="D48" s="719">
        <f>+FORMATO!E44</f>
        <v/>
      </c>
      <c r="E48" s="272">
        <f>+$R$44+D48*$R$45+D48*$R$46+D48*$R$47</f>
        <v/>
      </c>
      <c r="F48" s="272">
        <f>IF(D48="","",E48/$D$9)</f>
        <v/>
      </c>
      <c r="G48" s="273">
        <f>IF(D48="","",F48*14.223343334285)</f>
        <v/>
      </c>
      <c r="H48" s="588">
        <f>+FORMATO!G44</f>
        <v/>
      </c>
      <c r="I48" s="659">
        <f>+$R$44+H48*$R$45+H48*$R$46+H48*$R$47</f>
        <v/>
      </c>
      <c r="J48" s="272">
        <f>IF(H48="","",I48/$D$9)</f>
        <v/>
      </c>
      <c r="K48" s="274">
        <f>IF(H48="","",J48*14.223343334285)</f>
        <v/>
      </c>
      <c r="L48" s="587">
        <f>+FORMATO!I44</f>
        <v/>
      </c>
      <c r="M48" s="272">
        <f>+$R$44+L48*$R$45+L48*$R$46+L48*$R$47</f>
        <v/>
      </c>
      <c r="N48" s="272">
        <f>IF(L48="","",M48/$D$9)</f>
        <v/>
      </c>
      <c r="O48" s="273">
        <f>IF(L48="","",N48*14.223343334285)</f>
        <v/>
      </c>
      <c r="Q48" s="332" t="n"/>
      <c r="S48" s="1" t="n"/>
      <c r="V48" s="332" t="n"/>
    </row>
    <row r="49" ht="18" customHeight="1">
      <c r="A49" s="164" t="n">
        <v>0.125</v>
      </c>
      <c r="B49" s="265" t="n">
        <v>3.18</v>
      </c>
      <c r="C49" s="268" t="n"/>
      <c r="D49" s="719">
        <f>+FORMATO!E45</f>
        <v/>
      </c>
      <c r="E49" s="644">
        <f>+$R$44+D49*$R$45+D49*$R$46+D49*$R$47</f>
        <v/>
      </c>
      <c r="F49" s="165">
        <f>IF(D49="","",E49/$D$9)</f>
        <v/>
      </c>
      <c r="G49" s="266">
        <f>IF(D49="","",F49*14.223343334285)</f>
        <v/>
      </c>
      <c r="H49" s="588">
        <f>+FORMATO!G45</f>
        <v/>
      </c>
      <c r="I49" s="644">
        <f>+$R$44+H49*$R$45+H49*$R$46+H49*$R$47</f>
        <v/>
      </c>
      <c r="J49" s="165">
        <f>IF(H49="","",I49/$D$9)</f>
        <v/>
      </c>
      <c r="K49" s="267">
        <f>IF(H49="","",J49*14.223343334285)</f>
        <v/>
      </c>
      <c r="L49" s="587">
        <f>+FORMATO!I45</f>
        <v/>
      </c>
      <c r="M49" s="644">
        <f>+$R$44+L49*$R$45+L49*$R$46+L49*$R$47</f>
        <v/>
      </c>
      <c r="N49" s="165">
        <f>IF(L49="","",M49/$D$9)</f>
        <v/>
      </c>
      <c r="O49" s="266">
        <f>IF(L49="","",N49*14.223343334285)</f>
        <v/>
      </c>
      <c r="Q49" s="332" t="n"/>
      <c r="S49" s="1" t="n"/>
      <c r="V49" s="332" t="n"/>
    </row>
    <row r="50" ht="18" customHeight="1">
      <c r="A50" s="164" t="n">
        <v>0.15</v>
      </c>
      <c r="B50" s="265" t="n">
        <v>3.8</v>
      </c>
      <c r="C50" s="268" t="n"/>
      <c r="D50" s="719">
        <f>+FORMATO!E46</f>
        <v/>
      </c>
      <c r="E50" s="644">
        <f>+$R$44+D50*$R$45+D50*$R$46+D50*$R$47</f>
        <v/>
      </c>
      <c r="F50" s="165">
        <f>IF(D50="","",E50/$D$9)</f>
        <v/>
      </c>
      <c r="G50" s="266">
        <f>IF(D50="","",F50*14.223343334285)</f>
        <v/>
      </c>
      <c r="H50" s="588">
        <f>+FORMATO!G46</f>
        <v/>
      </c>
      <c r="I50" s="644">
        <f>+$R$44+H50*$R$45+H50*$R$46+H50*$R$47</f>
        <v/>
      </c>
      <c r="J50" s="165">
        <f>IF(H50="","",I50/$D$9)</f>
        <v/>
      </c>
      <c r="K50" s="267">
        <f>IF(H50="","",J50*14.223343334285)</f>
        <v/>
      </c>
      <c r="L50" s="587">
        <f>+FORMATO!I46</f>
        <v/>
      </c>
      <c r="M50" s="644">
        <f>+$R$44+L50*$R$45+L50*$R$46+L50*$R$47</f>
        <v/>
      </c>
      <c r="N50" s="165">
        <f>IF(L50="","",M50/$D$9)</f>
        <v/>
      </c>
      <c r="O50" s="266">
        <f>IF(L50="","",N50*14.223343334285)</f>
        <v/>
      </c>
      <c r="Q50" s="332" t="n"/>
      <c r="S50" s="1" t="n"/>
      <c r="V50" s="332" t="n"/>
    </row>
    <row r="51" ht="18" customHeight="1">
      <c r="A51" s="164" t="n">
        <v>0.175</v>
      </c>
      <c r="B51" s="265" t="n">
        <v>4.45</v>
      </c>
      <c r="C51" s="268" t="n"/>
      <c r="D51" s="719">
        <f>+FORMATO!E47</f>
        <v/>
      </c>
      <c r="E51" s="644">
        <f>+$R$44+D51*$R$45+D51*$R$46+D51*$R$47</f>
        <v/>
      </c>
      <c r="F51" s="165">
        <f>IF(D51="","",E51/$D$9)</f>
        <v/>
      </c>
      <c r="G51" s="266">
        <f>IF(D51="","",F51*14.223343334285)</f>
        <v/>
      </c>
      <c r="H51" s="588">
        <f>+FORMATO!G47</f>
        <v/>
      </c>
      <c r="I51" s="644">
        <f>+$R$44+H51*$R$45+H51*$R$46+H51*$R$47</f>
        <v/>
      </c>
      <c r="J51" s="165">
        <f>IF(H51="","",I51/$D$9)</f>
        <v/>
      </c>
      <c r="K51" s="267">
        <f>IF(H51="","",J51*14.223343334285)</f>
        <v/>
      </c>
      <c r="L51" s="587">
        <f>+FORMATO!I47</f>
        <v/>
      </c>
      <c r="M51" s="644">
        <f>+$R$44+L51*$R$45+L51*$R$46+L51*$R$47</f>
        <v/>
      </c>
      <c r="N51" s="165">
        <f>IF(L51="","",M51/$D$9)</f>
        <v/>
      </c>
      <c r="O51" s="266">
        <f>IF(L51="","",N51*14.223343334285)</f>
        <v/>
      </c>
      <c r="Q51" s="332" t="n"/>
      <c r="S51" s="1" t="n"/>
      <c r="V51" s="332" t="n"/>
    </row>
    <row r="52" ht="18" customHeight="1">
      <c r="A52" s="269" t="n">
        <v>0.2</v>
      </c>
      <c r="B52" s="270" t="n">
        <v>5.1</v>
      </c>
      <c r="C52" s="271" t="n">
        <v>1500</v>
      </c>
      <c r="D52" s="719">
        <f>+FORMATO!E48</f>
        <v/>
      </c>
      <c r="E52" s="272">
        <f>+$R$44+D52*$R$45+D52*$R$46+D52*$R$47</f>
        <v/>
      </c>
      <c r="F52" s="272">
        <f>IF(D52="","",E52/$D$9)</f>
        <v/>
      </c>
      <c r="G52" s="273">
        <f>IF(D52="","",F52*14.223343334285)</f>
        <v/>
      </c>
      <c r="H52" s="588">
        <f>+FORMATO!G48</f>
        <v/>
      </c>
      <c r="I52" s="659">
        <f>+$R$44+H52*$R$45+H52*$R$46+H52*$R$47</f>
        <v/>
      </c>
      <c r="J52" s="272">
        <f>IF(H52="","",I52/$D$9)</f>
        <v/>
      </c>
      <c r="K52" s="274">
        <f>IF(H52="","",J52*14.223343334285)</f>
        <v/>
      </c>
      <c r="L52" s="587">
        <f>+FORMATO!I48</f>
        <v/>
      </c>
      <c r="M52" s="272">
        <f>+$R$44+L52*$R$45+L52*$R$46+L52*$R$47</f>
        <v/>
      </c>
      <c r="N52" s="272">
        <f>IF(L52="","",M52/$D$9)</f>
        <v/>
      </c>
      <c r="O52" s="273">
        <f>IF(L52="","",N52*14.223343334285)</f>
        <v/>
      </c>
      <c r="Q52" s="332" t="n"/>
      <c r="S52" s="1" t="n"/>
      <c r="V52" s="332" t="n"/>
    </row>
    <row r="53" ht="18" customHeight="1">
      <c r="A53" s="164" t="n">
        <v>0.3</v>
      </c>
      <c r="B53" s="265" t="n">
        <v>7.6</v>
      </c>
      <c r="C53" s="268" t="n"/>
      <c r="D53" s="719">
        <f>+FORMATO!E49</f>
        <v/>
      </c>
      <c r="E53" s="644">
        <f>+$R$44+D53*$R$45+D53*$R$46+D53*$R$47</f>
        <v/>
      </c>
      <c r="F53" s="165">
        <f>IF(D53="","",E53/$D$9)</f>
        <v/>
      </c>
      <c r="G53" s="266">
        <f>IF(D53="","",F53*14.223343334285)</f>
        <v/>
      </c>
      <c r="H53" s="588">
        <f>+FORMATO!G49</f>
        <v/>
      </c>
      <c r="I53" s="644">
        <f>+$R$44+H53*$R$45+H53*$R$46+H53*$R$47</f>
        <v/>
      </c>
      <c r="J53" s="165">
        <f>IF(H53="","",I53/$D$9)</f>
        <v/>
      </c>
      <c r="K53" s="267">
        <f>IF(H53="","",J53*14.223343334285)</f>
        <v/>
      </c>
      <c r="L53" s="587">
        <f>+FORMATO!I49</f>
        <v/>
      </c>
      <c r="M53" s="644">
        <f>+$R$44+L53*$R$45+L53*$R$46+L53*$R$47</f>
        <v/>
      </c>
      <c r="N53" s="165">
        <f>IF(L53="","",M53/$D$9)</f>
        <v/>
      </c>
      <c r="O53" s="266">
        <f>IF(L53="","",N53*14.223343334285)</f>
        <v/>
      </c>
      <c r="Q53" s="332" t="n"/>
      <c r="S53" s="1" t="n"/>
      <c r="V53" s="332" t="n"/>
    </row>
    <row r="54" ht="18" customHeight="1">
      <c r="A54" s="164" t="n">
        <v>0.4</v>
      </c>
      <c r="B54" s="265" t="n">
        <v>10</v>
      </c>
      <c r="C54" s="268" t="n"/>
      <c r="D54" s="719">
        <f>+FORMATO!E50</f>
        <v/>
      </c>
      <c r="E54" s="644">
        <f>+$R$44+D54*$R$45+D54*$R$46+D54*$R$47</f>
        <v/>
      </c>
      <c r="F54" s="165">
        <f>IF(D54="","",E54/$D$9)</f>
        <v/>
      </c>
      <c r="G54" s="266">
        <f>IF(D54="","",F54*14.223343334285)</f>
        <v/>
      </c>
      <c r="H54" s="588">
        <f>+FORMATO!G50</f>
        <v/>
      </c>
      <c r="I54" s="644">
        <f>+$R$44+H54*$R$45+H54*$R$46+H54*$R$47</f>
        <v/>
      </c>
      <c r="J54" s="165">
        <f>IF(H54="","",I54/$D$9)</f>
        <v/>
      </c>
      <c r="K54" s="267">
        <f>IF(H54="","",J54*14.223343334285)</f>
        <v/>
      </c>
      <c r="L54" s="587">
        <f>+FORMATO!I50</f>
        <v/>
      </c>
      <c r="M54" s="644">
        <f>+$R$44+L54*$R$45+L54*$R$46+L54*$R$47</f>
        <v/>
      </c>
      <c r="N54" s="165">
        <f>IF(L54="","",M54/$D$9)</f>
        <v/>
      </c>
      <c r="O54" s="266">
        <f>IF(L54="","",N54*14.223343334285)</f>
        <v/>
      </c>
      <c r="Q54" s="332" t="n"/>
      <c r="S54" s="1" t="n"/>
      <c r="V54" s="332" t="n"/>
    </row>
    <row r="55" ht="18" customHeight="1" thickBot="1">
      <c r="A55" s="275" t="n">
        <v>0.5</v>
      </c>
      <c r="B55" s="276" t="n">
        <v>13</v>
      </c>
      <c r="C55" s="277" t="n"/>
      <c r="D55" s="719">
        <f>+FORMATO!E51</f>
        <v/>
      </c>
      <c r="E55" s="644">
        <f>+$R$44+D55*$R$45+D55*$R$46+D55*$R$47</f>
        <v/>
      </c>
      <c r="F55" s="278">
        <f>IF(D55="","",E55/$D$9)</f>
        <v/>
      </c>
      <c r="G55" s="279">
        <f>IF(D55="","",F55*14.223343334285)</f>
        <v/>
      </c>
      <c r="H55" s="588">
        <f>+FORMATO!G51</f>
        <v/>
      </c>
      <c r="I55" s="644">
        <f>+$R$44+H55*$R$45+H55*$R$46+H55*$R$47</f>
        <v/>
      </c>
      <c r="J55" s="278">
        <f>IF(H55="","",I55/$D$9)</f>
        <v/>
      </c>
      <c r="K55" s="280">
        <f>IF(H55="","",J55*14.223343334285)</f>
        <v/>
      </c>
      <c r="L55" s="587">
        <f>+FORMATO!I51</f>
        <v/>
      </c>
      <c r="M55" s="644">
        <f>+$R$44+L55*$R$45+L55*$R$46+L55*$R$47</f>
        <v/>
      </c>
      <c r="N55" s="278">
        <f>IF(L55="","",M55/$D$9)</f>
        <v/>
      </c>
      <c r="O55" s="279">
        <f>IF(L55="","",N55*14.223343334285)</f>
        <v/>
      </c>
      <c r="Q55" s="332" t="n"/>
      <c r="S55" s="1" t="n"/>
      <c r="V55" s="332" t="n"/>
    </row>
    <row r="56" ht="15.75" customHeight="1">
      <c r="F56" s="14" t="n"/>
      <c r="G56" s="14" t="n"/>
      <c r="H56" s="14" t="n"/>
      <c r="K56" s="1" t="n"/>
      <c r="Q56" s="1" t="n"/>
      <c r="R56" s="1" t="n"/>
      <c r="S56" s="1" t="n"/>
    </row>
    <row r="57" ht="15.75" customHeight="1">
      <c r="F57" s="14" t="n"/>
      <c r="G57" s="14" t="n"/>
      <c r="H57" s="14" t="n"/>
      <c r="K57" s="1" t="n"/>
    </row>
    <row r="58" ht="15.75" customHeight="1">
      <c r="C58" s="281" t="n"/>
      <c r="D58" s="283" t="n"/>
      <c r="E58" s="281" t="n"/>
      <c r="F58" s="283" t="n"/>
      <c r="G58" s="283" t="n"/>
      <c r="H58" s="283" t="n"/>
      <c r="I58" s="283" t="n"/>
      <c r="J58" s="283" t="n"/>
      <c r="K58" s="283" t="n"/>
      <c r="L58" s="283" t="n"/>
      <c r="M58" s="283" t="n"/>
      <c r="N58" s="283" t="n"/>
      <c r="O58" s="283" t="n"/>
      <c r="P58" s="48" t="n"/>
      <c r="Q58" s="48" t="n"/>
    </row>
    <row r="59" ht="15.75" customHeight="1">
      <c r="C59" s="281" t="n"/>
      <c r="D59" s="284" t="n"/>
      <c r="E59" s="281" t="n"/>
      <c r="F59" s="284" t="n"/>
      <c r="G59" s="284" t="n"/>
      <c r="H59" s="284" t="n"/>
      <c r="I59" s="284" t="n"/>
      <c r="J59" s="284" t="n"/>
      <c r="K59" s="284" t="n"/>
      <c r="L59" s="284" t="n"/>
      <c r="M59" s="284" t="n"/>
      <c r="N59" s="284" t="n"/>
      <c r="O59" s="284" t="n"/>
      <c r="P59" s="48" t="n"/>
      <c r="Q59" s="48" t="n"/>
    </row>
    <row r="60" ht="15.75" customHeight="1">
      <c r="C60" s="281" t="n"/>
      <c r="D60" s="285" t="n"/>
      <c r="E60" s="281" t="n"/>
      <c r="F60" s="285" t="n"/>
      <c r="G60" s="285" t="n"/>
      <c r="H60" s="285" t="n"/>
      <c r="I60" s="285" t="n"/>
      <c r="J60" s="285" t="n"/>
      <c r="K60" s="285" t="n"/>
      <c r="L60" s="285" t="n"/>
      <c r="M60" s="285" t="n"/>
      <c r="N60" s="285" t="n"/>
      <c r="O60" s="285" t="n"/>
      <c r="P60" s="48" t="n"/>
      <c r="Q60" s="48" t="n"/>
    </row>
    <row r="61" ht="15.75" customHeight="1">
      <c r="A61" s="286" t="n"/>
      <c r="B61" s="286" t="n"/>
      <c r="C61" s="281" t="n"/>
      <c r="D61" s="285" t="n"/>
      <c r="E61" s="281" t="n"/>
      <c r="F61" s="285" t="n"/>
      <c r="G61" s="285" t="n"/>
      <c r="H61" s="285" t="n"/>
      <c r="I61" s="285" t="n"/>
      <c r="J61" s="285" t="n"/>
      <c r="K61" s="285" t="n"/>
      <c r="L61" s="285" t="n"/>
      <c r="M61" s="285" t="n"/>
      <c r="N61" s="285" t="n"/>
      <c r="O61" s="285" t="n"/>
      <c r="P61" s="48" t="n"/>
      <c r="Q61" s="48" t="n"/>
    </row>
    <row r="62" ht="15.6" customHeight="1">
      <c r="C62" s="281" t="n"/>
      <c r="D62" s="285" t="n"/>
      <c r="E62" s="281" t="n"/>
      <c r="F62" s="285" t="n"/>
      <c r="G62" s="285" t="n"/>
      <c r="H62" s="285" t="n"/>
      <c r="I62" s="285" t="n"/>
      <c r="J62" s="285" t="n"/>
      <c r="K62" s="285" t="n"/>
      <c r="L62" s="285" t="n"/>
      <c r="M62" s="285" t="n"/>
      <c r="N62" s="285" t="n"/>
      <c r="O62" s="285" t="n"/>
      <c r="P62" s="48" t="n"/>
      <c r="Q62" s="48" t="n"/>
    </row>
    <row r="63" ht="19.2" customHeight="1">
      <c r="C63" s="281" t="n"/>
      <c r="D63" s="285" t="n"/>
      <c r="E63" s="281" t="n"/>
      <c r="F63" s="285" t="n"/>
      <c r="G63" s="281" t="n"/>
      <c r="H63" s="285" t="n"/>
      <c r="J63" s="48" t="n"/>
      <c r="K63" s="48" t="n"/>
      <c r="M63" s="48" t="n"/>
      <c r="N63" s="48" t="n"/>
      <c r="P63" s="48" t="n"/>
      <c r="Q63" s="48" t="n"/>
    </row>
    <row r="64" ht="19.2" customHeight="1">
      <c r="C64" s="281" t="n"/>
      <c r="D64" s="285" t="n"/>
      <c r="E64" s="281" t="n"/>
      <c r="F64" s="285" t="n"/>
      <c r="G64" s="281" t="n"/>
      <c r="H64" s="285" t="n"/>
      <c r="J64" s="47" t="n"/>
      <c r="K64" s="48" t="n"/>
      <c r="L64" s="49" t="n"/>
      <c r="M64" s="47" t="n"/>
      <c r="N64" s="48" t="n"/>
      <c r="O64" s="49" t="n"/>
      <c r="P64" s="47" t="n"/>
      <c r="Q64" s="48" t="n"/>
    </row>
    <row r="65" ht="19.2" customHeight="1">
      <c r="C65" s="287" t="n"/>
      <c r="D65" s="865" t="n"/>
      <c r="E65" s="287" t="n"/>
      <c r="F65" s="865" t="n"/>
      <c r="G65" s="287" t="n"/>
      <c r="H65" s="865" t="n"/>
      <c r="Q65" s="48" t="n"/>
    </row>
    <row r="66" ht="19.2" customHeight="1">
      <c r="C66" s="287" t="n"/>
      <c r="D66" s="865" t="n"/>
      <c r="E66" s="287" t="n"/>
      <c r="F66" s="865" t="n"/>
      <c r="G66" s="287" t="n"/>
      <c r="H66" s="865" t="n"/>
      <c r="Q66" s="48" t="n"/>
    </row>
    <row r="67" ht="19.2" customHeight="1">
      <c r="C67" s="287" t="n"/>
      <c r="D67" s="865" t="n"/>
      <c r="E67" s="287" t="n"/>
      <c r="F67" s="865" t="n"/>
      <c r="G67" s="287" t="n"/>
      <c r="H67" s="865" t="n"/>
    </row>
    <row r="68" ht="15.6" customHeight="1">
      <c r="C68" s="281" t="n"/>
      <c r="D68" s="285" t="n"/>
      <c r="E68" s="281" t="n"/>
      <c r="F68" s="285" t="n"/>
      <c r="G68" s="281" t="n"/>
      <c r="H68" s="285" t="n"/>
    </row>
    <row r="69" ht="15.6" customHeight="1">
      <c r="C69" s="281" t="n"/>
      <c r="D69" s="285" t="n"/>
      <c r="E69" s="281" t="n"/>
      <c r="F69" s="285" t="n"/>
      <c r="G69" s="281" t="n"/>
      <c r="H69" s="285" t="n"/>
    </row>
    <row r="70" ht="15.6" customHeight="1">
      <c r="C70" s="281" t="n"/>
      <c r="D70" s="285" t="n"/>
      <c r="E70" s="281" t="n"/>
      <c r="F70" s="285" t="n"/>
      <c r="G70" s="281" t="n"/>
      <c r="H70" s="285" t="n"/>
    </row>
    <row r="71" ht="15.6" customHeight="1">
      <c r="C71" s="288" t="n"/>
      <c r="E71" s="289" t="n"/>
    </row>
    <row r="72" ht="15.6" customHeight="1">
      <c r="C72" s="288" t="n"/>
      <c r="D72" s="288" t="n"/>
    </row>
    <row r="73" ht="15.6" customHeight="1"/>
    <row r="74" ht="15.6" customHeight="1"/>
  </sheetData>
  <mergeCells count="73">
    <mergeCell ref="N26:O26"/>
    <mergeCell ref="A24:B24"/>
    <mergeCell ref="A25:O25"/>
    <mergeCell ref="L7:M7"/>
    <mergeCell ref="D10:E10"/>
    <mergeCell ref="H38:I38"/>
    <mergeCell ref="F16:G16"/>
    <mergeCell ref="L16:M16"/>
    <mergeCell ref="A41:O41"/>
    <mergeCell ref="N16:O16"/>
    <mergeCell ref="F34:G34"/>
    <mergeCell ref="D15:G15"/>
    <mergeCell ref="L37:M37"/>
    <mergeCell ref="D40:E40"/>
    <mergeCell ref="D36:E36"/>
    <mergeCell ref="H15:K15"/>
    <mergeCell ref="D42:G42"/>
    <mergeCell ref="H40:I40"/>
    <mergeCell ref="A2:C2"/>
    <mergeCell ref="H42:K42"/>
    <mergeCell ref="H39:I39"/>
    <mergeCell ref="D6:E6"/>
    <mergeCell ref="J34:K34"/>
    <mergeCell ref="L34:M35"/>
    <mergeCell ref="D2:E2"/>
    <mergeCell ref="D11:E11"/>
    <mergeCell ref="L17:O17"/>
    <mergeCell ref="A33:O33"/>
    <mergeCell ref="A14:O14"/>
    <mergeCell ref="H36:I36"/>
    <mergeCell ref="B34:B35"/>
    <mergeCell ref="L39:M39"/>
    <mergeCell ref="F26:G26"/>
    <mergeCell ref="A18:B18"/>
    <mergeCell ref="J26:K26"/>
    <mergeCell ref="W2:Y2"/>
    <mergeCell ref="L26:M26"/>
    <mergeCell ref="A26:B26"/>
    <mergeCell ref="D16:E16"/>
    <mergeCell ref="A21:B21"/>
    <mergeCell ref="D34:E35"/>
    <mergeCell ref="H16:I16"/>
    <mergeCell ref="L38:M38"/>
    <mergeCell ref="J16:K16"/>
    <mergeCell ref="A42:B42"/>
    <mergeCell ref="D37:E37"/>
    <mergeCell ref="A32:B32"/>
    <mergeCell ref="H37:I37"/>
    <mergeCell ref="D4:E4"/>
    <mergeCell ref="A23:B23"/>
    <mergeCell ref="A15:C15"/>
    <mergeCell ref="L42:O42"/>
    <mergeCell ref="D3:E3"/>
    <mergeCell ref="L2:N2"/>
    <mergeCell ref="D9:E9"/>
    <mergeCell ref="L15:O15"/>
    <mergeCell ref="L40:M40"/>
    <mergeCell ref="D39:E39"/>
    <mergeCell ref="D8:E8"/>
    <mergeCell ref="A22:B22"/>
    <mergeCell ref="A20:B20"/>
    <mergeCell ref="D17:G17"/>
    <mergeCell ref="N34:O34"/>
    <mergeCell ref="A34:A35"/>
    <mergeCell ref="Q2:U2"/>
    <mergeCell ref="H17:K17"/>
    <mergeCell ref="A19:B19"/>
    <mergeCell ref="D5:E5"/>
    <mergeCell ref="D38:E38"/>
    <mergeCell ref="H34:I35"/>
    <mergeCell ref="L36:M36"/>
    <mergeCell ref="D26:E26"/>
    <mergeCell ref="H26:I26"/>
  </mergeCells>
  <dataValidations count="5">
    <dataValidation sqref="D6:E6" showDropDown="0" showInputMessage="1" showErrorMessage="1" allowBlank="0" type="list">
      <formula1>"-, Saturado, Sin saturar"</formula1>
    </dataValidation>
    <dataValidation sqref="D4:E4" showDropDown="0" showInputMessage="1" showErrorMessage="1" allowBlank="0" type="list">
      <formula1>"-, ASTM D1557, ASTM D698"</formula1>
    </dataValidation>
    <dataValidation sqref="D5:E5" showDropDown="0" showInputMessage="1" showErrorMessage="1" allowBlank="0" type="list">
      <formula1>"-, A, B, C"</formula1>
    </dataValidation>
    <dataValidation sqref="D2:E2" showDropDown="0" showInputMessage="1" showErrorMessage="1" allowBlank="0" type="list">
      <formula1>"-, I.CH.A., D.I.Z."</formula1>
    </dataValidation>
    <dataValidation sqref="D3:E3" showDropDown="0" showInputMessage="1" showErrorMessage="1" allowBlank="0" type="list">
      <formula1>"-,SI,NO"</formula1>
    </dataValidation>
  </dataValidations>
  <printOptions horizontalCentered="1"/>
  <pageMargins left="0" right="0" top="0.7874015748031497" bottom="0" header="0" footer="0"/>
  <pageSetup orientation="portrait" paperSize="9" scale="50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L1025"/>
  <sheetViews>
    <sheetView zoomScale="90" zoomScaleNormal="90" workbookViewId="0">
      <selection activeCell="N5" sqref="N5"/>
    </sheetView>
  </sheetViews>
  <sheetFormatPr baseColWidth="10" defaultColWidth="12.5546875" defaultRowHeight="13.2"/>
  <cols>
    <col width="3.6640625" customWidth="1" style="509" min="1" max="1"/>
    <col width="22.33203125" customWidth="1" style="509" min="2" max="2"/>
    <col width="10" customWidth="1" style="509" min="3" max="4"/>
    <col width="13.5546875" customWidth="1" style="509" min="5" max="5"/>
    <col width="11.5546875" customWidth="1" style="509" min="6" max="6"/>
    <col width="13.5546875" customWidth="1" style="509" min="7" max="7"/>
    <col width="13.6640625" customWidth="1" style="509" min="8" max="8"/>
    <col width="11.5546875" customWidth="1" style="509" min="9" max="9"/>
    <col width="10" customWidth="1" style="509" min="10" max="10"/>
    <col width="28.33203125" customWidth="1" min="11" max="11"/>
    <col width="15.88671875" customWidth="1" min="12" max="12"/>
    <col width="11.109375" customWidth="1" min="13" max="13"/>
    <col width="14.88671875" customWidth="1" min="14" max="14"/>
    <col width="13" customWidth="1" min="15" max="15"/>
    <col width="13.6640625" customWidth="1" min="16" max="16"/>
    <col width="14.44140625" customWidth="1" min="17" max="17"/>
    <col width="13.33203125" customWidth="1" min="18" max="18"/>
    <col width="11.44140625" customWidth="1" min="19" max="19"/>
    <col width="12" customWidth="1" min="20" max="20"/>
    <col width="34.33203125" customWidth="1" min="21" max="21"/>
    <col width="8.5546875" customWidth="1" min="22" max="22"/>
    <col width="12.33203125" customWidth="1" min="23" max="23"/>
    <col width="13.6640625" customWidth="1" min="24" max="24"/>
    <col width="14.88671875" customWidth="1" min="25" max="25"/>
    <col width="14.5546875" customWidth="1" min="26" max="26"/>
    <col width="14.33203125" customWidth="1" min="27" max="27"/>
    <col width="14.88671875" customWidth="1" min="28" max="28"/>
    <col width="16" customWidth="1" min="29" max="29"/>
    <col width="12.88671875" customWidth="1" min="30" max="30"/>
    <col width="16.5546875" customWidth="1" min="31" max="31"/>
    <col width="11.6640625" customWidth="1" min="32" max="32"/>
    <col width="15.33203125" customWidth="1" min="33" max="33"/>
    <col width="12.44140625" customWidth="1" min="34" max="34"/>
    <col width="16.44140625" customWidth="1" min="35" max="35"/>
    <col width="12.88671875" customWidth="1" min="36" max="36"/>
    <col width="12.44140625" customWidth="1" min="37" max="37"/>
    <col width="12" customWidth="1" min="38" max="38"/>
  </cols>
  <sheetData>
    <row r="1" ht="12.75" customFormat="1" customHeight="1" s="950">
      <c r="A1" s="509" t="n"/>
      <c r="B1" s="636" t="n"/>
      <c r="C1" s="637" t="n"/>
      <c r="D1" s="949" t="inlineStr">
        <is>
          <t>INFORME DE ESTIMACIÓN DE INCERTIDUMBRE</t>
        </is>
      </c>
      <c r="J1" s="951" t="n"/>
      <c r="K1" s="339" t="inlineStr">
        <is>
          <t>Código:</t>
        </is>
      </c>
      <c r="L1" s="796" t="inlineStr">
        <is>
          <t>F-LEM-P-10.01</t>
        </is>
      </c>
      <c r="V1" s="633" t="n"/>
      <c r="W1" s="340" t="n"/>
      <c r="X1" s="340" t="n"/>
      <c r="Y1" s="340" t="n"/>
      <c r="Z1" s="340" t="n"/>
      <c r="AA1" s="340" t="n"/>
      <c r="AB1" s="340" t="n"/>
      <c r="AC1" s="340" t="n"/>
      <c r="AD1" s="340" t="n"/>
      <c r="AE1" s="340" t="n"/>
      <c r="AF1" s="340" t="n"/>
      <c r="AG1" s="340" t="n"/>
      <c r="AH1" s="340" t="n"/>
      <c r="AI1" s="340" t="n"/>
      <c r="AJ1" s="340" t="n"/>
      <c r="AK1" s="340" t="n"/>
      <c r="AL1" s="340" t="n"/>
    </row>
    <row r="2" ht="12.75" customFormat="1" customHeight="1" s="950">
      <c r="A2" s="509" t="n"/>
      <c r="B2" s="638" t="n"/>
      <c r="C2" s="639" t="n"/>
      <c r="D2" s="952" t="n"/>
      <c r="J2" s="951" t="n"/>
      <c r="K2" s="339" t="inlineStr">
        <is>
          <t>Versión:</t>
        </is>
      </c>
      <c r="L2" s="797" t="n">
        <v>3</v>
      </c>
      <c r="V2" s="634" t="n"/>
      <c r="W2" s="340" t="n"/>
      <c r="X2" s="340" t="n"/>
      <c r="Y2" s="340" t="n"/>
      <c r="Z2" s="340" t="n"/>
      <c r="AA2" s="340" t="n"/>
      <c r="AB2" s="340" t="n"/>
      <c r="AC2" s="340" t="n"/>
      <c r="AD2" s="340" t="n"/>
      <c r="AE2" s="340" t="n"/>
      <c r="AF2" s="340" t="n"/>
      <c r="AG2" s="340" t="n"/>
      <c r="AH2" s="340" t="n"/>
      <c r="AI2" s="340" t="n"/>
      <c r="AJ2" s="340" t="n"/>
      <c r="AK2" s="340" t="n"/>
      <c r="AL2" s="340" t="n"/>
    </row>
    <row r="3" ht="12.75" customFormat="1" customHeight="1" s="950">
      <c r="A3" s="509" t="n"/>
      <c r="B3" s="638" t="n"/>
      <c r="C3" s="639" t="n"/>
      <c r="D3" s="952" t="n"/>
      <c r="J3" s="951" t="n"/>
      <c r="K3" s="339" t="inlineStr">
        <is>
          <t>Fecha:</t>
        </is>
      </c>
      <c r="L3" s="798" t="n">
        <v>46146</v>
      </c>
      <c r="V3" s="635" t="n"/>
      <c r="W3" s="340" t="n"/>
      <c r="X3" s="340" t="n"/>
      <c r="Y3" s="340" t="n"/>
      <c r="Z3" s="340" t="n"/>
      <c r="AA3" s="340" t="n"/>
      <c r="AB3" s="340" t="n"/>
      <c r="AC3" s="340" t="n"/>
      <c r="AD3" s="340" t="n"/>
      <c r="AE3" s="340" t="n"/>
      <c r="AF3" s="340" t="n"/>
      <c r="AG3" s="340" t="n"/>
      <c r="AH3" s="340" t="n"/>
      <c r="AI3" s="340" t="n"/>
      <c r="AJ3" s="340" t="n"/>
      <c r="AK3" s="340" t="n"/>
      <c r="AL3" s="340" t="n"/>
    </row>
    <row r="4" ht="12.75" customFormat="1" customHeight="1" s="950">
      <c r="A4" s="509" t="n"/>
      <c r="B4" s="640" t="n"/>
      <c r="C4" s="641" t="n"/>
      <c r="D4" s="953" t="n"/>
      <c r="E4" s="954" t="n"/>
      <c r="F4" s="954" t="n"/>
      <c r="G4" s="954" t="n"/>
      <c r="H4" s="954" t="n"/>
      <c r="I4" s="954" t="n"/>
      <c r="J4" s="955" t="n"/>
      <c r="K4" s="339" t="inlineStr">
        <is>
          <t>Página:</t>
        </is>
      </c>
      <c r="L4" s="796" t="inlineStr">
        <is>
          <t>1 de 1</t>
        </is>
      </c>
      <c r="V4" s="633" t="n"/>
      <c r="W4" s="340" t="n"/>
      <c r="X4" s="340" t="n"/>
      <c r="Y4" s="340" t="n"/>
      <c r="Z4" s="340" t="n"/>
      <c r="AA4" s="340" t="n"/>
      <c r="AB4" s="340" t="n"/>
      <c r="AC4" s="340" t="n"/>
      <c r="AD4" s="340" t="n"/>
      <c r="AE4" s="340" t="n"/>
      <c r="AF4" s="340" t="n"/>
      <c r="AG4" s="340" t="n"/>
      <c r="AH4" s="340" t="n"/>
      <c r="AI4" s="340" t="n"/>
      <c r="AJ4" s="340" t="n"/>
      <c r="AK4" s="340" t="n"/>
      <c r="AL4" s="340" t="n"/>
    </row>
    <row r="5" ht="3.6" customFormat="1" customHeight="1" s="950">
      <c r="A5" s="509" t="n"/>
      <c r="B5" s="340" t="n"/>
      <c r="C5" s="340" t="n"/>
      <c r="D5" s="340" t="n"/>
      <c r="E5" s="340" t="n"/>
      <c r="F5" s="340" t="n"/>
      <c r="G5" s="340" t="n"/>
      <c r="H5" s="340" t="n"/>
      <c r="I5" s="340" t="n"/>
      <c r="J5" s="340" t="n"/>
      <c r="K5" s="340" t="n"/>
      <c r="L5" s="340" t="n"/>
      <c r="V5" s="340" t="n"/>
      <c r="W5" s="340" t="n"/>
      <c r="X5" s="340" t="n"/>
      <c r="Y5" s="340" t="n"/>
      <c r="Z5" s="340" t="n"/>
      <c r="AA5" s="340" t="n"/>
      <c r="AB5" s="340" t="n"/>
      <c r="AC5" s="340" t="n"/>
      <c r="AD5" s="340" t="n"/>
      <c r="AE5" s="340" t="n"/>
      <c r="AF5" s="340" t="n"/>
      <c r="AG5" s="340" t="n"/>
      <c r="AH5" s="340" t="n"/>
      <c r="AI5" s="340" t="n"/>
      <c r="AJ5" s="340" t="n"/>
      <c r="AK5" s="340" t="n"/>
      <c r="AL5" s="340" t="n"/>
    </row>
    <row r="6" ht="28.5" customFormat="1" customHeight="1" s="950">
      <c r="A6" s="509" t="n"/>
      <c r="B6" s="341" t="inlineStr">
        <is>
          <t>Método:</t>
        </is>
      </c>
      <c r="C6" s="697" t="inlineStr">
        <is>
          <t>Standard Test Method for California Bearing Ratio (CBR) of Laboratory-Compacted Soils</t>
        </is>
      </c>
      <c r="D6" s="698" t="n"/>
      <c r="E6" s="699" t="n"/>
      <c r="F6" s="699" t="n"/>
      <c r="G6" s="699" t="n"/>
      <c r="H6" s="699" t="n"/>
      <c r="I6" s="699" t="n"/>
      <c r="J6" s="699" t="n"/>
      <c r="K6" s="699" t="n"/>
      <c r="L6" s="700" t="n"/>
      <c r="V6" s="351" t="n"/>
      <c r="W6" s="340" t="n"/>
      <c r="X6" s="340" t="n"/>
      <c r="Y6" s="340" t="n"/>
      <c r="Z6" s="340" t="n"/>
      <c r="AA6" s="340" t="n"/>
      <c r="AB6" s="340" t="n"/>
      <c r="AC6" s="340" t="n"/>
      <c r="AD6" s="340" t="n"/>
      <c r="AE6" s="340" t="n"/>
      <c r="AF6" s="340" t="n"/>
      <c r="AG6" s="340" t="n"/>
      <c r="AH6" s="340" t="n"/>
      <c r="AI6" s="340" t="n"/>
      <c r="AJ6" s="340" t="n"/>
      <c r="AK6" s="340" t="n"/>
      <c r="AL6" s="340" t="n"/>
    </row>
    <row r="7" ht="18" customFormat="1" customHeight="1" s="950">
      <c r="A7" s="509" t="n"/>
      <c r="B7" s="341" t="inlineStr">
        <is>
          <t>Norma:</t>
        </is>
      </c>
      <c r="C7" s="701" t="inlineStr">
        <is>
          <t>ASTM D1883-21</t>
        </is>
      </c>
      <c r="D7" s="509" t="n"/>
      <c r="E7" s="702" t="n"/>
      <c r="F7" s="702" t="n"/>
      <c r="G7" s="702" t="n"/>
      <c r="H7" s="340" t="n"/>
      <c r="I7" s="340" t="n"/>
      <c r="J7" s="340" t="n"/>
      <c r="K7" s="340" t="n"/>
      <c r="L7" s="703" t="n"/>
      <c r="V7" s="340" t="n"/>
      <c r="W7" s="340" t="n"/>
      <c r="X7" s="340" t="n"/>
      <c r="Y7" s="340" t="n"/>
      <c r="Z7" s="340" t="n"/>
      <c r="AA7" s="340" t="n"/>
      <c r="AB7" s="340" t="n"/>
      <c r="AC7" s="340" t="n"/>
      <c r="AD7" s="340" t="n"/>
      <c r="AE7" s="340" t="n"/>
      <c r="AF7" s="340" t="n"/>
      <c r="AG7" s="340" t="n"/>
      <c r="AH7" s="340" t="n"/>
      <c r="AI7" s="340" t="n"/>
      <c r="AJ7" s="340" t="n"/>
      <c r="AK7" s="340" t="n"/>
      <c r="AL7" s="340" t="n"/>
    </row>
    <row r="8" ht="18" customFormat="1" customHeight="1" s="950">
      <c r="A8" s="509" t="n"/>
      <c r="B8" s="341" t="inlineStr">
        <is>
          <t>Matriz:</t>
        </is>
      </c>
      <c r="C8" s="697" t="inlineStr">
        <is>
          <t>Suelo</t>
        </is>
      </c>
      <c r="D8" s="698" t="n"/>
      <c r="E8" s="704" t="n"/>
      <c r="F8" s="704" t="n"/>
      <c r="G8" s="704" t="n"/>
      <c r="H8" s="705" t="n"/>
      <c r="I8" s="705" t="n"/>
      <c r="J8" s="705" t="n"/>
      <c r="K8" s="705" t="n"/>
      <c r="L8" s="706" t="n"/>
      <c r="V8" s="340" t="n"/>
      <c r="W8" s="340" t="n"/>
      <c r="X8" s="340" t="n"/>
      <c r="Y8" s="340" t="n"/>
      <c r="Z8" s="340" t="n"/>
      <c r="AA8" s="340" t="n"/>
      <c r="AB8" s="340" t="n"/>
      <c r="AC8" s="340" t="n"/>
      <c r="AD8" s="340" t="n"/>
      <c r="AE8" s="340" t="n"/>
      <c r="AF8" s="340" t="n"/>
      <c r="AG8" s="340" t="n"/>
      <c r="AH8" s="340" t="n"/>
      <c r="AI8" s="340" t="n"/>
      <c r="AJ8" s="340" t="n"/>
      <c r="AK8" s="340" t="n"/>
      <c r="AL8" s="340" t="n"/>
    </row>
    <row r="9" ht="18" customFormat="1" customHeight="1" s="950">
      <c r="A9" s="509" t="n"/>
      <c r="B9" s="342" t="inlineStr">
        <is>
          <t>Mensurando:</t>
        </is>
      </c>
      <c r="C9" s="697" t="inlineStr">
        <is>
          <t>Determinación de la relación de carga de California (CBR) de muestras compactadas de laboratorio</t>
        </is>
      </c>
      <c r="D9" s="698" t="n"/>
      <c r="E9" s="704" t="n"/>
      <c r="F9" s="704" t="n"/>
      <c r="G9" s="704" t="n"/>
      <c r="H9" s="705" t="n"/>
      <c r="I9" s="705" t="n"/>
      <c r="J9" s="705" t="n"/>
      <c r="K9" s="705" t="n"/>
      <c r="L9" s="706" t="n"/>
      <c r="V9" s="340" t="n"/>
      <c r="W9" s="340" t="n"/>
      <c r="X9" s="340" t="n"/>
      <c r="Y9" s="340" t="n"/>
      <c r="Z9" s="340" t="n"/>
      <c r="AA9" s="340" t="n"/>
      <c r="AB9" s="340" t="n"/>
      <c r="AC9" s="340" t="n"/>
      <c r="AD9" s="340" t="n"/>
      <c r="AE9" s="340" t="n"/>
      <c r="AF9" s="340" t="n"/>
      <c r="AG9" s="340" t="n"/>
      <c r="AH9" s="340" t="n"/>
      <c r="AI9" s="340" t="n"/>
      <c r="AJ9" s="340" t="n"/>
      <c r="AK9" s="340" t="n"/>
      <c r="AL9" s="340" t="n"/>
    </row>
    <row r="10" ht="12.75" customFormat="1" customHeight="1" s="950">
      <c r="A10" s="509" t="n"/>
      <c r="B10" s="340" t="n"/>
      <c r="C10" s="340" t="n"/>
      <c r="D10" s="340" t="n"/>
      <c r="E10" s="340" t="n"/>
      <c r="F10" s="340" t="n"/>
      <c r="G10" s="340" t="n"/>
      <c r="H10" s="340" t="n"/>
      <c r="I10" s="340" t="n"/>
      <c r="J10" s="340" t="n"/>
      <c r="K10" s="340" t="n"/>
      <c r="L10" s="340" t="n"/>
      <c r="V10" s="340" t="n"/>
      <c r="W10" s="340" t="n"/>
      <c r="X10" s="340" t="n"/>
      <c r="Y10" s="340" t="n"/>
      <c r="Z10" s="340" t="n"/>
      <c r="AA10" s="340" t="n"/>
      <c r="AB10" s="340" t="n"/>
      <c r="AC10" s="340" t="n"/>
      <c r="AD10" s="340" t="n"/>
      <c r="AE10" s="340" t="n"/>
      <c r="AF10" s="340" t="n"/>
      <c r="AG10" s="340" t="n"/>
      <c r="AH10" s="340" t="n"/>
      <c r="AI10" s="340" t="n"/>
      <c r="AJ10" s="340" t="n"/>
      <c r="AK10" s="340" t="n"/>
      <c r="AL10" s="340" t="n"/>
    </row>
    <row r="11" ht="15" customFormat="1" customHeight="1" s="950">
      <c r="A11" s="509" t="n"/>
      <c r="B11" s="343" t="inlineStr">
        <is>
          <t>Paso 1. Definición del proceso de medición</t>
        </is>
      </c>
      <c r="C11" s="343" t="n"/>
      <c r="D11" s="344" t="n"/>
      <c r="E11" s="344" t="n"/>
      <c r="F11" s="344" t="n"/>
      <c r="G11" s="344" t="n"/>
      <c r="H11" s="344" t="n"/>
      <c r="I11" s="344" t="n"/>
      <c r="J11" s="344" t="n"/>
      <c r="K11" s="340" t="n"/>
      <c r="L11" s="343" t="inlineStr">
        <is>
          <t>Paso 1. Definición del proceso de medición</t>
        </is>
      </c>
      <c r="M11" s="343" t="n"/>
      <c r="N11" s="344" t="n"/>
      <c r="O11" s="344" t="n"/>
      <c r="P11" s="344" t="n"/>
      <c r="Q11" s="344" t="n"/>
      <c r="R11" s="344" t="n"/>
      <c r="S11" s="344" t="n"/>
      <c r="T11" s="344" t="n"/>
      <c r="U11" s="340" t="n"/>
      <c r="V11" s="340" t="n"/>
      <c r="W11" s="340" t="n"/>
      <c r="X11" s="340" t="n"/>
      <c r="Y11" s="340" t="n"/>
      <c r="Z11" s="340" t="n"/>
      <c r="AA11" s="340" t="n"/>
      <c r="AB11" s="340" t="n"/>
      <c r="AC11" s="340" t="n"/>
      <c r="AD11" s="340" t="n"/>
      <c r="AE11" s="340" t="n"/>
      <c r="AF11" s="340" t="n"/>
      <c r="AG11" s="340" t="n"/>
      <c r="AH11" s="340" t="n"/>
      <c r="AI11" s="340" t="n"/>
      <c r="AJ11" s="340" t="n"/>
      <c r="AK11" s="340" t="n"/>
      <c r="AL11" s="340" t="n"/>
    </row>
    <row r="12" ht="7.5" customFormat="1" customHeight="1" s="950">
      <c r="A12" s="509" t="n"/>
      <c r="B12" s="343" t="n"/>
      <c r="C12" s="343" t="n"/>
      <c r="D12" s="344" t="n"/>
      <c r="E12" s="344" t="n"/>
      <c r="F12" s="344" t="n"/>
      <c r="G12" s="344" t="n"/>
      <c r="H12" s="344" t="n"/>
      <c r="I12" s="344" t="n"/>
      <c r="J12" s="344" t="n"/>
      <c r="K12" s="340" t="n"/>
      <c r="L12" s="343" t="n"/>
      <c r="M12" s="343" t="n"/>
      <c r="N12" s="344" t="n"/>
      <c r="O12" s="344" t="n"/>
      <c r="P12" s="344" t="n"/>
      <c r="Q12" s="344" t="n"/>
      <c r="R12" s="344" t="n"/>
      <c r="S12" s="344" t="n"/>
      <c r="T12" s="344" t="n"/>
      <c r="U12" s="340" t="n"/>
      <c r="V12" s="340" t="n"/>
      <c r="W12" s="340" t="n"/>
      <c r="X12" s="340" t="n"/>
      <c r="Y12" s="340" t="n"/>
      <c r="Z12" s="340" t="n"/>
      <c r="AA12" s="340" t="n"/>
      <c r="AB12" s="340" t="n"/>
      <c r="AC12" s="340" t="n"/>
      <c r="AD12" s="340" t="n"/>
      <c r="AE12" s="340" t="n"/>
      <c r="AF12" s="340" t="n"/>
      <c r="AG12" s="340" t="n"/>
      <c r="AH12" s="340" t="n"/>
      <c r="AI12" s="340" t="n"/>
      <c r="AJ12" s="340" t="n"/>
      <c r="AK12" s="340" t="n"/>
      <c r="AL12" s="340" t="n"/>
    </row>
    <row r="13" ht="15" customFormat="1" customHeight="1" s="950">
      <c r="A13" s="509" t="n"/>
      <c r="B13" s="345" t="inlineStr">
        <is>
          <t>Variables:</t>
        </is>
      </c>
      <c r="C13" s="345" t="n"/>
      <c r="D13" s="344" t="n"/>
      <c r="E13" s="345" t="inlineStr">
        <is>
          <t>Fórmula:</t>
        </is>
      </c>
      <c r="H13" s="343" t="inlineStr">
        <is>
          <t>Paso 2. Definición de las variables aleatorias</t>
        </is>
      </c>
      <c r="J13" s="344" t="n"/>
      <c r="K13" s="340" t="n"/>
      <c r="L13" s="345" t="inlineStr">
        <is>
          <t>Variables:</t>
        </is>
      </c>
      <c r="M13" s="345" t="n"/>
      <c r="N13" s="344" t="n"/>
      <c r="O13" s="344" t="n"/>
      <c r="Q13" s="345" t="inlineStr">
        <is>
          <t>Fórmula:</t>
        </is>
      </c>
      <c r="S13" s="343" t="inlineStr">
        <is>
          <t>Paso 2. Definición de las variables aleatorias</t>
        </is>
      </c>
      <c r="T13" s="344" t="n"/>
      <c r="U13" s="340" t="n"/>
      <c r="V13" s="340" t="n"/>
      <c r="W13" s="340" t="n"/>
      <c r="X13" s="340" t="n"/>
      <c r="Y13" s="340" t="n"/>
      <c r="Z13" s="340" t="n"/>
      <c r="AA13" s="340" t="n"/>
      <c r="AB13" s="340" t="n"/>
      <c r="AC13" s="340" t="n"/>
      <c r="AD13" s="340" t="n"/>
      <c r="AE13" s="340" t="n"/>
      <c r="AF13" s="340" t="n"/>
      <c r="AG13" s="340" t="n"/>
      <c r="AH13" s="340" t="n"/>
      <c r="AI13" s="340" t="n"/>
      <c r="AJ13" s="340" t="n"/>
      <c r="AK13" s="340" t="n"/>
      <c r="AL13" s="340" t="n"/>
    </row>
    <row r="14" ht="15.6" customFormat="1" customHeight="1" s="950">
      <c r="A14" s="509" t="n"/>
      <c r="B14" s="346" t="inlineStr">
        <is>
          <t>F = fuerza, kg,</t>
        </is>
      </c>
      <c r="C14" s="346" t="n"/>
      <c r="D14" s="344" t="n"/>
      <c r="E14" s="344" t="n"/>
      <c r="F14" s="344" t="n"/>
      <c r="G14" s="344" t="n"/>
      <c r="H14" s="344" t="n"/>
      <c r="I14" s="344" t="n"/>
      <c r="J14" s="344" t="n"/>
      <c r="K14" s="340" t="n"/>
      <c r="L14" s="346" t="inlineStr">
        <is>
          <t>Msac = masa seca de suelo compactado, g,</t>
        </is>
      </c>
      <c r="M14" s="346" t="n"/>
      <c r="N14" s="344" t="n"/>
      <c r="O14" s="344" t="n"/>
      <c r="P14" s="344" t="n"/>
      <c r="Q14" s="344" t="n"/>
      <c r="R14" s="344" t="n"/>
      <c r="S14" s="344" t="n"/>
      <c r="T14" s="344" t="n"/>
      <c r="U14" s="340" t="n"/>
      <c r="V14" s="340" t="n"/>
      <c r="W14" s="340" t="n"/>
      <c r="X14" s="340" t="n"/>
      <c r="Y14" s="340" t="n"/>
      <c r="Z14" s="340" t="n"/>
      <c r="AA14" s="340" t="n"/>
      <c r="AB14" s="340" t="n"/>
      <c r="AC14" s="340" t="n"/>
      <c r="AD14" s="340" t="n"/>
      <c r="AE14" s="340" t="n"/>
      <c r="AF14" s="340" t="n"/>
      <c r="AG14" s="340" t="n"/>
      <c r="AH14" s="340" t="n"/>
      <c r="AI14" s="340" t="n"/>
      <c r="AJ14" s="340" t="n"/>
      <c r="AK14" s="340" t="n"/>
      <c r="AL14" s="340" t="n"/>
    </row>
    <row r="15" ht="15" customFormat="1" customHeight="1" s="950">
      <c r="A15" s="509" t="n"/>
      <c r="B15" s="346" t="inlineStr">
        <is>
          <t>A = area del pizon, cm2</t>
        </is>
      </c>
      <c r="C15" s="346" t="n"/>
      <c r="D15" s="344" t="n"/>
      <c r="E15" s="344" t="n"/>
      <c r="F15" s="344" t="n"/>
      <c r="G15" s="344" t="n"/>
      <c r="H15" s="344" t="n"/>
      <c r="I15" s="344" t="n"/>
      <c r="J15" s="344" t="n"/>
      <c r="K15" s="340" t="n"/>
      <c r="L15" s="346" t="inlineStr">
        <is>
          <t>Mm + ws = masa húmeda de suelo moldeado más masa del molde, g,</t>
        </is>
      </c>
      <c r="M15" s="346" t="n"/>
      <c r="N15" s="344" t="n"/>
      <c r="O15" s="344" t="n"/>
      <c r="P15" s="344" t="n"/>
      <c r="Q15" s="344" t="n"/>
      <c r="R15" s="344" t="n"/>
      <c r="S15" s="344" t="n"/>
      <c r="T15" s="344" t="n"/>
      <c r="U15" s="340" t="n"/>
      <c r="V15" s="340" t="n"/>
      <c r="W15" s="340" t="n"/>
      <c r="X15" s="340" t="n"/>
      <c r="Y15" s="340" t="n"/>
      <c r="Z15" s="340" t="n"/>
      <c r="AA15" s="340" t="n"/>
      <c r="AB15" s="340" t="n"/>
      <c r="AC15" s="340" t="n"/>
      <c r="AD15" s="340" t="n"/>
      <c r="AE15" s="340" t="n"/>
      <c r="AF15" s="340" t="n"/>
      <c r="AG15" s="340" t="n"/>
      <c r="AH15" s="340" t="n"/>
      <c r="AI15" s="340" t="n"/>
      <c r="AJ15" s="340" t="n"/>
      <c r="AK15" s="340" t="n"/>
      <c r="AL15" s="340" t="n"/>
    </row>
    <row r="16" ht="15" customFormat="1" customHeight="1" s="950">
      <c r="A16" s="509" t="n"/>
      <c r="B16" s="346" t="n"/>
      <c r="C16" s="346" t="n"/>
      <c r="D16" s="344" t="n"/>
      <c r="F16" s="344" t="n"/>
      <c r="H16" s="344" t="n"/>
      <c r="I16" s="344" t="n"/>
      <c r="J16" s="344" t="n"/>
      <c r="K16" s="340" t="n"/>
      <c r="L16" s="346" t="inlineStr">
        <is>
          <t>Mm = masa del molde, g,</t>
        </is>
      </c>
      <c r="M16" s="346" t="n"/>
      <c r="N16" s="344" t="n"/>
      <c r="P16" s="344" t="n"/>
      <c r="R16" s="344" t="n"/>
      <c r="S16" s="344" t="n"/>
      <c r="T16" s="344" t="n"/>
      <c r="U16" s="340" t="n"/>
      <c r="V16" s="340" t="n"/>
      <c r="W16" s="340" t="n"/>
      <c r="X16" s="340" t="n"/>
      <c r="Y16" s="340" t="n"/>
      <c r="Z16" s="340" t="n"/>
      <c r="AA16" s="340" t="n"/>
      <c r="AB16" s="340" t="n"/>
      <c r="AC16" s="340" t="n"/>
      <c r="AD16" s="340" t="n"/>
      <c r="AE16" s="340" t="n"/>
      <c r="AF16" s="340" t="n"/>
      <c r="AG16" s="340" t="n"/>
      <c r="AH16" s="340" t="n"/>
      <c r="AI16" s="340" t="n"/>
      <c r="AJ16" s="340" t="n"/>
      <c r="AK16" s="340" t="n"/>
      <c r="AL16" s="340" t="n"/>
    </row>
    <row r="17" ht="15" customFormat="1" customHeight="1" s="950">
      <c r="A17" s="509" t="n"/>
      <c r="B17" s="345" t="inlineStr">
        <is>
          <t>Equipos a utilizar:</t>
        </is>
      </c>
      <c r="C17" s="346" t="n"/>
      <c r="D17" s="340" t="n"/>
      <c r="F17" s="344" t="n"/>
      <c r="G17" s="344" t="n"/>
      <c r="H17" s="344" t="n"/>
      <c r="I17" s="344" t="n"/>
      <c r="J17" s="344" t="n"/>
      <c r="K17" s="340" t="n"/>
      <c r="L17" s="346" t="inlineStr">
        <is>
          <t xml:space="preserve">wac = determinación del contenido de agua </t>
        </is>
      </c>
      <c r="M17" s="346" t="n"/>
      <c r="N17" s="340" t="n"/>
      <c r="P17" s="344" t="n"/>
      <c r="Q17" s="344" t="n"/>
      <c r="R17" s="344" t="n"/>
      <c r="S17" s="344" t="n"/>
      <c r="T17" s="344" t="n"/>
      <c r="U17" s="340" t="n"/>
      <c r="V17" s="340" t="n"/>
      <c r="W17" s="340" t="n"/>
      <c r="X17" s="340" t="n"/>
      <c r="Y17" s="340" t="n"/>
      <c r="Z17" s="340" t="n"/>
      <c r="AA17" s="340" t="n"/>
      <c r="AB17" s="340" t="n"/>
      <c r="AC17" s="340" t="n"/>
      <c r="AD17" s="340" t="n"/>
      <c r="AE17" s="340" t="n"/>
      <c r="AF17" s="340" t="n"/>
      <c r="AG17" s="340" t="n"/>
      <c r="AH17" s="340" t="n"/>
      <c r="AI17" s="340" t="n"/>
      <c r="AJ17" s="340" t="n"/>
      <c r="AK17" s="340" t="n"/>
      <c r="AL17" s="340" t="n"/>
    </row>
    <row r="18" ht="15" customFormat="1" customHeight="1" s="950">
      <c r="A18" s="509" t="n"/>
      <c r="B18" s="344" t="n"/>
      <c r="C18" s="344" t="n"/>
      <c r="D18" s="344" t="n"/>
      <c r="E18" s="344" t="n"/>
      <c r="F18" s="344" t="n"/>
      <c r="G18" s="344" t="n"/>
      <c r="H18" s="344" t="n"/>
      <c r="I18" s="344" t="n"/>
      <c r="J18" s="344" t="n"/>
      <c r="K18" s="340" t="n"/>
      <c r="L18" s="344" t="inlineStr">
        <is>
          <t>Vm = volumen del molde cm3</t>
        </is>
      </c>
      <c r="M18" s="344" t="n"/>
      <c r="N18" s="344" t="n"/>
      <c r="O18" s="344" t="n"/>
      <c r="P18" s="344" t="n"/>
      <c r="Q18" s="344" t="n"/>
      <c r="R18" s="344" t="n"/>
      <c r="S18" s="344" t="n"/>
      <c r="T18" s="344" t="n"/>
      <c r="U18" s="340" t="n"/>
      <c r="V18" s="340" t="n"/>
      <c r="W18" s="340" t="n"/>
      <c r="X18" s="340" t="n"/>
      <c r="Y18" s="340" t="n"/>
      <c r="Z18" s="340" t="n"/>
      <c r="AA18" s="340" t="n"/>
      <c r="AB18" s="340" t="n"/>
      <c r="AC18" s="340" t="n"/>
      <c r="AD18" s="340" t="n"/>
      <c r="AE18" s="340" t="n"/>
      <c r="AF18" s="340" t="n"/>
      <c r="AG18" s="340" t="n"/>
      <c r="AH18" s="340" t="n"/>
      <c r="AI18" s="340" t="n"/>
      <c r="AJ18" s="340" t="n"/>
      <c r="AK18" s="340" t="n"/>
      <c r="AL18" s="340" t="n"/>
    </row>
    <row r="19" ht="15" customFormat="1" customHeight="1" s="950">
      <c r="A19" s="509" t="n"/>
      <c r="B19" s="346" t="inlineStr">
        <is>
          <t>Equipo cbr, 0,1kgf</t>
        </is>
      </c>
      <c r="C19" s="344" t="n"/>
      <c r="D19" s="344" t="n"/>
      <c r="E19" s="344" t="n"/>
      <c r="F19" s="344" t="n"/>
      <c r="H19" s="344" t="n"/>
      <c r="I19" s="344" t="n"/>
      <c r="J19" s="344" t="n"/>
      <c r="K19" s="340" t="n"/>
      <c r="L19" s="344" t="inlineStr">
        <is>
          <t>ρd = densidad seca de la muestra compactada, g/cm3.</t>
        </is>
      </c>
      <c r="M19" s="344" t="n"/>
      <c r="N19" s="344" t="n"/>
      <c r="O19" s="344" t="n"/>
      <c r="P19" s="344" t="n"/>
      <c r="R19" s="344" t="n"/>
      <c r="S19" s="344" t="n"/>
      <c r="T19" s="344" t="n"/>
      <c r="U19" s="340" t="n"/>
      <c r="V19" s="340" t="n"/>
      <c r="W19" s="340" t="n"/>
      <c r="X19" s="340" t="n"/>
      <c r="Y19" s="340" t="n"/>
      <c r="Z19" s="340" t="n"/>
      <c r="AA19" s="340" t="n"/>
      <c r="AB19" s="340" t="n"/>
      <c r="AC19" s="340" t="n"/>
      <c r="AD19" s="340" t="n"/>
      <c r="AE19" s="340" t="n"/>
      <c r="AF19" s="340" t="n"/>
      <c r="AG19" s="340" t="n"/>
      <c r="AH19" s="340" t="n"/>
      <c r="AI19" s="340" t="n"/>
      <c r="AJ19" s="340" t="n"/>
      <c r="AK19" s="340" t="n"/>
      <c r="AL19" s="340" t="n"/>
    </row>
    <row r="20" ht="7.2" customFormat="1" customHeight="1" s="950">
      <c r="A20" s="509" t="n"/>
      <c r="B20" s="344" t="n"/>
      <c r="C20" s="344" t="n"/>
      <c r="D20" s="344" t="n"/>
      <c r="E20" s="344" t="n"/>
      <c r="F20" s="344" t="n"/>
      <c r="G20" s="344" t="n"/>
      <c r="H20" s="344" t="n"/>
      <c r="I20" s="344" t="n"/>
      <c r="J20" s="344" t="n"/>
      <c r="K20" s="340" t="n"/>
      <c r="L20" s="344" t="n"/>
      <c r="M20" s="344" t="n"/>
      <c r="N20" s="344" t="n"/>
      <c r="O20" s="344" t="n"/>
      <c r="P20" s="344" t="n"/>
      <c r="Q20" s="344" t="n"/>
      <c r="R20" s="344" t="n"/>
      <c r="S20" s="344" t="n"/>
      <c r="T20" s="344" t="n"/>
      <c r="U20" s="340" t="n"/>
      <c r="V20" s="340" t="n"/>
      <c r="W20" s="340" t="n"/>
      <c r="X20" s="340" t="n"/>
      <c r="Y20" s="340" t="n"/>
      <c r="Z20" s="340" t="n"/>
      <c r="AA20" s="340" t="n"/>
      <c r="AB20" s="340" t="n"/>
      <c r="AC20" s="340" t="n"/>
      <c r="AD20" s="340" t="n"/>
      <c r="AE20" s="340" t="n"/>
      <c r="AF20" s="340" t="n"/>
      <c r="AG20" s="340" t="n"/>
      <c r="AH20" s="340" t="n"/>
      <c r="AI20" s="340" t="n"/>
      <c r="AJ20" s="340" t="n"/>
      <c r="AK20" s="340" t="n"/>
      <c r="AL20" s="340" t="n"/>
    </row>
    <row r="21" ht="15" customFormat="1" customHeight="1" s="950">
      <c r="A21" s="509" t="n"/>
      <c r="C21" s="345" t="n"/>
      <c r="D21" s="344" t="n"/>
      <c r="E21" s="344" t="n"/>
      <c r="F21" s="344" t="n"/>
      <c r="G21" s="344" t="n"/>
      <c r="H21" s="344" t="n"/>
      <c r="I21" s="344" t="n"/>
      <c r="J21" s="344" t="n"/>
      <c r="K21" s="340" t="n"/>
      <c r="L21" s="345" t="inlineStr">
        <is>
          <t>Equipos a utilizar:</t>
        </is>
      </c>
      <c r="M21" s="345" t="n"/>
      <c r="N21" s="344" t="n"/>
      <c r="O21" s="344" t="n"/>
      <c r="P21" s="344" t="n"/>
      <c r="Q21" s="344" t="n"/>
      <c r="R21" s="344" t="n"/>
      <c r="S21" s="344" t="n"/>
      <c r="T21" s="344" t="n"/>
      <c r="U21" s="340" t="n"/>
      <c r="V21" s="340" t="n"/>
      <c r="W21" s="340" t="n"/>
      <c r="X21" s="340" t="n"/>
      <c r="Y21" s="340" t="n"/>
      <c r="Z21" s="340" t="n"/>
      <c r="AA21" s="340" t="n"/>
      <c r="AB21" s="340" t="n"/>
      <c r="AC21" s="340" t="n"/>
      <c r="AD21" s="340" t="n"/>
      <c r="AE21" s="340" t="n"/>
      <c r="AF21" s="340" t="n"/>
      <c r="AG21" s="340" t="n"/>
      <c r="AH21" s="340" t="n"/>
      <c r="AI21" s="340" t="n"/>
      <c r="AJ21" s="340" t="n"/>
      <c r="AK21" s="340" t="n"/>
      <c r="AL21" s="340" t="n"/>
    </row>
    <row r="22" ht="8.4" customFormat="1" customHeight="1" s="950">
      <c r="A22" s="509" t="n"/>
      <c r="C22" s="344" t="n"/>
      <c r="D22" s="344" t="n"/>
      <c r="E22" s="344" t="n"/>
      <c r="F22" s="344" t="n"/>
      <c r="G22" s="344" t="n"/>
      <c r="H22" s="344" t="n"/>
      <c r="I22" s="344" t="n"/>
      <c r="J22" s="344" t="n"/>
      <c r="K22" s="340" t="n"/>
      <c r="L22" s="344" t="n"/>
      <c r="M22" s="344" t="n"/>
      <c r="N22" s="344" t="n"/>
      <c r="O22" s="344" t="n"/>
      <c r="P22" s="344" t="n"/>
      <c r="Q22" s="344" t="n"/>
      <c r="R22" s="344" t="n"/>
      <c r="S22" s="344" t="n"/>
      <c r="T22" s="344" t="n"/>
      <c r="U22" s="340" t="n"/>
      <c r="V22" s="340" t="n"/>
      <c r="W22" s="340" t="n"/>
      <c r="X22" s="340" t="n"/>
      <c r="Y22" s="340" t="n"/>
      <c r="Z22" s="340" t="n"/>
      <c r="AA22" s="340" t="n"/>
      <c r="AB22" s="340" t="n"/>
      <c r="AC22" s="340" t="n"/>
      <c r="AD22" s="340" t="n"/>
      <c r="AE22" s="340" t="n"/>
      <c r="AF22" s="340" t="n"/>
      <c r="AG22" s="340" t="n"/>
      <c r="AH22" s="340" t="n"/>
      <c r="AI22" s="340" t="n"/>
      <c r="AJ22" s="340" t="n"/>
      <c r="AK22" s="340" t="n"/>
      <c r="AL22" s="340" t="n"/>
    </row>
    <row r="23" ht="15" customFormat="1" customHeight="1" s="950">
      <c r="A23" s="509" t="n"/>
      <c r="C23" s="346" t="n"/>
      <c r="D23" s="344" t="n"/>
      <c r="E23" s="344" t="n"/>
      <c r="F23" s="344" t="n"/>
      <c r="G23" s="344" t="n"/>
      <c r="H23" s="344" t="n"/>
      <c r="I23" s="344" t="n"/>
      <c r="J23" s="344" t="n"/>
      <c r="K23" s="340" t="n"/>
      <c r="L23" s="346" t="inlineStr">
        <is>
          <t xml:space="preserve">Balanza con resolución de lectura de 1g </t>
        </is>
      </c>
      <c r="M23" s="346" t="n"/>
      <c r="N23" s="344" t="n"/>
      <c r="O23" s="344" t="n"/>
      <c r="P23" s="344" t="n"/>
      <c r="Q23" s="344" t="n"/>
      <c r="R23" s="344" t="n"/>
      <c r="S23" s="344" t="n"/>
      <c r="T23" s="344" t="n"/>
      <c r="U23" s="340" t="n"/>
      <c r="V23" s="340" t="n"/>
      <c r="W23" s="340" t="n"/>
      <c r="X23" s="340" t="n"/>
      <c r="Y23" s="340" t="n"/>
      <c r="Z23" s="340" t="n"/>
      <c r="AA23" s="340" t="n"/>
      <c r="AB23" s="340" t="n"/>
      <c r="AC23" s="340" t="n"/>
      <c r="AD23" s="340" t="n"/>
      <c r="AE23" s="340" t="n"/>
      <c r="AF23" s="340" t="n"/>
      <c r="AG23" s="340" t="n"/>
      <c r="AH23" s="340" t="n"/>
      <c r="AI23" s="340" t="n"/>
      <c r="AJ23" s="340" t="n"/>
      <c r="AK23" s="340" t="n"/>
      <c r="AL23" s="340" t="n"/>
    </row>
    <row r="24" ht="3.6" customHeight="1">
      <c r="K24" s="344" t="n"/>
      <c r="L24" s="344" t="n"/>
      <c r="M24" s="344" t="n"/>
      <c r="N24" s="344" t="n"/>
      <c r="O24" s="344" t="n"/>
      <c r="P24" s="344" t="n"/>
      <c r="Q24" s="344" t="n"/>
      <c r="R24" s="344" t="n"/>
      <c r="S24" s="344" t="n"/>
      <c r="T24" s="340" t="n"/>
      <c r="U24" s="340" t="n"/>
      <c r="V24" s="340" t="n"/>
      <c r="W24" s="340" t="n"/>
      <c r="X24" s="340" t="n"/>
      <c r="Y24" s="340" t="n"/>
      <c r="Z24" s="340" t="n"/>
      <c r="AA24" s="340" t="n"/>
      <c r="AB24" s="340" t="n"/>
      <c r="AC24" s="340" t="n"/>
      <c r="AD24" s="340" t="n"/>
      <c r="AE24" s="340" t="n"/>
      <c r="AF24" s="340" t="n"/>
      <c r="AG24" s="340" t="n"/>
      <c r="AH24" s="340" t="n"/>
      <c r="AI24" s="340" t="n"/>
      <c r="AJ24" s="340" t="n"/>
      <c r="AK24" s="340" t="n"/>
      <c r="AL24" s="340" t="n"/>
    </row>
    <row r="25" ht="21" customHeight="1">
      <c r="B25" s="347" t="inlineStr">
        <is>
          <t>CALCULO:  CBR 100%</t>
        </is>
      </c>
      <c r="K25" s="347" t="inlineStr">
        <is>
          <t>CALCULO:  CBR 100%</t>
        </is>
      </c>
      <c r="L25" s="347" t="n"/>
      <c r="M25" s="348" t="n"/>
      <c r="N25" s="348" t="n"/>
      <c r="O25" s="349" t="n"/>
      <c r="P25" s="348" t="n"/>
      <c r="Q25" s="348" t="n"/>
      <c r="R25" s="348" t="n"/>
      <c r="S25" s="348" t="n"/>
      <c r="T25" s="350" t="n"/>
      <c r="U25" s="350" t="n"/>
      <c r="V25" s="350" t="n"/>
      <c r="W25" s="340" t="n"/>
      <c r="X25" s="340" t="n"/>
      <c r="Y25" s="340" t="n"/>
      <c r="Z25" s="340" t="n"/>
      <c r="AA25" s="340" t="n"/>
      <c r="AB25" s="340" t="n"/>
      <c r="AC25" s="340" t="n"/>
      <c r="AD25" s="340" t="n"/>
      <c r="AE25" s="340" t="n"/>
      <c r="AF25" s="340" t="n"/>
      <c r="AG25" s="340" t="n"/>
      <c r="AH25" s="340" t="n"/>
      <c r="AI25" s="340" t="n"/>
      <c r="AJ25" s="340" t="n"/>
      <c r="AK25" s="340" t="n"/>
      <c r="AL25" s="340" t="n"/>
    </row>
    <row r="26" ht="6.6" customHeight="1">
      <c r="K26" s="351" t="n"/>
      <c r="L26" s="351" t="n"/>
      <c r="M26" s="351" t="n"/>
      <c r="N26" s="351" t="n"/>
      <c r="O26" s="351" t="n"/>
      <c r="P26" s="351" t="n"/>
      <c r="Q26" s="351" t="n"/>
      <c r="R26" s="351" t="n"/>
      <c r="S26" s="351" t="n"/>
      <c r="T26" s="351" t="n"/>
      <c r="U26" s="950" t="n"/>
      <c r="V26" s="950" t="n"/>
      <c r="W26" s="950" t="n"/>
      <c r="X26" s="950" t="n"/>
      <c r="Y26" s="950" t="n"/>
      <c r="Z26" s="950" t="n"/>
      <c r="AA26" s="340" t="n"/>
      <c r="AB26" s="340" t="n"/>
      <c r="AC26" s="340" t="n"/>
      <c r="AD26" s="340" t="n"/>
      <c r="AE26" s="340" t="n"/>
      <c r="AF26" s="340" t="n"/>
      <c r="AG26" s="340" t="n"/>
      <c r="AH26" s="340" t="n"/>
      <c r="AI26" s="340" t="n"/>
      <c r="AJ26" s="340" t="n"/>
      <c r="AK26" s="340" t="n"/>
      <c r="AL26" s="340" t="n"/>
    </row>
    <row r="27" ht="27.6" customHeight="1">
      <c r="B27" s="607" t="inlineStr">
        <is>
          <t>Fuentes</t>
        </is>
      </c>
      <c r="C27" s="608" t="inlineStr">
        <is>
          <t>Unidades</t>
        </is>
      </c>
      <c r="D27" s="607" t="inlineStr">
        <is>
          <t>Valor</t>
        </is>
      </c>
      <c r="E27" s="608" t="inlineStr">
        <is>
          <t>Incertidumbre Original</t>
        </is>
      </c>
      <c r="F27" s="608" t="inlineStr">
        <is>
          <t>Distribución</t>
        </is>
      </c>
      <c r="G27" s="608" t="inlineStr">
        <is>
          <t>Incertidumbre Estándar u(xi)</t>
        </is>
      </c>
      <c r="H27" s="608" t="inlineStr">
        <is>
          <t>Coeficiente de Sensibilidad</t>
        </is>
      </c>
      <c r="I27" s="608" t="inlineStr">
        <is>
          <t>Contribución ui(y)</t>
        </is>
      </c>
      <c r="K27" s="498" t="inlineStr">
        <is>
          <t>Fuentes</t>
        </is>
      </c>
      <c r="L27" s="499" t="inlineStr">
        <is>
          <t>Unidades</t>
        </is>
      </c>
      <c r="M27" s="498" t="inlineStr">
        <is>
          <t>Valor</t>
        </is>
      </c>
      <c r="N27" s="499" t="inlineStr">
        <is>
          <t>Incertidumbre Original</t>
        </is>
      </c>
      <c r="O27" s="499" t="inlineStr">
        <is>
          <t>Distribución</t>
        </is>
      </c>
      <c r="P27" s="499" t="inlineStr">
        <is>
          <t>Incertidumbre Estándar u(xi)</t>
        </is>
      </c>
      <c r="Q27" s="499" t="inlineStr">
        <is>
          <t>Coeficiente de Sensibilidad</t>
        </is>
      </c>
      <c r="R27" s="499" t="inlineStr">
        <is>
          <t>Contribución ui(y)</t>
        </is>
      </c>
      <c r="T27" s="351" t="n"/>
      <c r="U27" s="950" t="n"/>
      <c r="V27" s="950" t="n"/>
      <c r="W27" s="950" t="n"/>
      <c r="X27" s="950" t="n"/>
      <c r="Y27" s="950" t="n"/>
      <c r="Z27" s="950" t="n"/>
      <c r="AA27" s="340" t="n"/>
      <c r="AB27" s="340" t="n"/>
      <c r="AC27" s="340" t="n"/>
      <c r="AD27" s="340" t="n"/>
      <c r="AE27" s="340" t="n"/>
      <c r="AF27" s="340" t="n"/>
      <c r="AG27" s="340" t="n"/>
      <c r="AH27" s="340" t="n"/>
      <c r="AI27" s="340" t="n"/>
      <c r="AJ27" s="340" t="n"/>
      <c r="AK27" s="340" t="n"/>
      <c r="AL27" s="340" t="n"/>
    </row>
    <row r="28" ht="18.6" customHeight="1">
      <c r="B28" s="615" t="inlineStr">
        <is>
          <t>C.B.R. (0.10 in) 56 Golpes (%)</t>
        </is>
      </c>
      <c r="C28" s="606" t="inlineStr">
        <is>
          <t>%</t>
        </is>
      </c>
      <c r="D28" s="657">
        <f>+D29/D32*14.223343334285*100/1000</f>
        <v/>
      </c>
      <c r="E28" s="813" t="n"/>
      <c r="F28" s="817" t="n"/>
      <c r="G28" s="817" t="n"/>
      <c r="H28" s="817" t="n"/>
      <c r="I28" s="817" t="n"/>
      <c r="K28" s="619" t="inlineStr">
        <is>
          <t>C.B.R. (100% P.U.S.) 0.10 in :</t>
        </is>
      </c>
      <c r="L28" s="457" t="inlineStr">
        <is>
          <t>%</t>
        </is>
      </c>
      <c r="M28" s="658">
        <f>+(M33-M30)*(M31-M29)/(M32-M30)+M29</f>
        <v/>
      </c>
      <c r="N28" s="631" t="n"/>
      <c r="O28" s="631" t="n"/>
      <c r="P28" s="631" t="n"/>
      <c r="Q28" s="631" t="n"/>
      <c r="R28" s="631" t="n"/>
      <c r="T28" s="351" t="n"/>
      <c r="U28" s="950" t="n"/>
      <c r="V28" s="950" t="n"/>
      <c r="W28" s="950" t="n"/>
      <c r="X28" s="950" t="n"/>
      <c r="Y28" s="950" t="n"/>
      <c r="Z28" s="950" t="n"/>
      <c r="AA28" s="340" t="n"/>
      <c r="AB28" s="340" t="n"/>
      <c r="AC28" s="340" t="n"/>
      <c r="AD28" s="340" t="n"/>
      <c r="AE28" s="340" t="n"/>
      <c r="AF28" s="340" t="n"/>
      <c r="AG28" s="340" t="n"/>
      <c r="AH28" s="340" t="n"/>
      <c r="AI28" s="340" t="n"/>
      <c r="AJ28" s="340" t="n"/>
      <c r="AK28" s="340" t="n"/>
      <c r="AL28" s="340" t="n"/>
    </row>
    <row r="29" ht="18.6" customHeight="1">
      <c r="B29" s="616" t="inlineStr">
        <is>
          <t>Fuerza (lectura)</t>
        </is>
      </c>
      <c r="C29" s="499" t="inlineStr">
        <is>
          <t>kgf</t>
        </is>
      </c>
      <c r="D29" s="505">
        <f>+'INFORME-2'!$V$55*D32*0.393701^2*0.453592</f>
        <v/>
      </c>
      <c r="E29" s="550" t="n"/>
      <c r="F29" s="552" t="n"/>
      <c r="G29" s="604">
        <f>SQRT((G30*G30+G31*G31))</f>
        <v/>
      </c>
      <c r="H29" s="560">
        <f>1/D32*14.223343334285*100/1000</f>
        <v/>
      </c>
      <c r="I29" s="605">
        <f>+H29*G29</f>
        <v/>
      </c>
      <c r="J29" s="487" t="inlineStr">
        <is>
          <t>A</t>
        </is>
      </c>
      <c r="K29" s="620" t="inlineStr">
        <is>
          <t>C.B.R. (0.10 in) 56 Golpes (%)</t>
        </is>
      </c>
      <c r="L29" s="499" t="inlineStr">
        <is>
          <t>%</t>
        </is>
      </c>
      <c r="M29" s="505">
        <f>+M50</f>
        <v/>
      </c>
      <c r="N29" s="505" t="n"/>
      <c r="O29" s="552" t="n"/>
      <c r="P29" s="553">
        <f>+R55</f>
        <v/>
      </c>
      <c r="Q29" s="560">
        <f>+(M30-M33)/(M32-M30)+1</f>
        <v/>
      </c>
      <c r="R29" s="560">
        <f>+P29*Q29</f>
        <v/>
      </c>
      <c r="T29" s="351" t="n"/>
      <c r="U29" s="950" t="n"/>
      <c r="V29" s="950" t="n"/>
      <c r="W29" s="950" t="n"/>
      <c r="X29" s="950" t="n"/>
      <c r="Y29" s="950" t="n"/>
      <c r="Z29" s="950" t="n"/>
      <c r="AA29" s="340" t="n"/>
      <c r="AB29" s="340" t="n"/>
      <c r="AC29" s="340" t="n"/>
      <c r="AD29" s="340" t="n"/>
      <c r="AE29" s="340" t="n"/>
      <c r="AF29" s="340" t="n"/>
      <c r="AG29" s="340" t="n"/>
      <c r="AH29" s="340" t="n"/>
      <c r="AI29" s="340" t="n"/>
      <c r="AJ29" s="340" t="n"/>
      <c r="AK29" s="340" t="n"/>
      <c r="AL29" s="340" t="n"/>
    </row>
    <row r="30" ht="18.6" customHeight="1">
      <c r="B30" s="617" t="inlineStr">
        <is>
          <t>Certificado de Calibración</t>
        </is>
      </c>
      <c r="C30" s="457" t="inlineStr">
        <is>
          <t>kgf</t>
        </is>
      </c>
      <c r="D30" s="813" t="n"/>
      <c r="E30" s="593">
        <f>+$D$58</f>
        <v/>
      </c>
      <c r="F30" s="416" t="inlineStr">
        <is>
          <t>Norma, K=2</t>
        </is>
      </c>
      <c r="G30" s="618">
        <f>+E30/2</f>
        <v/>
      </c>
      <c r="H30" s="817" t="n"/>
      <c r="I30" s="817" t="n"/>
      <c r="J30" s="487" t="inlineStr">
        <is>
          <t>B</t>
        </is>
      </c>
      <c r="K30" s="620" t="inlineStr">
        <is>
          <t xml:space="preserve">Peso unitario seco 56 Golpes (kN/m3) </t>
        </is>
      </c>
      <c r="L30" s="551" t="inlineStr">
        <is>
          <t>kN/m3</t>
        </is>
      </c>
      <c r="M30" s="553">
        <f>+M70</f>
        <v/>
      </c>
      <c r="N30" s="550" t="n"/>
      <c r="O30" s="552" t="n"/>
      <c r="P30" s="554">
        <f>+R78</f>
        <v/>
      </c>
      <c r="Q30" s="560">
        <f>(+(M31-M29)*(M33-M32)/(M32-M30)^2)*(-1)</f>
        <v/>
      </c>
      <c r="R30" s="560">
        <f>+P30*Q30</f>
        <v/>
      </c>
      <c r="AA30" s="340" t="n"/>
      <c r="AB30" s="340" t="n"/>
      <c r="AC30" s="340" t="n"/>
      <c r="AD30" s="340" t="n"/>
      <c r="AE30" s="340" t="n"/>
      <c r="AF30" s="340" t="n"/>
      <c r="AG30" s="340" t="n"/>
      <c r="AH30" s="340" t="n"/>
      <c r="AI30" s="340" t="n"/>
      <c r="AJ30" s="340" t="n"/>
      <c r="AK30" s="340" t="n"/>
      <c r="AL30" s="340" t="n"/>
    </row>
    <row r="31" ht="18.6" customHeight="1">
      <c r="B31" s="589" t="inlineStr">
        <is>
          <t>Resolución</t>
        </is>
      </c>
      <c r="C31" s="457" t="inlineStr">
        <is>
          <t>kgf</t>
        </is>
      </c>
      <c r="D31" s="813" t="n"/>
      <c r="E31" s="590" t="n">
        <v>0.1</v>
      </c>
      <c r="F31" s="520" t="inlineStr">
        <is>
          <t>Rectangular</t>
        </is>
      </c>
      <c r="G31" s="517">
        <f>+E31/SQRT(3)/2</f>
        <v/>
      </c>
      <c r="H31" s="817" t="n"/>
      <c r="I31" s="817" t="n"/>
      <c r="J31" s="487" t="inlineStr">
        <is>
          <t>C</t>
        </is>
      </c>
      <c r="K31" s="620" t="inlineStr">
        <is>
          <t>C.B.R. (0.10 in) 25 Golpes (%):</t>
        </is>
      </c>
      <c r="L31" s="499" t="inlineStr">
        <is>
          <t>%</t>
        </is>
      </c>
      <c r="M31" s="505">
        <f>+W50</f>
        <v/>
      </c>
      <c r="N31" s="505" t="n"/>
      <c r="O31" s="552" t="n"/>
      <c r="P31" s="553">
        <f>+AB55</f>
        <v/>
      </c>
      <c r="Q31" s="560">
        <f>+(M33-M30)/(M32-M30)*(-1)</f>
        <v/>
      </c>
      <c r="R31" s="560">
        <f>+P31*Q31</f>
        <v/>
      </c>
      <c r="T31" s="351" t="n"/>
      <c r="AA31" s="340" t="n"/>
      <c r="AB31" s="340" t="n"/>
      <c r="AC31" s="340" t="n"/>
      <c r="AD31" s="340" t="n"/>
      <c r="AE31" s="340" t="n"/>
      <c r="AF31" s="340" t="n"/>
      <c r="AG31" s="340" t="n"/>
      <c r="AH31" s="340" t="n"/>
      <c r="AI31" s="340" t="n"/>
      <c r="AJ31" s="340" t="n"/>
      <c r="AK31" s="340" t="n"/>
      <c r="AL31" s="340" t="n"/>
    </row>
    <row r="32" ht="18.6" customHeight="1">
      <c r="B32" s="616" t="inlineStr">
        <is>
          <t>Area piston</t>
        </is>
      </c>
      <c r="C32" s="499" t="inlineStr">
        <is>
          <t>cm2</t>
        </is>
      </c>
      <c r="D32" s="505">
        <f>+DATOS!$D$9</f>
        <v/>
      </c>
      <c r="E32" s="550" t="n"/>
      <c r="F32" s="552" t="n"/>
      <c r="G32" s="560">
        <f>I54*0.01</f>
        <v/>
      </c>
      <c r="H32" s="560">
        <f>14.223343334285*100/1000*D29/(D32^2)</f>
        <v/>
      </c>
      <c r="I32" s="605">
        <f>+H32*G32</f>
        <v/>
      </c>
      <c r="J32" s="487" t="inlineStr">
        <is>
          <t>D</t>
        </is>
      </c>
      <c r="K32" s="620" t="inlineStr">
        <is>
          <t xml:space="preserve">Peso unitario seco 25 Golpes (kN/m3) </t>
        </is>
      </c>
      <c r="L32" s="551" t="inlineStr">
        <is>
          <t>kN/m3</t>
        </is>
      </c>
      <c r="M32" s="553">
        <f>+W70</f>
        <v/>
      </c>
      <c r="N32" s="550" t="n"/>
      <c r="O32" s="552" t="n"/>
      <c r="P32" s="554">
        <f>+AB72</f>
        <v/>
      </c>
      <c r="Q32" s="560">
        <f>((M31-M29)*(M30-M33)/(M32-M30)^2)</f>
        <v/>
      </c>
      <c r="R32" s="560">
        <f>+P32*Q32</f>
        <v/>
      </c>
      <c r="T32" s="351" t="n"/>
      <c r="AA32" s="340" t="n"/>
      <c r="AB32" s="340" t="n"/>
      <c r="AC32" s="340" t="n"/>
      <c r="AD32" s="340" t="n"/>
      <c r="AE32" s="340" t="n"/>
      <c r="AF32" s="340" t="n"/>
      <c r="AG32" s="340" t="n"/>
      <c r="AH32" s="340" t="n"/>
      <c r="AI32" s="340" t="n"/>
      <c r="AJ32" s="340" t="n"/>
      <c r="AK32" s="340" t="n"/>
      <c r="AL32" s="340" t="n"/>
    </row>
    <row r="33" ht="18.6" customHeight="1">
      <c r="B33" s="623" t="inlineStr">
        <is>
          <t>factor de presición</t>
        </is>
      </c>
      <c r="C33" s="421" t="inlineStr">
        <is>
          <t>%</t>
        </is>
      </c>
      <c r="D33" s="624">
        <f>+PRECISION!$C$6</f>
        <v/>
      </c>
      <c r="E33" s="405" t="n"/>
      <c r="F33" s="625" t="inlineStr">
        <is>
          <t>Norma, K=1</t>
        </is>
      </c>
      <c r="G33" s="626">
        <f>D33/SQRT(1)</f>
        <v/>
      </c>
      <c r="H33" s="627" t="n">
        <v>1</v>
      </c>
      <c r="I33" s="628">
        <f>+G33*H33</f>
        <v/>
      </c>
      <c r="J33" s="487" t="inlineStr">
        <is>
          <t>E</t>
        </is>
      </c>
      <c r="K33" s="621" t="inlineStr">
        <is>
          <t>Peso unitario seco PROCTOR</t>
        </is>
      </c>
      <c r="L33" s="551" t="inlineStr">
        <is>
          <t>kN/m3</t>
        </is>
      </c>
      <c r="M33" s="553">
        <f>+DATOS!J2</f>
        <v/>
      </c>
      <c r="N33" s="550" t="n"/>
      <c r="O33" s="552" t="n"/>
      <c r="P33" s="622" t="n">
        <v>0.02</v>
      </c>
      <c r="Q33" s="560">
        <f>+(M31-M29)/(M32-M30)</f>
        <v/>
      </c>
      <c r="R33" s="560">
        <f>+P33*Q33</f>
        <v/>
      </c>
      <c r="T33" s="351" t="n"/>
      <c r="AA33" s="340" t="n"/>
      <c r="AB33" s="340" t="n"/>
      <c r="AC33" s="340" t="n"/>
      <c r="AD33" s="340" t="n"/>
      <c r="AE33" s="340" t="n"/>
      <c r="AF33" s="340" t="n"/>
      <c r="AG33" s="340" t="n"/>
      <c r="AH33" s="340" t="n"/>
      <c r="AI33" s="340" t="n"/>
      <c r="AJ33" s="340" t="n"/>
      <c r="AK33" s="340" t="n"/>
      <c r="AL33" s="340" t="n"/>
    </row>
    <row r="34" ht="18.6" customHeight="1">
      <c r="A34" s="487" t="n"/>
      <c r="B34" s="500" t="inlineStr">
        <is>
          <t>Incertidumbre Estándar Combinada</t>
        </is>
      </c>
      <c r="C34" s="500" t="n"/>
      <c r="D34" s="500" t="n"/>
      <c r="E34" s="501" t="n"/>
      <c r="F34" s="500" t="n"/>
      <c r="G34" s="501" t="n"/>
      <c r="H34" s="612" t="inlineStr">
        <is>
          <t>%</t>
        </is>
      </c>
      <c r="I34" s="612">
        <f>+SQRT(I29^2+I32^2+I33^2)</f>
        <v/>
      </c>
      <c r="J34" s="487" t="n"/>
      <c r="K34" s="623" t="inlineStr">
        <is>
          <t>factor de presición</t>
        </is>
      </c>
      <c r="L34" s="421" t="inlineStr">
        <is>
          <t>%</t>
        </is>
      </c>
      <c r="M34" s="624">
        <f>+PRECISION!$C$6</f>
        <v/>
      </c>
      <c r="N34" s="405" t="n"/>
      <c r="O34" s="625" t="inlineStr">
        <is>
          <t>Norma, K=1</t>
        </is>
      </c>
      <c r="P34" s="626">
        <f>M34/SQRT(1)</f>
        <v/>
      </c>
      <c r="Q34" s="627" t="n">
        <v>1</v>
      </c>
      <c r="R34" s="628">
        <f>+P34*Q34</f>
        <v/>
      </c>
      <c r="T34" s="351" t="n"/>
      <c r="AA34" s="340" t="n"/>
      <c r="AB34" s="340" t="n"/>
      <c r="AC34" s="340" t="n"/>
      <c r="AD34" s="340" t="n"/>
      <c r="AE34" s="340" t="n"/>
      <c r="AF34" s="340" t="n"/>
      <c r="AG34" s="340" t="n"/>
      <c r="AH34" s="340" t="n"/>
      <c r="AI34" s="340" t="n"/>
      <c r="AJ34" s="340" t="n"/>
      <c r="AK34" s="340" t="n"/>
      <c r="AL34" s="340" t="n"/>
    </row>
    <row r="35" ht="18.6" customHeight="1">
      <c r="B35" s="500" t="inlineStr">
        <is>
          <t>Incertidumbre Expandida, K = 2</t>
        </is>
      </c>
      <c r="C35" s="500" t="n"/>
      <c r="D35" s="613" t="n"/>
      <c r="E35" s="501" t="n"/>
      <c r="F35" s="613" t="n"/>
      <c r="G35" s="501" t="n"/>
      <c r="H35" s="612" t="inlineStr">
        <is>
          <t>%</t>
        </is>
      </c>
      <c r="I35" s="614">
        <f>I34*2</f>
        <v/>
      </c>
      <c r="K35" s="629" t="inlineStr">
        <is>
          <t>Incertidumbre Estándar Combinada</t>
        </is>
      </c>
      <c r="L35" s="629" t="n"/>
      <c r="M35" s="629" t="n"/>
      <c r="N35" s="629" t="n"/>
      <c r="O35" s="629" t="n"/>
      <c r="P35" s="501" t="n"/>
      <c r="Q35" s="542" t="inlineStr">
        <is>
          <t>%</t>
        </is>
      </c>
      <c r="R35" s="542">
        <f>+SQRT(R29^2+R32^2+R31^2+R30^2+R33^2+R34^2)</f>
        <v/>
      </c>
      <c r="T35" s="351" t="n"/>
      <c r="AA35" s="340" t="n"/>
      <c r="AB35" s="340" t="n"/>
      <c r="AC35" s="340" t="n"/>
      <c r="AD35" s="340" t="n"/>
      <c r="AE35" s="340" t="n"/>
      <c r="AF35" s="340" t="n"/>
      <c r="AG35" s="340" t="n"/>
      <c r="AH35" s="340" t="n"/>
      <c r="AI35" s="340" t="n"/>
      <c r="AJ35" s="340" t="n"/>
      <c r="AK35" s="340" t="n"/>
      <c r="AL35" s="340" t="n"/>
    </row>
    <row r="36" ht="29.4" customHeight="1">
      <c r="K36" s="629" t="inlineStr">
        <is>
          <t>Incertidumbre Expandida, K = 2</t>
        </is>
      </c>
      <c r="L36" s="629" t="n"/>
      <c r="M36" s="416" t="n"/>
      <c r="N36" s="416" t="n"/>
      <c r="O36" s="416" t="n"/>
      <c r="P36" s="501" t="n"/>
      <c r="Q36" s="542" t="inlineStr">
        <is>
          <t>%</t>
        </is>
      </c>
      <c r="R36" s="630">
        <f>R35*2</f>
        <v/>
      </c>
      <c r="T36" s="351" t="n"/>
      <c r="AA36" s="340" t="n"/>
      <c r="AB36" s="340" t="n"/>
      <c r="AC36" s="340" t="n"/>
      <c r="AD36" s="340" t="n"/>
      <c r="AE36" s="340" t="n"/>
      <c r="AF36" s="340" t="n"/>
      <c r="AG36" s="340" t="n"/>
      <c r="AH36" s="340" t="n"/>
      <c r="AI36" s="340" t="n"/>
      <c r="AJ36" s="340" t="n"/>
      <c r="AK36" s="340" t="n"/>
      <c r="AL36" s="340" t="n"/>
    </row>
    <row r="37" ht="18.6" customHeight="1">
      <c r="K37" s="599" t="n"/>
      <c r="L37" s="599" t="n"/>
      <c r="M37" s="600" t="n"/>
      <c r="N37" s="600" t="n"/>
      <c r="O37" s="600" t="n"/>
      <c r="P37" s="601" t="n"/>
      <c r="Q37" s="602" t="n"/>
      <c r="R37" s="603" t="n"/>
      <c r="T37" s="351" t="n"/>
      <c r="AA37" s="340" t="n"/>
      <c r="AB37" s="340" t="n"/>
      <c r="AC37" s="340" t="n"/>
      <c r="AD37" s="340" t="n"/>
      <c r="AE37" s="340" t="n"/>
      <c r="AF37" s="340" t="n"/>
      <c r="AG37" s="340" t="n"/>
      <c r="AH37" s="340" t="n"/>
      <c r="AI37" s="340" t="n"/>
      <c r="AJ37" s="340" t="n"/>
      <c r="AK37" s="340" t="n"/>
      <c r="AL37" s="340" t="n"/>
    </row>
    <row r="38" ht="25.95" customHeight="1">
      <c r="B38" s="607" t="inlineStr">
        <is>
          <t>Fuentes</t>
        </is>
      </c>
      <c r="C38" s="608" t="inlineStr">
        <is>
          <t>Unidades</t>
        </is>
      </c>
      <c r="D38" s="607" t="inlineStr">
        <is>
          <t>Valor</t>
        </is>
      </c>
      <c r="E38" s="608" t="inlineStr">
        <is>
          <t>Incertidumbre Original</t>
        </is>
      </c>
      <c r="F38" s="608" t="inlineStr">
        <is>
          <t>Distribución</t>
        </is>
      </c>
      <c r="G38" s="608" t="inlineStr">
        <is>
          <t>Incertidumbre Estándar u(xi)</t>
        </is>
      </c>
      <c r="H38" s="608" t="inlineStr">
        <is>
          <t>Coeficiente de Sensibilidad</t>
        </is>
      </c>
      <c r="I38" s="608" t="inlineStr">
        <is>
          <t>Contribución ui(y)</t>
        </is>
      </c>
      <c r="K38" s="498" t="inlineStr">
        <is>
          <t>Fuentes</t>
        </is>
      </c>
      <c r="L38" s="499" t="inlineStr">
        <is>
          <t>Unidades</t>
        </is>
      </c>
      <c r="M38" s="498" t="inlineStr">
        <is>
          <t>Valor</t>
        </is>
      </c>
      <c r="N38" s="499" t="inlineStr">
        <is>
          <t>Incertidumbre Original</t>
        </is>
      </c>
      <c r="O38" s="499" t="inlineStr">
        <is>
          <t>Distribución</t>
        </is>
      </c>
      <c r="P38" s="499" t="inlineStr">
        <is>
          <t>Incertidumbre Estándar u(xi)</t>
        </is>
      </c>
      <c r="Q38" s="499" t="inlineStr">
        <is>
          <t>Coeficiente de Sensibilidad</t>
        </is>
      </c>
      <c r="R38" s="499" t="inlineStr">
        <is>
          <t>Contribución ui(y)</t>
        </is>
      </c>
      <c r="T38" s="351" t="n"/>
      <c r="AA38" s="340" t="n"/>
      <c r="AB38" s="340" t="n"/>
      <c r="AC38" s="340" t="n"/>
      <c r="AD38" s="340" t="n"/>
      <c r="AE38" s="340" t="n"/>
      <c r="AF38" s="340" t="n"/>
      <c r="AG38" s="340" t="n"/>
      <c r="AH38" s="340" t="n"/>
      <c r="AI38" s="340" t="n"/>
      <c r="AJ38" s="340" t="n"/>
      <c r="AK38" s="340" t="n"/>
      <c r="AL38" s="340" t="n"/>
    </row>
    <row r="39" ht="18.6" customHeight="1">
      <c r="B39" s="615" t="inlineStr">
        <is>
          <t>C.B.R. (0.20 in) 56 Golpes (%)</t>
        </is>
      </c>
      <c r="C39" s="606" t="inlineStr">
        <is>
          <t>%</t>
        </is>
      </c>
      <c r="D39" s="657">
        <f>+D40/D43*14.223343334285*100/1500</f>
        <v/>
      </c>
      <c r="E39" s="813" t="n"/>
      <c r="F39" s="817" t="n"/>
      <c r="G39" s="817" t="n"/>
      <c r="H39" s="817" t="n"/>
      <c r="I39" s="817" t="n"/>
      <c r="K39" s="619" t="inlineStr">
        <is>
          <t>C.B.R. (100% P.U.S.) 0.20 in :</t>
        </is>
      </c>
      <c r="L39" s="457" t="inlineStr">
        <is>
          <t>%</t>
        </is>
      </c>
      <c r="M39" s="658">
        <f>+(M44-M41)*(M42-M40)/(M43-M41)+M40</f>
        <v/>
      </c>
      <c r="N39" s="457" t="n"/>
      <c r="O39" s="457" t="n"/>
      <c r="P39" s="457" t="n"/>
      <c r="Q39" s="457" t="n"/>
      <c r="R39" s="457" t="n"/>
      <c r="T39" s="351" t="n"/>
      <c r="AA39" s="340" t="n"/>
      <c r="AB39" s="340" t="n"/>
      <c r="AC39" s="340" t="n"/>
      <c r="AD39" s="340" t="n"/>
      <c r="AE39" s="340" t="n"/>
      <c r="AF39" s="340" t="n"/>
      <c r="AG39" s="340" t="n"/>
      <c r="AH39" s="340" t="n"/>
      <c r="AI39" s="340" t="n"/>
      <c r="AJ39" s="340" t="n"/>
      <c r="AK39" s="340" t="n"/>
      <c r="AL39" s="340" t="n"/>
    </row>
    <row r="40" ht="18.6" customHeight="1">
      <c r="B40" s="616" t="inlineStr">
        <is>
          <t>Fuerza (lectura)</t>
        </is>
      </c>
      <c r="C40" s="499" t="inlineStr">
        <is>
          <t>kgf</t>
        </is>
      </c>
      <c r="D40" s="505">
        <f>+'INFORME-2'!$V$56*D43*0.393701^2*0.453592</f>
        <v/>
      </c>
      <c r="E40" s="550" t="n"/>
      <c r="F40" s="552" t="n"/>
      <c r="G40" s="604">
        <f>SQRT((G41*G41+G42*G42))</f>
        <v/>
      </c>
      <c r="H40" s="560">
        <f>1/D43*14.223343334285*100/1000</f>
        <v/>
      </c>
      <c r="I40" s="605">
        <f>+H40*G40</f>
        <v/>
      </c>
      <c r="K40" s="620" t="inlineStr">
        <is>
          <t>C.B.R. (0.20 in) 56 Golpes (%):</t>
        </is>
      </c>
      <c r="L40" s="499" t="inlineStr">
        <is>
          <t>%</t>
        </is>
      </c>
      <c r="M40" s="505">
        <f>+M59</f>
        <v/>
      </c>
      <c r="N40" s="550" t="n"/>
      <c r="O40" s="552" t="n"/>
      <c r="P40" s="553">
        <f>+R64</f>
        <v/>
      </c>
      <c r="Q40" s="560">
        <f>+(M41-M44)/(M43-M41)+1</f>
        <v/>
      </c>
      <c r="R40" s="560">
        <f>+P40*Q40</f>
        <v/>
      </c>
      <c r="T40" s="351" t="n"/>
      <c r="AA40" s="340" t="n"/>
      <c r="AB40" s="340" t="n"/>
      <c r="AC40" s="340" t="n"/>
      <c r="AD40" s="340" t="n"/>
      <c r="AE40" s="340" t="n"/>
      <c r="AF40" s="340" t="n"/>
      <c r="AG40" s="340" t="n"/>
      <c r="AH40" s="340" t="n"/>
      <c r="AI40" s="340" t="n"/>
      <c r="AJ40" s="340" t="n"/>
      <c r="AK40" s="340" t="n"/>
      <c r="AL40" s="340" t="n"/>
    </row>
    <row r="41" ht="18.6" customHeight="1">
      <c r="B41" s="617" t="inlineStr">
        <is>
          <t>Certificado de Calibración</t>
        </is>
      </c>
      <c r="C41" s="457" t="inlineStr">
        <is>
          <t>kgf</t>
        </is>
      </c>
      <c r="D41" s="813" t="n"/>
      <c r="E41" s="593">
        <f>+$D$59</f>
        <v/>
      </c>
      <c r="F41" s="416" t="inlineStr">
        <is>
          <t>Norma, K=2</t>
        </is>
      </c>
      <c r="G41" s="618">
        <f>+E41/2</f>
        <v/>
      </c>
      <c r="H41" s="817" t="n"/>
      <c r="I41" s="817" t="n"/>
      <c r="K41" s="620" t="inlineStr">
        <is>
          <t xml:space="preserve">Peso unitario seco 56 Golpes (kN/m3) </t>
        </is>
      </c>
      <c r="L41" s="551" t="inlineStr">
        <is>
          <t>kN/m3</t>
        </is>
      </c>
      <c r="M41" s="553">
        <f>+M70</f>
        <v/>
      </c>
      <c r="N41" s="550" t="n"/>
      <c r="O41" s="552" t="n"/>
      <c r="P41" s="554">
        <f>+R72</f>
        <v/>
      </c>
      <c r="Q41" s="560">
        <f>(+(M42-M40)*(M44-M43)/(M43-M41)^2)*(-1)</f>
        <v/>
      </c>
      <c r="R41" s="560">
        <f>+P41*Q41</f>
        <v/>
      </c>
      <c r="T41" s="351" t="n"/>
      <c r="AA41" s="340" t="n"/>
      <c r="AB41" s="340" t="n"/>
      <c r="AC41" s="340" t="n"/>
      <c r="AD41" s="340" t="n"/>
      <c r="AE41" s="340" t="n"/>
      <c r="AF41" s="340" t="n"/>
      <c r="AG41" s="340" t="n"/>
      <c r="AH41" s="340" t="n"/>
      <c r="AI41" s="340" t="n"/>
      <c r="AJ41" s="340" t="n"/>
      <c r="AK41" s="340" t="n"/>
      <c r="AL41" s="340" t="n"/>
    </row>
    <row r="42" ht="18.6" customHeight="1">
      <c r="B42" s="589" t="inlineStr">
        <is>
          <t>Resolución</t>
        </is>
      </c>
      <c r="C42" s="457" t="inlineStr">
        <is>
          <t>kgf</t>
        </is>
      </c>
      <c r="D42" s="813" t="n"/>
      <c r="E42" s="590" t="n">
        <v>0.1</v>
      </c>
      <c r="F42" s="520" t="inlineStr">
        <is>
          <t>Rectangular</t>
        </is>
      </c>
      <c r="G42" s="517">
        <f>+E42/SQRT(3)/2</f>
        <v/>
      </c>
      <c r="H42" s="817" t="n"/>
      <c r="I42" s="817" t="n"/>
      <c r="K42" s="620" t="inlineStr">
        <is>
          <t>C.B.R. (0.20 in) 25 Golpes (%):</t>
        </is>
      </c>
      <c r="L42" s="499" t="inlineStr">
        <is>
          <t>%</t>
        </is>
      </c>
      <c r="M42" s="553">
        <f>+W59</f>
        <v/>
      </c>
      <c r="N42" s="550" t="n"/>
      <c r="O42" s="552" t="n"/>
      <c r="P42" s="553">
        <f>+AB64</f>
        <v/>
      </c>
      <c r="Q42" s="560">
        <f>+(M44-M41)/(M43-M41)*(-1)</f>
        <v/>
      </c>
      <c r="R42" s="560">
        <f>+P42*Q42</f>
        <v/>
      </c>
      <c r="T42" s="351" t="n"/>
      <c r="AA42" s="340" t="n"/>
      <c r="AB42" s="340" t="n"/>
      <c r="AC42" s="340" t="n"/>
      <c r="AD42" s="340" t="n"/>
      <c r="AE42" s="340" t="n"/>
      <c r="AF42" s="340" t="n"/>
      <c r="AG42" s="340" t="n"/>
      <c r="AH42" s="340" t="n"/>
      <c r="AI42" s="340" t="n"/>
      <c r="AJ42" s="340" t="n"/>
      <c r="AK42" s="340" t="n"/>
      <c r="AL42" s="340" t="n"/>
    </row>
    <row r="43" ht="18.6" customHeight="1">
      <c r="B43" s="616" t="inlineStr">
        <is>
          <t>Area piston</t>
        </is>
      </c>
      <c r="C43" s="499" t="inlineStr">
        <is>
          <t>cm2</t>
        </is>
      </c>
      <c r="D43" s="505">
        <f>+DATOS!$D$9</f>
        <v/>
      </c>
      <c r="E43" s="550" t="n"/>
      <c r="F43" s="552" t="n"/>
      <c r="G43" s="560">
        <f>I54*0.01</f>
        <v/>
      </c>
      <c r="H43" s="560">
        <f>14.223343334285*100/1000*D40/(D43^2)</f>
        <v/>
      </c>
      <c r="I43" s="605">
        <f>+H43*G43</f>
        <v/>
      </c>
      <c r="K43" s="620" t="inlineStr">
        <is>
          <t xml:space="preserve">Peso unitario seco 25 Golpes (kN/m3) </t>
        </is>
      </c>
      <c r="L43" s="551" t="inlineStr">
        <is>
          <t>kN/m3</t>
        </is>
      </c>
      <c r="M43" s="553">
        <f>+W70</f>
        <v/>
      </c>
      <c r="N43" s="550" t="n"/>
      <c r="O43" s="552" t="n"/>
      <c r="P43" s="554">
        <f>+AB72</f>
        <v/>
      </c>
      <c r="Q43" s="560">
        <f>((M42-M40)*(M41-M44)/(M43-M41)^2)</f>
        <v/>
      </c>
      <c r="R43" s="560">
        <f>+P43*Q43</f>
        <v/>
      </c>
      <c r="T43" s="351" t="n"/>
      <c r="AA43" s="340" t="n"/>
      <c r="AB43" s="340" t="n"/>
      <c r="AC43" s="340" t="n"/>
      <c r="AD43" s="340" t="n"/>
      <c r="AE43" s="340" t="n"/>
      <c r="AF43" s="340" t="n"/>
      <c r="AG43" s="340" t="n"/>
      <c r="AH43" s="340" t="n"/>
      <c r="AI43" s="340" t="n"/>
      <c r="AJ43" s="340" t="n"/>
      <c r="AK43" s="340" t="n"/>
      <c r="AL43" s="340" t="n"/>
    </row>
    <row r="44" ht="18.6" customHeight="1">
      <c r="B44" s="623" t="inlineStr">
        <is>
          <t>factor de presición</t>
        </is>
      </c>
      <c r="C44" s="421" t="inlineStr">
        <is>
          <t>%</t>
        </is>
      </c>
      <c r="D44" s="624">
        <f>+PRECISION!$C$6</f>
        <v/>
      </c>
      <c r="E44" s="405" t="n"/>
      <c r="F44" s="625" t="inlineStr">
        <is>
          <t>Norma, K=1</t>
        </is>
      </c>
      <c r="G44" s="626">
        <f>D44/SQRT(1)</f>
        <v/>
      </c>
      <c r="H44" s="627" t="n">
        <v>1</v>
      </c>
      <c r="I44" s="628">
        <f>+G44*H44</f>
        <v/>
      </c>
      <c r="K44" s="621" t="inlineStr">
        <is>
          <t>Peso unitario seco PROCTOR</t>
        </is>
      </c>
      <c r="L44" s="551" t="inlineStr">
        <is>
          <t>kN/m3</t>
        </is>
      </c>
      <c r="M44" s="553">
        <f>+DATOS!J2</f>
        <v/>
      </c>
      <c r="N44" s="550" t="n"/>
      <c r="O44" s="552" t="n"/>
      <c r="P44" s="622" t="n">
        <v>0.02</v>
      </c>
      <c r="Q44" s="560">
        <f>+(M42-M40)/(M43-M41)</f>
        <v/>
      </c>
      <c r="R44" s="560">
        <f>+P44*Q44</f>
        <v/>
      </c>
      <c r="T44" s="351" t="n"/>
      <c r="AA44" s="340" t="n"/>
      <c r="AB44" s="340" t="n"/>
      <c r="AC44" s="340" t="n"/>
      <c r="AD44" s="340" t="n"/>
      <c r="AE44" s="340" t="n"/>
      <c r="AF44" s="340" t="n"/>
      <c r="AG44" s="340" t="n"/>
      <c r="AH44" s="340" t="n"/>
      <c r="AI44" s="340" t="n"/>
      <c r="AJ44" s="340" t="n"/>
      <c r="AK44" s="340" t="n"/>
      <c r="AL44" s="340" t="n"/>
    </row>
    <row r="45" ht="18.6" customHeight="1">
      <c r="B45" s="500" t="inlineStr">
        <is>
          <t>Incertidumbre Estándar Combinada</t>
        </is>
      </c>
      <c r="C45" s="500" t="n"/>
      <c r="D45" s="500" t="n"/>
      <c r="E45" s="501" t="n"/>
      <c r="F45" s="500" t="n"/>
      <c r="G45" s="501" t="n"/>
      <c r="H45" s="612" t="inlineStr">
        <is>
          <t>%</t>
        </is>
      </c>
      <c r="I45" s="612">
        <f>+SQRT(I40^2+I43^2+I44^2)</f>
        <v/>
      </c>
      <c r="K45" s="623" t="inlineStr">
        <is>
          <t>factor de presición</t>
        </is>
      </c>
      <c r="L45" s="421" t="inlineStr">
        <is>
          <t>%</t>
        </is>
      </c>
      <c r="M45" s="624">
        <f>+PRECISION!$C$6</f>
        <v/>
      </c>
      <c r="N45" s="405" t="n"/>
      <c r="O45" s="625" t="inlineStr">
        <is>
          <t>Norma, K=1</t>
        </is>
      </c>
      <c r="P45" s="626">
        <f>M45/SQRT(1)</f>
        <v/>
      </c>
      <c r="Q45" s="627" t="n">
        <v>1</v>
      </c>
      <c r="R45" s="628">
        <f>+P45*Q45</f>
        <v/>
      </c>
      <c r="T45" s="351" t="n"/>
      <c r="AA45" s="340" t="n"/>
      <c r="AB45" s="340" t="n"/>
      <c r="AC45" s="340" t="n"/>
      <c r="AD45" s="340" t="n"/>
      <c r="AE45" s="340" t="n"/>
      <c r="AF45" s="340" t="n"/>
      <c r="AG45" s="340" t="n"/>
      <c r="AH45" s="340" t="n"/>
      <c r="AI45" s="340" t="n"/>
      <c r="AJ45" s="340" t="n"/>
      <c r="AK45" s="340" t="n"/>
      <c r="AL45" s="340" t="n"/>
    </row>
    <row r="46" ht="18.6" customHeight="1">
      <c r="B46" s="500" t="inlineStr">
        <is>
          <t>Incertidumbre Expandida, K = 2</t>
        </is>
      </c>
      <c r="C46" s="500" t="n"/>
      <c r="D46" s="613" t="n"/>
      <c r="E46" s="501" t="n"/>
      <c r="F46" s="613" t="n"/>
      <c r="G46" s="501" t="n"/>
      <c r="H46" s="612" t="inlineStr">
        <is>
          <t>%</t>
        </is>
      </c>
      <c r="I46" s="614">
        <f>I45*2</f>
        <v/>
      </c>
      <c r="K46" s="629" t="inlineStr">
        <is>
          <t>Incertidumbre Estándar Combinada</t>
        </is>
      </c>
      <c r="L46" s="629" t="n"/>
      <c r="M46" s="629" t="n"/>
      <c r="N46" s="629" t="n"/>
      <c r="O46" s="629" t="n"/>
      <c r="P46" s="501" t="n"/>
      <c r="Q46" s="542" t="inlineStr">
        <is>
          <t>%</t>
        </is>
      </c>
      <c r="R46" s="542">
        <f>+SQRT(R40^2+R43^2+R42^2+R41^2+R44^2+R45^2)</f>
        <v/>
      </c>
      <c r="T46" s="351" t="n"/>
      <c r="AA46" s="340" t="n"/>
      <c r="AB46" s="340" t="n"/>
      <c r="AC46" s="340" t="n"/>
      <c r="AD46" s="340" t="n"/>
      <c r="AE46" s="340" t="n"/>
      <c r="AF46" s="340" t="n"/>
      <c r="AG46" s="340" t="n"/>
      <c r="AH46" s="340" t="n"/>
      <c r="AI46" s="340" t="n"/>
      <c r="AJ46" s="340" t="n"/>
      <c r="AK46" s="340" t="n"/>
      <c r="AL46" s="340" t="n"/>
    </row>
    <row r="47" ht="18.6" customHeight="1">
      <c r="K47" s="629" t="inlineStr">
        <is>
          <t>Incertidumbre Expandida, K = 2</t>
        </is>
      </c>
      <c r="L47" s="629" t="n"/>
      <c r="M47" s="416" t="n"/>
      <c r="N47" s="416" t="n"/>
      <c r="O47" s="416" t="n"/>
      <c r="P47" s="501" t="n"/>
      <c r="Q47" s="542" t="inlineStr">
        <is>
          <t>%</t>
        </is>
      </c>
      <c r="R47" s="630">
        <f>R46*2</f>
        <v/>
      </c>
      <c r="T47" s="351" t="n"/>
      <c r="AA47" s="340" t="n"/>
      <c r="AB47" s="340" t="n"/>
      <c r="AC47" s="340" t="n"/>
      <c r="AD47" s="340" t="n"/>
      <c r="AE47" s="340" t="n"/>
      <c r="AF47" s="340" t="n"/>
      <c r="AG47" s="340" t="n"/>
      <c r="AH47" s="340" t="n"/>
      <c r="AI47" s="340" t="n"/>
      <c r="AJ47" s="340" t="n"/>
      <c r="AK47" s="340" t="n"/>
      <c r="AL47" s="340" t="n"/>
    </row>
    <row r="48" ht="21.75" customHeight="1">
      <c r="B48" s="607" t="inlineStr">
        <is>
          <t>Fuentes</t>
        </is>
      </c>
      <c r="C48" s="608" t="inlineStr">
        <is>
          <t>Unidades</t>
        </is>
      </c>
      <c r="D48" s="607" t="inlineStr">
        <is>
          <t>Valor</t>
        </is>
      </c>
      <c r="E48" s="608" t="inlineStr">
        <is>
          <t>Incertidumbre Original</t>
        </is>
      </c>
      <c r="F48" s="608" t="inlineStr">
        <is>
          <t>Distribución</t>
        </is>
      </c>
      <c r="G48" s="608" t="inlineStr">
        <is>
          <t>Incertidumbre Estándar u(xi)</t>
        </is>
      </c>
      <c r="H48" s="608" t="inlineStr">
        <is>
          <t>Coeficiente de Sensibilidad</t>
        </is>
      </c>
      <c r="I48" s="608" t="inlineStr">
        <is>
          <t>Contribución ui(y)</t>
        </is>
      </c>
      <c r="K48" s="351" t="n"/>
      <c r="L48" s="351" t="n"/>
      <c r="M48" s="351" t="n"/>
      <c r="N48" s="351" t="n"/>
      <c r="O48" s="351" t="n"/>
      <c r="P48" s="351" t="n"/>
      <c r="Q48" s="351" t="n"/>
      <c r="R48" s="351" t="n"/>
      <c r="AA48" s="340" t="n"/>
      <c r="AB48" s="340" t="n"/>
      <c r="AC48" s="340" t="n"/>
      <c r="AD48" s="340" t="n"/>
      <c r="AE48" s="340" t="n"/>
      <c r="AF48" s="340" t="n"/>
      <c r="AG48" s="340" t="n"/>
      <c r="AH48" s="340" t="n"/>
      <c r="AI48" s="340" t="n"/>
      <c r="AJ48" s="340" t="n"/>
      <c r="AK48" s="340" t="n"/>
      <c r="AL48" s="340" t="n"/>
    </row>
    <row r="49" ht="25.95" customHeight="1">
      <c r="B49" s="609" t="inlineStr">
        <is>
          <t>Area del piston</t>
        </is>
      </c>
      <c r="C49" s="817" t="inlineStr">
        <is>
          <t>mm2</t>
        </is>
      </c>
      <c r="D49" s="610">
        <f>3.14159*D50*D50/4</f>
        <v/>
      </c>
      <c r="E49" s="437" t="n"/>
      <c r="F49" s="437" t="n"/>
      <c r="G49" s="437" t="n"/>
      <c r="H49" s="437" t="n"/>
      <c r="I49" s="437" t="n"/>
      <c r="K49" s="607" t="inlineStr">
        <is>
          <t>Fuentes</t>
        </is>
      </c>
      <c r="L49" s="608" t="inlineStr">
        <is>
          <t>Unidades</t>
        </is>
      </c>
      <c r="M49" s="607" t="inlineStr">
        <is>
          <t>Valor</t>
        </is>
      </c>
      <c r="N49" s="608" t="inlineStr">
        <is>
          <t>Incertidumbre Original</t>
        </is>
      </c>
      <c r="O49" s="608" t="inlineStr">
        <is>
          <t>Distribución</t>
        </is>
      </c>
      <c r="P49" s="608" t="inlineStr">
        <is>
          <t>Incertidumbre Estándar u(xi)</t>
        </is>
      </c>
      <c r="Q49" s="608" t="inlineStr">
        <is>
          <t>Coeficiente de Sensibilidad</t>
        </is>
      </c>
      <c r="R49" s="608" t="inlineStr">
        <is>
          <t>Contribución ui(y)</t>
        </is>
      </c>
      <c r="U49" s="607" t="inlineStr">
        <is>
          <t>Fuentes</t>
        </is>
      </c>
      <c r="V49" s="608" t="inlineStr">
        <is>
          <t>Unidades</t>
        </is>
      </c>
      <c r="W49" s="607" t="inlineStr">
        <is>
          <t>Valor</t>
        </is>
      </c>
      <c r="X49" s="608" t="inlineStr">
        <is>
          <t>Incertidumbre Original</t>
        </is>
      </c>
      <c r="Y49" s="608" t="inlineStr">
        <is>
          <t>Distribución</t>
        </is>
      </c>
      <c r="Z49" s="608" t="inlineStr">
        <is>
          <t>Incertidumbre Estándar u(xi)</t>
        </is>
      </c>
      <c r="AA49" s="608" t="inlineStr">
        <is>
          <t>Coeficiente de Sensibilidad</t>
        </is>
      </c>
      <c r="AB49" s="608" t="inlineStr">
        <is>
          <t>Contribución ui(y)</t>
        </is>
      </c>
      <c r="AC49" s="340" t="n"/>
      <c r="AH49" s="340" t="n"/>
      <c r="AI49" s="340" t="n"/>
      <c r="AJ49" s="340" t="n"/>
      <c r="AK49" s="340" t="n"/>
      <c r="AL49" s="340" t="n"/>
    </row>
    <row r="50" ht="21.75" customHeight="1">
      <c r="B50" s="611" t="inlineStr">
        <is>
          <t>Diametro</t>
        </is>
      </c>
      <c r="C50" s="521" t="inlineStr">
        <is>
          <t>mm</t>
        </is>
      </c>
      <c r="D50" s="403">
        <f>+DATOS!$D$8</f>
        <v/>
      </c>
      <c r="E50" s="441" t="n"/>
      <c r="F50" s="441" t="n"/>
      <c r="G50" s="407">
        <f>SQRT((G51*G51)+(G52*G52)+(G53*G53))</f>
        <v/>
      </c>
      <c r="H50" s="597">
        <f>3.14159*D50/2</f>
        <v/>
      </c>
      <c r="I50" s="598">
        <f>+G50*H50</f>
        <v/>
      </c>
      <c r="K50" s="615" t="inlineStr">
        <is>
          <t>C.B.R. (0.10 in) 56 Golpes (%)</t>
        </is>
      </c>
      <c r="L50" s="606" t="inlineStr">
        <is>
          <t>%</t>
        </is>
      </c>
      <c r="M50" s="813">
        <f>+M51/M54*14.223343334285*100/1000</f>
        <v/>
      </c>
      <c r="N50" s="813" t="n"/>
      <c r="O50" s="817" t="n"/>
      <c r="P50" s="817" t="n"/>
      <c r="Q50" s="817" t="n"/>
      <c r="R50" s="817" t="n"/>
      <c r="U50" s="615" t="inlineStr">
        <is>
          <t>C.B.R. (0.10 in) 25 Golpes (%):</t>
        </is>
      </c>
      <c r="V50" s="606" t="inlineStr">
        <is>
          <t>%</t>
        </is>
      </c>
      <c r="W50" s="813">
        <f>+W51/W54*14.223343334285*100/1000</f>
        <v/>
      </c>
      <c r="X50" s="813" t="n"/>
      <c r="Y50" s="817" t="n"/>
      <c r="Z50" s="817" t="n"/>
      <c r="AA50" s="538" t="n"/>
      <c r="AB50" s="538" t="n"/>
      <c r="AC50" s="340" t="n"/>
      <c r="AH50" s="340" t="n"/>
      <c r="AI50" s="340" t="n"/>
      <c r="AJ50" s="340" t="n"/>
      <c r="AK50" s="340" t="n"/>
      <c r="AL50" s="340" t="n"/>
    </row>
    <row r="51" ht="21.75" customHeight="1">
      <c r="B51" s="589" t="inlineStr">
        <is>
          <t xml:space="preserve">Repetibilidad </t>
        </is>
      </c>
      <c r="C51" s="221" t="inlineStr">
        <is>
          <t>mm</t>
        </is>
      </c>
      <c r="D51" s="372" t="n"/>
      <c r="E51" s="514">
        <f>+C77</f>
        <v/>
      </c>
      <c r="F51" s="412" t="inlineStr">
        <is>
          <t>Normal, K=1</t>
        </is>
      </c>
      <c r="G51" s="413">
        <f>+E51</f>
        <v/>
      </c>
      <c r="H51" s="437" t="n"/>
      <c r="I51" s="437" t="n"/>
      <c r="K51" s="616" t="inlineStr">
        <is>
          <t>Fuerza (lectura)</t>
        </is>
      </c>
      <c r="L51" s="499" t="inlineStr">
        <is>
          <t>kgf</t>
        </is>
      </c>
      <c r="M51" s="505">
        <f>+'INFORME-2'!$V$55*M54*0.393701^2*0.453592</f>
        <v/>
      </c>
      <c r="N51" s="550" t="n"/>
      <c r="O51" s="552" t="n"/>
      <c r="P51" s="604">
        <f>SQRT((P52*P52+P53*P53))</f>
        <v/>
      </c>
      <c r="Q51" s="560">
        <f>1/M54*14.223343334285*100/1000</f>
        <v/>
      </c>
      <c r="R51" s="605">
        <f>+Q51*P51</f>
        <v/>
      </c>
      <c r="U51" s="616" t="inlineStr">
        <is>
          <t>Fuerza (lectura)</t>
        </is>
      </c>
      <c r="V51" s="499" t="inlineStr">
        <is>
          <t>kgf</t>
        </is>
      </c>
      <c r="W51" s="505">
        <f>+'INFORME-2'!Y55*W54*0.393701^2*0.453592</f>
        <v/>
      </c>
      <c r="X51" s="550" t="n"/>
      <c r="Y51" s="552" t="n"/>
      <c r="Z51" s="604">
        <f>SQRT((Z52*Z52+Z53*Z53))</f>
        <v/>
      </c>
      <c r="AA51" s="560">
        <f>1/W54*14.223343334285*100/1000</f>
        <v/>
      </c>
      <c r="AB51" s="605">
        <f>+AA51*Z51</f>
        <v/>
      </c>
      <c r="AC51" s="340" t="n"/>
      <c r="AH51" s="351" t="n"/>
      <c r="AI51" s="340" t="n"/>
      <c r="AJ51" s="340" t="n"/>
      <c r="AK51" s="340" t="n"/>
      <c r="AL51" s="340" t="n"/>
    </row>
    <row r="52" ht="21.75" customHeight="1">
      <c r="B52" s="589" t="inlineStr">
        <is>
          <t>Certificado de Calibración</t>
        </is>
      </c>
      <c r="C52" s="221" t="inlineStr">
        <is>
          <t>mm</t>
        </is>
      </c>
      <c r="D52" s="515" t="n"/>
      <c r="E52" s="514" t="n">
        <v>0.008200000000000001</v>
      </c>
      <c r="F52" s="516" t="inlineStr">
        <is>
          <t>Normal, K=2</t>
        </is>
      </c>
      <c r="G52" s="517">
        <f>+E52/2</f>
        <v/>
      </c>
      <c r="H52" s="437" t="n"/>
      <c r="I52" s="437" t="n"/>
      <c r="K52" s="617" t="inlineStr">
        <is>
          <t>Certificado de Calibración</t>
        </is>
      </c>
      <c r="L52" s="457" t="inlineStr">
        <is>
          <t>kgf</t>
        </is>
      </c>
      <c r="M52" s="813" t="n"/>
      <c r="N52" s="593">
        <f>+$D$58</f>
        <v/>
      </c>
      <c r="O52" s="416" t="inlineStr">
        <is>
          <t>Norma, K=2</t>
        </is>
      </c>
      <c r="P52" s="618">
        <f>+N52/2</f>
        <v/>
      </c>
      <c r="Q52" s="817" t="n"/>
      <c r="R52" s="817" t="n"/>
      <c r="U52" s="617" t="inlineStr">
        <is>
          <t>Certificado de Calibración</t>
        </is>
      </c>
      <c r="V52" s="457" t="inlineStr">
        <is>
          <t>kgf</t>
        </is>
      </c>
      <c r="W52" s="813" t="n"/>
      <c r="X52" s="593">
        <f>+E58</f>
        <v/>
      </c>
      <c r="Y52" s="416" t="inlineStr">
        <is>
          <t>Norma, K=2</t>
        </is>
      </c>
      <c r="Z52" s="618">
        <f>+X52/2</f>
        <v/>
      </c>
      <c r="AA52" s="817" t="n"/>
      <c r="AB52" s="817" t="n"/>
      <c r="AC52" s="340" t="n"/>
      <c r="AH52" s="351" t="n"/>
      <c r="AI52" s="340" t="n"/>
      <c r="AJ52" s="340" t="n"/>
      <c r="AK52" s="340" t="n"/>
      <c r="AL52" s="340" t="n"/>
    </row>
    <row r="53" ht="21.75" customHeight="1">
      <c r="B53" s="589" t="inlineStr">
        <is>
          <t>Resolución</t>
        </is>
      </c>
      <c r="C53" s="221" t="inlineStr">
        <is>
          <t>mm</t>
        </is>
      </c>
      <c r="D53" s="515" t="n"/>
      <c r="E53" s="590" t="n">
        <v>0.01</v>
      </c>
      <c r="F53" s="520" t="inlineStr">
        <is>
          <t>Rectangular</t>
        </is>
      </c>
      <c r="G53" s="517">
        <f>+E53/SQRT(3)/2</f>
        <v/>
      </c>
      <c r="H53" s="437" t="n"/>
      <c r="I53" s="437" t="n"/>
      <c r="K53" s="589" t="inlineStr">
        <is>
          <t>Resolución</t>
        </is>
      </c>
      <c r="L53" s="457" t="inlineStr">
        <is>
          <t>kgf</t>
        </is>
      </c>
      <c r="M53" s="813" t="n"/>
      <c r="N53" s="590" t="n">
        <v>0.1</v>
      </c>
      <c r="O53" s="520" t="inlineStr">
        <is>
          <t>Rectangular</t>
        </is>
      </c>
      <c r="P53" s="517">
        <f>+N53/SQRT(3)/2</f>
        <v/>
      </c>
      <c r="Q53" s="817" t="n"/>
      <c r="R53" s="817" t="n"/>
      <c r="U53" s="589" t="inlineStr">
        <is>
          <t>Resolución</t>
        </is>
      </c>
      <c r="V53" s="457" t="inlineStr">
        <is>
          <t>kgf</t>
        </is>
      </c>
      <c r="W53" s="813" t="n"/>
      <c r="X53" s="590" t="n">
        <v>0.1</v>
      </c>
      <c r="Y53" s="520" t="inlineStr">
        <is>
          <t>Rectangular</t>
        </is>
      </c>
      <c r="Z53" s="517">
        <f>+X53/SQRT(3)/2</f>
        <v/>
      </c>
      <c r="AA53" s="817" t="n"/>
      <c r="AB53" s="817" t="n"/>
      <c r="AC53" s="340" t="n"/>
      <c r="AH53" s="351" t="n"/>
      <c r="AI53" s="340" t="n"/>
      <c r="AJ53" s="340" t="n"/>
      <c r="AK53" s="340" t="n"/>
      <c r="AL53" s="340" t="n"/>
    </row>
    <row r="54" ht="21.75" customHeight="1">
      <c r="B54" s="500" t="inlineStr">
        <is>
          <t>Incertidumbre Estándar Combinada</t>
        </is>
      </c>
      <c r="C54" s="500" t="n"/>
      <c r="D54" s="500" t="n"/>
      <c r="E54" s="501" t="n"/>
      <c r="F54" s="500" t="n"/>
      <c r="G54" s="501" t="n"/>
      <c r="H54" s="612" t="inlineStr">
        <is>
          <t>mm2</t>
        </is>
      </c>
      <c r="I54" s="612">
        <f>+SQRT(I50^2)</f>
        <v/>
      </c>
      <c r="K54" s="616" t="inlineStr">
        <is>
          <t>Area piston</t>
        </is>
      </c>
      <c r="L54" s="499" t="inlineStr">
        <is>
          <t>cm2</t>
        </is>
      </c>
      <c r="M54" s="505">
        <f>+DATOS!$D$9</f>
        <v/>
      </c>
      <c r="N54" s="550" t="n"/>
      <c r="O54" s="552" t="n"/>
      <c r="P54" s="560">
        <f>$R$117*0.01</f>
        <v/>
      </c>
      <c r="Q54" s="560">
        <f>14.223343334285*100/1000*M51/(M54^2)</f>
        <v/>
      </c>
      <c r="R54" s="605">
        <f>+Q54*P54</f>
        <v/>
      </c>
      <c r="U54" s="616" t="inlineStr">
        <is>
          <t>Area piston</t>
        </is>
      </c>
      <c r="V54" s="499" t="inlineStr">
        <is>
          <t>cm2</t>
        </is>
      </c>
      <c r="W54" s="505">
        <f>+DATOS!$D$9</f>
        <v/>
      </c>
      <c r="X54" s="550" t="n"/>
      <c r="Y54" s="552" t="n"/>
      <c r="Z54" s="560">
        <f>+R117*0.01</f>
        <v/>
      </c>
      <c r="AA54" s="560">
        <f>14.223343334285*100/1000*W51/(W54^2)</f>
        <v/>
      </c>
      <c r="AB54" s="605">
        <f>+AA54*Z54</f>
        <v/>
      </c>
      <c r="AC54" s="340" t="n"/>
      <c r="AH54" s="351" t="n"/>
      <c r="AI54" s="340" t="n"/>
      <c r="AJ54" s="340" t="n"/>
      <c r="AK54" s="340" t="n"/>
      <c r="AL54" s="340" t="n"/>
    </row>
    <row r="55" ht="21.75" customHeight="1">
      <c r="B55" s="500" t="inlineStr">
        <is>
          <t>Incertidumbre Expandida, K = 2</t>
        </is>
      </c>
      <c r="C55" s="500" t="n"/>
      <c r="D55" s="613" t="n"/>
      <c r="E55" s="501" t="n"/>
      <c r="F55" s="613" t="n"/>
      <c r="G55" s="501" t="n"/>
      <c r="H55" s="612" t="inlineStr">
        <is>
          <t>mm2</t>
        </is>
      </c>
      <c r="I55" s="614">
        <f>I54*2</f>
        <v/>
      </c>
      <c r="K55" s="500" t="inlineStr">
        <is>
          <t>Incertidumbre Estándar Combinada</t>
        </is>
      </c>
      <c r="L55" s="500" t="n"/>
      <c r="M55" s="500" t="n"/>
      <c r="N55" s="501" t="n"/>
      <c r="O55" s="500" t="n"/>
      <c r="P55" s="501" t="n"/>
      <c r="Q55" s="612" t="inlineStr">
        <is>
          <t>%</t>
        </is>
      </c>
      <c r="R55" s="612">
        <f>+SQRT(R51^2+R54^2)</f>
        <v/>
      </c>
      <c r="U55" s="500" t="inlineStr">
        <is>
          <t>Incertidumbre Estándar Combinada</t>
        </is>
      </c>
      <c r="V55" s="500" t="n"/>
      <c r="W55" s="500" t="n"/>
      <c r="X55" s="501" t="n"/>
      <c r="Y55" s="500" t="n"/>
      <c r="Z55" s="501" t="n"/>
      <c r="AA55" s="612" t="inlineStr">
        <is>
          <t>%</t>
        </is>
      </c>
      <c r="AB55" s="612">
        <f>+SQRT(AB51^2+AB54^2)</f>
        <v/>
      </c>
      <c r="AC55" s="340" t="n"/>
      <c r="AH55" s="351" t="n"/>
      <c r="AI55" s="340" t="n"/>
      <c r="AJ55" s="340" t="n"/>
      <c r="AK55" s="340" t="n"/>
      <c r="AL55" s="340" t="n"/>
    </row>
    <row r="56" ht="21.75" customHeight="1">
      <c r="K56" s="500" t="inlineStr">
        <is>
          <t>Incertidumbre Expandida, K = 2</t>
        </is>
      </c>
      <c r="L56" s="500" t="n"/>
      <c r="M56" s="613" t="n"/>
      <c r="N56" s="501" t="n"/>
      <c r="O56" s="613" t="n"/>
      <c r="P56" s="501" t="n"/>
      <c r="Q56" s="612" t="inlineStr">
        <is>
          <t>%</t>
        </is>
      </c>
      <c r="R56" s="614">
        <f>R55*2</f>
        <v/>
      </c>
      <c r="U56" s="500" t="inlineStr">
        <is>
          <t>Incertidumbre Expandida, K = 2</t>
        </is>
      </c>
      <c r="V56" s="500" t="n"/>
      <c r="W56" s="613" t="n"/>
      <c r="X56" s="501" t="n"/>
      <c r="Y56" s="613" t="n"/>
      <c r="Z56" s="501" t="n"/>
      <c r="AA56" s="612" t="inlineStr">
        <is>
          <t>%</t>
        </is>
      </c>
      <c r="AB56" s="614">
        <f>AB55*2</f>
        <v/>
      </c>
      <c r="AC56" s="340" t="n"/>
      <c r="AH56" s="351" t="n"/>
      <c r="AI56" s="340" t="n"/>
      <c r="AJ56" s="340" t="n"/>
      <c r="AK56" s="340" t="n"/>
      <c r="AL56" s="340" t="n"/>
    </row>
    <row r="57" ht="21.75" customHeight="1">
      <c r="K57" s="351" t="n"/>
      <c r="L57" s="351" t="n"/>
      <c r="M57" s="351" t="n"/>
      <c r="N57" s="351" t="n"/>
      <c r="O57" s="351" t="n"/>
      <c r="P57" s="351" t="n"/>
      <c r="Q57" s="351" t="inlineStr">
        <is>
          <t>,</t>
        </is>
      </c>
      <c r="R57" s="351" t="n"/>
      <c r="Z57" s="340" t="n"/>
      <c r="AA57" s="340" t="n"/>
      <c r="AB57" s="340" t="n"/>
      <c r="AC57" s="340" t="n"/>
      <c r="AH57" s="340" t="n"/>
      <c r="AI57" s="340" t="n"/>
      <c r="AJ57" s="340" t="n"/>
      <c r="AK57" s="340" t="n"/>
      <c r="AL57" s="340" t="n"/>
    </row>
    <row r="58" ht="27.6" customHeight="1">
      <c r="B58" s="591" t="inlineStr">
        <is>
          <t>Carga kgf</t>
        </is>
      </c>
      <c r="C58" s="591" t="inlineStr">
        <is>
          <t>U</t>
        </is>
      </c>
      <c r="D58" s="592">
        <f>+FORECAST(M51,C60:C61,B60:B61)</f>
        <v/>
      </c>
      <c r="E58" s="592">
        <f>+FORECAST(W51,C59:C60,B59:B60)</f>
        <v/>
      </c>
      <c r="F58" s="543" t="n">
        <v>0.1</v>
      </c>
      <c r="K58" s="607" t="inlineStr">
        <is>
          <t>Fuentes</t>
        </is>
      </c>
      <c r="L58" s="608" t="inlineStr">
        <is>
          <t>Unidades</t>
        </is>
      </c>
      <c r="M58" s="607" t="inlineStr">
        <is>
          <t>Valor</t>
        </is>
      </c>
      <c r="N58" s="608" t="inlineStr">
        <is>
          <t>Incertidumbre Original</t>
        </is>
      </c>
      <c r="O58" s="608" t="inlineStr">
        <is>
          <t>Distribución</t>
        </is>
      </c>
      <c r="P58" s="608" t="inlineStr">
        <is>
          <t>Incertidumbre Estándar u(xi)</t>
        </is>
      </c>
      <c r="Q58" s="608" t="inlineStr">
        <is>
          <t>Coeficiente de Sensibilidad</t>
        </is>
      </c>
      <c r="R58" s="608" t="inlineStr">
        <is>
          <t>Contribución ui(y)</t>
        </is>
      </c>
      <c r="S58" s="351" t="n"/>
      <c r="T58" s="351" t="n"/>
      <c r="U58" s="607" t="inlineStr">
        <is>
          <t>Fuentes</t>
        </is>
      </c>
      <c r="V58" s="608" t="inlineStr">
        <is>
          <t>Unidades</t>
        </is>
      </c>
      <c r="W58" s="607" t="inlineStr">
        <is>
          <t>Valor</t>
        </is>
      </c>
      <c r="X58" s="608" t="inlineStr">
        <is>
          <t>Incertidumbre Original</t>
        </is>
      </c>
      <c r="Y58" s="608" t="inlineStr">
        <is>
          <t>Distribución</t>
        </is>
      </c>
      <c r="Z58" s="608" t="inlineStr">
        <is>
          <t>Incertidumbre Estándar u(xi)</t>
        </is>
      </c>
      <c r="AA58" s="608" t="inlineStr">
        <is>
          <t>Coeficiente de Sensibilidad</t>
        </is>
      </c>
      <c r="AB58" s="608" t="inlineStr">
        <is>
          <t>Contribución ui(y)</t>
        </is>
      </c>
      <c r="AC58" s="340" t="n"/>
      <c r="AH58" s="340" t="n"/>
      <c r="AI58" s="340" t="n"/>
      <c r="AJ58" s="340" t="n"/>
      <c r="AK58" s="340" t="n"/>
      <c r="AL58" s="340" t="n"/>
    </row>
    <row r="59" ht="21.75" customHeight="1">
      <c r="B59" s="591" t="n">
        <v>0</v>
      </c>
      <c r="C59" s="591" t="n">
        <v>0</v>
      </c>
      <c r="D59" s="592">
        <f>+FORECAST(M60,C62:C63,B62:B63)</f>
        <v/>
      </c>
      <c r="E59" s="592">
        <f>+FORECAST(W60,C61:C62,B61:B62)</f>
        <v/>
      </c>
      <c r="F59" s="543" t="n">
        <v>0.2</v>
      </c>
      <c r="K59" s="615" t="inlineStr">
        <is>
          <t>C.B.R. (0.20 in) 56 Golpes (%)</t>
        </is>
      </c>
      <c r="L59" s="606" t="inlineStr">
        <is>
          <t>%</t>
        </is>
      </c>
      <c r="M59" s="813">
        <f>+M60/M63*14.223343334285*100/1500</f>
        <v/>
      </c>
      <c r="N59" s="813" t="n"/>
      <c r="O59" s="817" t="n"/>
      <c r="P59" s="817" t="n"/>
      <c r="Q59" s="817" t="n"/>
      <c r="R59" s="817" t="n"/>
      <c r="S59" s="351" t="n"/>
      <c r="T59" s="351" t="n"/>
      <c r="U59" s="615" t="inlineStr">
        <is>
          <t>C.B.R. (0.20 in) 25 Golpes (%):</t>
        </is>
      </c>
      <c r="V59" s="606" t="inlineStr">
        <is>
          <t>%</t>
        </is>
      </c>
      <c r="W59" s="813">
        <f>+W60/W63*14.223343334285*100/1500</f>
        <v/>
      </c>
      <c r="X59" s="813" t="n"/>
      <c r="Y59" s="817" t="n"/>
      <c r="Z59" s="817" t="n"/>
      <c r="AA59" s="538" t="n"/>
      <c r="AB59" s="538" t="n"/>
      <c r="AC59" s="340" t="n"/>
      <c r="AH59" s="340" t="n"/>
      <c r="AI59" s="340" t="n"/>
      <c r="AJ59" s="340" t="n"/>
      <c r="AK59" s="340" t="n"/>
      <c r="AL59" s="340" t="n"/>
    </row>
    <row r="60" ht="21.75" customHeight="1">
      <c r="B60" s="591" t="n">
        <v>1000</v>
      </c>
      <c r="C60" s="591" t="n">
        <v>4.7</v>
      </c>
      <c r="D60" s="425" t="n"/>
      <c r="E60" s="351" t="n"/>
      <c r="K60" s="616" t="inlineStr">
        <is>
          <t>Fuerza (lectura)</t>
        </is>
      </c>
      <c r="L60" s="499" t="inlineStr">
        <is>
          <t>kgf</t>
        </is>
      </c>
      <c r="M60" s="505">
        <f>+'INFORME-2'!$V$56*M63*0.393701^2*0.453592</f>
        <v/>
      </c>
      <c r="N60" s="550" t="n"/>
      <c r="O60" s="552" t="n"/>
      <c r="P60" s="604">
        <f>SQRT((P61*P61+P62*P62))</f>
        <v/>
      </c>
      <c r="Q60" s="560">
        <f>1/M63*14.223343334285*100/1000</f>
        <v/>
      </c>
      <c r="R60" s="605">
        <f>+Q60*P60</f>
        <v/>
      </c>
      <c r="S60" s="351" t="n"/>
      <c r="T60" s="351" t="n"/>
      <c r="U60" s="616" t="inlineStr">
        <is>
          <t>Fuerza (lectura)</t>
        </is>
      </c>
      <c r="V60" s="499" t="inlineStr">
        <is>
          <t>kgf</t>
        </is>
      </c>
      <c r="W60" s="505">
        <f>+'INFORME-2'!Y56*W63*0.393701^2*0.453592</f>
        <v/>
      </c>
      <c r="X60" s="550" t="n"/>
      <c r="Y60" s="552" t="n"/>
      <c r="Z60" s="604">
        <f>SQRT((Z61*Z61+Z62*Z62))</f>
        <v/>
      </c>
      <c r="AA60" s="560">
        <f>1/W63*14.223343334285*100/1000</f>
        <v/>
      </c>
      <c r="AB60" s="605">
        <f>+AA60*Z60</f>
        <v/>
      </c>
      <c r="AC60" s="340" t="n"/>
      <c r="AD60" s="340" t="n"/>
      <c r="AE60" s="340" t="n"/>
      <c r="AF60" s="340" t="n"/>
      <c r="AG60" s="340" t="n"/>
      <c r="AH60" s="340" t="n"/>
      <c r="AI60" s="340" t="n"/>
      <c r="AJ60" s="340" t="n"/>
      <c r="AK60" s="340" t="n"/>
      <c r="AL60" s="340" t="n"/>
    </row>
    <row r="61" ht="21.75" customHeight="1">
      <c r="B61" s="591" t="n">
        <v>1500</v>
      </c>
      <c r="C61" s="591" t="n">
        <v>12</v>
      </c>
      <c r="D61" s="425" t="n"/>
      <c r="E61" s="351" t="n"/>
      <c r="K61" s="617" t="inlineStr">
        <is>
          <t>Certificado de Calibración</t>
        </is>
      </c>
      <c r="L61" s="457" t="inlineStr">
        <is>
          <t>kgf</t>
        </is>
      </c>
      <c r="M61" s="813" t="n"/>
      <c r="N61" s="593">
        <f>+$D$59</f>
        <v/>
      </c>
      <c r="O61" s="416" t="inlineStr">
        <is>
          <t>Norma, K=2</t>
        </is>
      </c>
      <c r="P61" s="618">
        <f>+N61/2</f>
        <v/>
      </c>
      <c r="Q61" s="817" t="n"/>
      <c r="R61" s="817" t="n"/>
      <c r="S61" s="351" t="n"/>
      <c r="T61" s="351" t="n"/>
      <c r="U61" s="617" t="inlineStr">
        <is>
          <t>Certificado de Calibración</t>
        </is>
      </c>
      <c r="V61" s="457" t="inlineStr">
        <is>
          <t>kgf</t>
        </is>
      </c>
      <c r="W61" s="813" t="n"/>
      <c r="X61" s="593">
        <f>+E59</f>
        <v/>
      </c>
      <c r="Y61" s="416" t="inlineStr">
        <is>
          <t>Norma, K=2</t>
        </is>
      </c>
      <c r="Z61" s="618">
        <f>+X61/2</f>
        <v/>
      </c>
      <c r="AA61" s="817" t="n"/>
      <c r="AB61" s="817" t="n"/>
      <c r="AC61" s="340" t="n"/>
      <c r="AD61" s="340" t="n"/>
      <c r="AE61" s="340" t="n"/>
      <c r="AF61" s="340" t="n"/>
      <c r="AG61" s="340" t="n"/>
      <c r="AH61" s="340" t="n"/>
      <c r="AI61" s="340" t="n"/>
      <c r="AJ61" s="340" t="n"/>
      <c r="AK61" s="340" t="n"/>
      <c r="AL61" s="340" t="n"/>
    </row>
    <row r="62" ht="21.75" customHeight="1">
      <c r="B62" s="591" t="n">
        <v>2000</v>
      </c>
      <c r="C62" s="591" t="n">
        <v>11</v>
      </c>
      <c r="D62" s="425" t="n"/>
      <c r="E62" s="351" t="n"/>
      <c r="K62" s="589" t="inlineStr">
        <is>
          <t>Resolución</t>
        </is>
      </c>
      <c r="L62" s="457" t="inlineStr">
        <is>
          <t>kgf</t>
        </is>
      </c>
      <c r="M62" s="813" t="n"/>
      <c r="N62" s="590" t="n">
        <v>0.1</v>
      </c>
      <c r="O62" s="520" t="inlineStr">
        <is>
          <t>Rectangular</t>
        </is>
      </c>
      <c r="P62" s="517">
        <f>+N62/SQRT(3)/2</f>
        <v/>
      </c>
      <c r="Q62" s="817" t="n"/>
      <c r="R62" s="817" t="n"/>
      <c r="S62" s="351" t="n"/>
      <c r="T62" s="351" t="n"/>
      <c r="U62" s="589" t="inlineStr">
        <is>
          <t>Resolución</t>
        </is>
      </c>
      <c r="V62" s="457" t="inlineStr">
        <is>
          <t>kgf</t>
        </is>
      </c>
      <c r="W62" s="813" t="n"/>
      <c r="X62" s="590" t="n">
        <v>0.1</v>
      </c>
      <c r="Y62" s="520" t="inlineStr">
        <is>
          <t>Rectangular</t>
        </is>
      </c>
      <c r="Z62" s="517">
        <f>+X62/SQRT(3)/2</f>
        <v/>
      </c>
      <c r="AA62" s="817" t="n"/>
      <c r="AB62" s="817" t="n"/>
      <c r="AC62" s="340" t="n"/>
      <c r="AD62" s="340" t="n"/>
      <c r="AE62" s="340" t="n"/>
      <c r="AF62" s="340" t="n"/>
      <c r="AG62" s="340" t="n"/>
      <c r="AH62" s="340" t="n"/>
      <c r="AI62" s="340" t="n"/>
      <c r="AJ62" s="340" t="n"/>
      <c r="AK62" s="340" t="n"/>
      <c r="AL62" s="340" t="n"/>
    </row>
    <row r="63" ht="21.75" customHeight="1">
      <c r="B63" s="591" t="n">
        <v>2500</v>
      </c>
      <c r="C63" s="591" t="n">
        <v>14</v>
      </c>
      <c r="D63" s="425" t="n"/>
      <c r="E63" s="351" t="n"/>
      <c r="K63" s="616" t="inlineStr">
        <is>
          <t>Area piston</t>
        </is>
      </c>
      <c r="L63" s="499" t="inlineStr">
        <is>
          <t>cm2</t>
        </is>
      </c>
      <c r="M63" s="505">
        <f>+DATOS!$D$9</f>
        <v/>
      </c>
      <c r="N63" s="550" t="n"/>
      <c r="O63" s="552" t="n"/>
      <c r="P63" s="560">
        <f>$R$117*0.01</f>
        <v/>
      </c>
      <c r="Q63" s="560">
        <f>14.223343334285*100/1000*M60/(M63^2)</f>
        <v/>
      </c>
      <c r="R63" s="594">
        <f>+Q63*P63</f>
        <v/>
      </c>
      <c r="S63" s="351" t="n"/>
      <c r="T63" s="351" t="n"/>
      <c r="U63" s="616" t="inlineStr">
        <is>
          <t>Area piston</t>
        </is>
      </c>
      <c r="V63" s="499" t="inlineStr">
        <is>
          <t>cm2</t>
        </is>
      </c>
      <c r="W63" s="505">
        <f>+DATOS!$D$9</f>
        <v/>
      </c>
      <c r="X63" s="550" t="n"/>
      <c r="Y63" s="552" t="n"/>
      <c r="Z63" s="560">
        <f>+Q82*0.01</f>
        <v/>
      </c>
      <c r="AA63" s="560">
        <f>14.223343334285*100/1000*W60/(W63^2)</f>
        <v/>
      </c>
      <c r="AB63" s="605">
        <f>+AA63*Z63</f>
        <v/>
      </c>
      <c r="AC63" s="340" t="n"/>
      <c r="AD63" s="340" t="n"/>
      <c r="AE63" s="340" t="n"/>
      <c r="AF63" s="340" t="n"/>
      <c r="AG63" s="340" t="n"/>
      <c r="AH63" s="340" t="n"/>
      <c r="AI63" s="340" t="n"/>
      <c r="AJ63" s="340" t="n"/>
      <c r="AK63" s="340" t="n"/>
      <c r="AL63" s="340" t="n"/>
    </row>
    <row r="64" ht="21.75" customHeight="1">
      <c r="B64" s="591" t="n">
        <v>3000</v>
      </c>
      <c r="C64" s="591" t="n">
        <v>16</v>
      </c>
      <c r="D64" s="425" t="n"/>
      <c r="E64" s="351" t="n"/>
      <c r="K64" s="500" t="inlineStr">
        <is>
          <t>Incertidumbre Estándar Combinada</t>
        </is>
      </c>
      <c r="L64" s="500" t="n"/>
      <c r="M64" s="500" t="n"/>
      <c r="N64" s="501" t="n"/>
      <c r="O64" s="500" t="n"/>
      <c r="P64" s="501" t="n"/>
      <c r="Q64" s="612" t="inlineStr">
        <is>
          <t>%</t>
        </is>
      </c>
      <c r="R64" s="612">
        <f>+SQRT(R60^2+R63^2)</f>
        <v/>
      </c>
      <c r="S64" s="351" t="n"/>
      <c r="T64" s="351" t="n"/>
      <c r="U64" s="500" t="inlineStr">
        <is>
          <t>Incertidumbre Estándar Combinada</t>
        </is>
      </c>
      <c r="V64" s="500" t="n"/>
      <c r="W64" s="500" t="n"/>
      <c r="X64" s="501" t="n"/>
      <c r="Y64" s="500" t="n"/>
      <c r="Z64" s="501" t="n"/>
      <c r="AA64" s="612" t="inlineStr">
        <is>
          <t>%</t>
        </is>
      </c>
      <c r="AB64" s="612">
        <f>+SQRT(AB60^2+AB63^2)</f>
        <v/>
      </c>
      <c r="AC64" s="340" t="n"/>
      <c r="AD64" s="340" t="n"/>
      <c r="AE64" s="340" t="n"/>
      <c r="AF64" s="340" t="n"/>
      <c r="AG64" s="340" t="n"/>
      <c r="AH64" s="340" t="n"/>
      <c r="AI64" s="340" t="n"/>
      <c r="AJ64" s="340" t="n"/>
      <c r="AK64" s="340" t="n"/>
      <c r="AL64" s="340" t="n"/>
    </row>
    <row r="65" ht="21.75" customHeight="1">
      <c r="B65" s="591" t="n">
        <v>3500</v>
      </c>
      <c r="C65" s="591" t="n">
        <v>15</v>
      </c>
      <c r="D65" s="425" t="n"/>
      <c r="E65" s="351" t="n"/>
      <c r="K65" s="500" t="inlineStr">
        <is>
          <t>Incertidumbre Expandida, K = 2</t>
        </is>
      </c>
      <c r="L65" s="500" t="n"/>
      <c r="M65" s="613" t="n"/>
      <c r="N65" s="501" t="n"/>
      <c r="O65" s="613" t="n"/>
      <c r="P65" s="501" t="n"/>
      <c r="Q65" s="612" t="inlineStr">
        <is>
          <t>%</t>
        </is>
      </c>
      <c r="R65" s="614">
        <f>R64*2</f>
        <v/>
      </c>
      <c r="S65" s="351" t="n"/>
      <c r="T65" s="351" t="n"/>
      <c r="U65" s="500" t="inlineStr">
        <is>
          <t>Incertidumbre Expandida, K = 2</t>
        </is>
      </c>
      <c r="V65" s="500" t="n"/>
      <c r="W65" s="613" t="n"/>
      <c r="X65" s="501" t="n"/>
      <c r="Y65" s="613" t="n"/>
      <c r="Z65" s="501" t="n"/>
      <c r="AA65" s="612" t="inlineStr">
        <is>
          <t>%</t>
        </is>
      </c>
      <c r="AB65" s="614">
        <f>AB64*2</f>
        <v/>
      </c>
      <c r="AC65" s="340" t="n"/>
      <c r="AD65" s="340" t="n"/>
      <c r="AE65" s="340" t="n"/>
      <c r="AF65" s="340" t="n"/>
      <c r="AG65" s="340" t="n"/>
      <c r="AH65" s="340" t="n"/>
      <c r="AI65" s="340" t="n"/>
      <c r="AJ65" s="340" t="n"/>
      <c r="AK65" s="340" t="n"/>
      <c r="AL65" s="340" t="n"/>
    </row>
    <row r="66" ht="21.75" customHeight="1">
      <c r="B66" s="591" t="n">
        <v>4000</v>
      </c>
      <c r="C66" s="591" t="n">
        <v>17</v>
      </c>
      <c r="D66" s="425" t="n"/>
      <c r="E66" s="340" t="n"/>
      <c r="K66" s="351" t="n"/>
      <c r="L66" s="351" t="n"/>
      <c r="M66" s="351" t="n"/>
      <c r="N66" s="351" t="n"/>
      <c r="O66" s="351" t="n"/>
      <c r="P66" s="351" t="n"/>
      <c r="Q66" s="351" t="n"/>
      <c r="R66" s="351" t="n"/>
      <c r="S66" s="351" t="n"/>
      <c r="T66" s="351" t="n"/>
      <c r="U66" s="340" t="n"/>
      <c r="V66" s="340" t="n"/>
      <c r="W66" s="340" t="n"/>
      <c r="X66" s="340" t="n"/>
      <c r="Y66" s="340" t="n"/>
      <c r="Z66" s="340" t="n"/>
      <c r="AA66" s="340" t="n"/>
      <c r="AB66" s="340" t="n"/>
      <c r="AC66" s="340" t="n"/>
      <c r="AD66" s="340" t="n"/>
      <c r="AE66" s="340" t="n"/>
      <c r="AF66" s="340" t="n"/>
      <c r="AG66" s="340" t="n"/>
      <c r="AH66" s="340" t="n"/>
      <c r="AI66" s="340" t="n"/>
      <c r="AJ66" s="340" t="n"/>
      <c r="AK66" s="340" t="n"/>
      <c r="AL66" s="340" t="n"/>
    </row>
    <row r="67" ht="21.75" customHeight="1">
      <c r="B67" s="591" t="n">
        <v>4500</v>
      </c>
      <c r="C67" s="591" t="n">
        <v>21</v>
      </c>
      <c r="D67" s="425" t="n"/>
      <c r="E67" s="340" t="n"/>
      <c r="K67" s="956" t="inlineStr">
        <is>
          <t>56 GOLPES</t>
        </is>
      </c>
      <c r="L67" s="810" t="n"/>
      <c r="M67" s="810" t="n"/>
      <c r="N67" s="810" t="n"/>
      <c r="O67" s="810" t="n"/>
      <c r="P67" s="810" t="n"/>
      <c r="Q67" s="810" t="n"/>
      <c r="R67" s="811" t="n"/>
      <c r="S67" s="351" t="n"/>
      <c r="T67" s="351" t="n"/>
      <c r="U67" s="956" t="inlineStr">
        <is>
          <t>25 GOLPES</t>
        </is>
      </c>
      <c r="V67" s="810" t="n"/>
      <c r="W67" s="810" t="n"/>
      <c r="X67" s="810" t="n"/>
      <c r="Y67" s="810" t="n"/>
      <c r="Z67" s="810" t="n"/>
      <c r="AA67" s="810" t="n"/>
      <c r="AB67" s="811" t="n"/>
      <c r="AC67" s="340" t="n"/>
      <c r="AD67" s="340" t="n"/>
      <c r="AE67" s="340" t="n"/>
      <c r="AF67" s="340" t="n"/>
      <c r="AG67" s="340" t="n"/>
      <c r="AH67" s="340" t="n"/>
      <c r="AI67" s="340" t="n"/>
      <c r="AJ67" s="340" t="n"/>
      <c r="AK67" s="340" t="n"/>
      <c r="AL67" s="340" t="n"/>
    </row>
    <row r="68" ht="12.75" customHeight="1">
      <c r="B68" s="591" t="n">
        <v>4995</v>
      </c>
      <c r="C68" s="591" t="n">
        <v>21</v>
      </c>
      <c r="D68" s="425" t="n"/>
      <c r="E68" s="340" t="n"/>
      <c r="K68" s="351" t="n"/>
      <c r="L68" s="351" t="n"/>
      <c r="M68" s="351" t="n"/>
      <c r="N68" s="351" t="n"/>
      <c r="O68" s="351" t="n"/>
      <c r="P68" s="351" t="n"/>
      <c r="Q68" s="351" t="n"/>
      <c r="R68" s="351" t="n"/>
      <c r="S68" s="351" t="n"/>
      <c r="T68" s="351" t="n"/>
      <c r="U68" s="340" t="n"/>
      <c r="V68" s="340" t="n"/>
      <c r="W68" s="340" t="n"/>
      <c r="X68" s="340" t="n"/>
      <c r="Y68" s="340" t="n"/>
      <c r="Z68" s="340" t="n"/>
      <c r="AA68" s="340" t="n"/>
      <c r="AB68" s="340" t="n"/>
      <c r="AC68" s="340" t="n"/>
      <c r="AD68" s="340" t="n"/>
      <c r="AE68" s="340" t="n"/>
      <c r="AF68" s="340" t="n"/>
      <c r="AG68" s="340" t="n"/>
      <c r="AH68" s="340" t="n"/>
      <c r="AI68" s="340" t="n"/>
      <c r="AJ68" s="340" t="n"/>
      <c r="AK68" s="340" t="n"/>
      <c r="AL68" s="340" t="n"/>
    </row>
    <row r="69" ht="27" customHeight="1">
      <c r="K69" s="498" t="inlineStr">
        <is>
          <t>Fuentes</t>
        </is>
      </c>
      <c r="L69" s="499" t="inlineStr">
        <is>
          <t>Unidades</t>
        </is>
      </c>
      <c r="M69" s="498" t="inlineStr">
        <is>
          <t>Valor</t>
        </is>
      </c>
      <c r="N69" s="499" t="inlineStr">
        <is>
          <t>Incertidumbre Original</t>
        </is>
      </c>
      <c r="O69" s="499" t="inlineStr">
        <is>
          <t>Distribución</t>
        </is>
      </c>
      <c r="P69" s="499" t="inlineStr">
        <is>
          <t>Incertidumbre Estándar u(xi)</t>
        </is>
      </c>
      <c r="Q69" s="499" t="inlineStr">
        <is>
          <t>Coeficiente de Sensibilidad</t>
        </is>
      </c>
      <c r="R69" s="499" t="inlineStr">
        <is>
          <t>Contribución ui(y)</t>
        </is>
      </c>
      <c r="T69" s="351" t="n"/>
      <c r="U69" s="498" t="inlineStr">
        <is>
          <t>Fuentes</t>
        </is>
      </c>
      <c r="V69" s="499" t="inlineStr">
        <is>
          <t>Unidades</t>
        </is>
      </c>
      <c r="W69" s="498" t="inlineStr">
        <is>
          <t>Valor</t>
        </is>
      </c>
      <c r="X69" s="499" t="inlineStr">
        <is>
          <t>Incertidumbre Original</t>
        </is>
      </c>
      <c r="Y69" s="499" t="inlineStr">
        <is>
          <t>Distribución</t>
        </is>
      </c>
      <c r="Z69" s="499" t="inlineStr">
        <is>
          <t>Incertidumbre Estándar u(xi)</t>
        </is>
      </c>
      <c r="AA69" s="499" t="inlineStr">
        <is>
          <t>Coeficiente de Sensibilidad</t>
        </is>
      </c>
      <c r="AB69" s="499" t="inlineStr">
        <is>
          <t>Contribución ui(y)</t>
        </is>
      </c>
      <c r="AC69" s="340" t="n"/>
      <c r="AD69" s="340" t="n"/>
      <c r="AE69" s="340" t="n"/>
      <c r="AF69" s="340" t="n"/>
      <c r="AG69" s="340" t="n"/>
      <c r="AH69" s="340" t="n"/>
      <c r="AI69" s="340" t="n"/>
      <c r="AJ69" s="340" t="n"/>
      <c r="AK69" s="340" t="n"/>
      <c r="AL69" s="340" t="n"/>
    </row>
    <row r="70" ht="21.6" customHeight="1">
      <c r="B70" s="662" t="inlineStr">
        <is>
          <t>PISTON mm</t>
        </is>
      </c>
      <c r="C70" s="540" t="n"/>
      <c r="K70" s="230" t="inlineStr">
        <is>
          <t>Peso unitario seco</t>
        </is>
      </c>
      <c r="L70" s="809" t="inlineStr">
        <is>
          <t>kN/m3</t>
        </is>
      </c>
      <c r="M70" s="434">
        <f>+M71*9.806</f>
        <v/>
      </c>
      <c r="N70" s="501" t="n"/>
      <c r="O70" s="556" t="n"/>
      <c r="P70" s="817" t="n"/>
      <c r="Q70" s="817" t="n"/>
      <c r="R70" s="817" t="n"/>
      <c r="T70" s="351" t="n"/>
      <c r="U70" s="230" t="inlineStr">
        <is>
          <t>Peso unitario seco</t>
        </is>
      </c>
      <c r="V70" s="809" t="inlineStr">
        <is>
          <t>kN/m3</t>
        </is>
      </c>
      <c r="W70" s="434">
        <f>+W71*9.806</f>
        <v/>
      </c>
      <c r="X70" s="501" t="n"/>
      <c r="Y70" s="556" t="n"/>
      <c r="Z70" s="817" t="n"/>
      <c r="AA70" s="817" t="n"/>
      <c r="AB70" s="817" t="n"/>
      <c r="AC70" s="340" t="n"/>
      <c r="AD70" s="340" t="n"/>
      <c r="AE70" s="340" t="n"/>
      <c r="AF70" s="340" t="n"/>
      <c r="AG70" s="340" t="n"/>
      <c r="AH70" s="340" t="n"/>
      <c r="AI70" s="340" t="n"/>
      <c r="AJ70" s="340" t="n"/>
      <c r="AK70" s="340" t="n"/>
      <c r="AL70" s="340" t="n"/>
    </row>
    <row r="71" ht="21.6" customHeight="1">
      <c r="B71" s="535" t="inlineStr">
        <is>
          <t>CANT.</t>
        </is>
      </c>
      <c r="C71" s="848" t="inlineStr">
        <is>
          <t>DIAMETRO</t>
        </is>
      </c>
      <c r="K71" s="508" t="inlineStr">
        <is>
          <t xml:space="preserve">Densidad seca </t>
        </is>
      </c>
      <c r="L71" s="551" t="inlineStr">
        <is>
          <t>g/cm3</t>
        </is>
      </c>
      <c r="M71" s="557">
        <f>+M75</f>
        <v/>
      </c>
      <c r="N71" s="550" t="n"/>
      <c r="O71" s="558" t="n"/>
      <c r="P71" s="554">
        <f>+R78</f>
        <v/>
      </c>
      <c r="Q71" s="552" t="n">
        <v>1</v>
      </c>
      <c r="R71" s="554">
        <f>+P71*Q71</f>
        <v/>
      </c>
      <c r="T71" s="351" t="n"/>
      <c r="U71" s="508" t="inlineStr">
        <is>
          <t xml:space="preserve">Densidad seca </t>
        </is>
      </c>
      <c r="V71" s="551" t="inlineStr">
        <is>
          <t>g/cm3</t>
        </is>
      </c>
      <c r="W71" s="557">
        <f>+W75</f>
        <v/>
      </c>
      <c r="X71" s="550" t="n"/>
      <c r="Y71" s="558" t="n"/>
      <c r="Z71" s="554">
        <f>+AB78</f>
        <v/>
      </c>
      <c r="AA71" s="552" t="n">
        <v>1</v>
      </c>
      <c r="AB71" s="554">
        <f>+Z71*AA71</f>
        <v/>
      </c>
      <c r="AD71" s="340" t="n"/>
      <c r="AE71" s="340" t="n"/>
      <c r="AF71" s="340" t="n"/>
      <c r="AG71" s="340" t="n"/>
      <c r="AH71" s="340" t="n"/>
      <c r="AI71" s="340" t="n"/>
      <c r="AJ71" s="340" t="n"/>
      <c r="AK71" s="340" t="n"/>
      <c r="AL71" s="340" t="n"/>
    </row>
    <row r="72" ht="21.6" customHeight="1">
      <c r="B72" s="847" t="n">
        <v>1</v>
      </c>
      <c r="C72" s="537">
        <f>+DATOS!AB4</f>
        <v/>
      </c>
      <c r="K72" s="500" t="inlineStr">
        <is>
          <t>Incertidumbre Estándar Combinada</t>
        </is>
      </c>
      <c r="L72" s="501" t="n"/>
      <c r="M72" s="500" t="n"/>
      <c r="N72" s="500" t="n"/>
      <c r="O72" s="500" t="n"/>
      <c r="P72" s="501" t="n"/>
      <c r="Q72" s="809" t="inlineStr">
        <is>
          <t>kN/m3</t>
        </is>
      </c>
      <c r="R72" s="561">
        <f>+SQRT(R71*R71)</f>
        <v/>
      </c>
      <c r="T72" s="351" t="n"/>
      <c r="U72" s="500" t="inlineStr">
        <is>
          <t>Incertidumbre Estándar Combinada</t>
        </is>
      </c>
      <c r="V72" s="501" t="n"/>
      <c r="W72" s="500" t="n"/>
      <c r="X72" s="500" t="n"/>
      <c r="Y72" s="500" t="n"/>
      <c r="Z72" s="501" t="n"/>
      <c r="AA72" s="809" t="inlineStr">
        <is>
          <t>lbf/ft3</t>
        </is>
      </c>
      <c r="AB72" s="561">
        <f>+SQRT(AB71*AB71)</f>
        <v/>
      </c>
      <c r="AD72" s="340" t="n"/>
      <c r="AE72" s="340" t="n"/>
      <c r="AF72" s="340" t="n"/>
      <c r="AG72" s="340" t="n"/>
      <c r="AH72" s="340" t="n"/>
      <c r="AI72" s="340" t="n"/>
      <c r="AJ72" s="340" t="n"/>
      <c r="AK72" s="340" t="n"/>
      <c r="AL72" s="340" t="n"/>
    </row>
    <row r="73" ht="12.75" customFormat="1" customHeight="1" s="950">
      <c r="A73" s="509" t="n"/>
      <c r="B73" s="847" t="n">
        <v>2</v>
      </c>
      <c r="C73" s="537">
        <f>+DATOS!AB5</f>
        <v/>
      </c>
      <c r="D73" s="509" t="n"/>
      <c r="E73" s="509" t="n"/>
      <c r="F73" s="509" t="n"/>
      <c r="G73" s="509" t="n"/>
      <c r="H73" s="509" t="n"/>
      <c r="I73" s="509" t="n"/>
      <c r="J73" s="509" t="n"/>
      <c r="K73" s="509" t="n"/>
      <c r="L73" s="509" t="n"/>
      <c r="M73" s="509" t="n"/>
      <c r="N73" s="509" t="n"/>
      <c r="O73" s="509" t="n"/>
      <c r="P73" s="509" t="n"/>
      <c r="Q73" s="509" t="n"/>
      <c r="R73" s="509" t="n"/>
      <c r="S73" s="509" t="n"/>
      <c r="T73" s="509" t="n"/>
      <c r="U73" s="509" t="n"/>
      <c r="V73" s="509" t="n"/>
      <c r="W73" s="509" t="n"/>
      <c r="X73" s="509" t="n"/>
      <c r="Y73" s="509" t="n"/>
      <c r="Z73" s="509" t="n"/>
      <c r="AA73" s="509" t="n"/>
      <c r="AB73" s="509" t="n"/>
      <c r="AD73" s="340" t="n"/>
      <c r="AE73" s="340" t="n"/>
      <c r="AF73" s="340" t="n"/>
      <c r="AG73" s="340" t="n"/>
      <c r="AH73" s="340" t="n"/>
      <c r="AI73" s="340" t="n"/>
      <c r="AJ73" s="340" t="n"/>
      <c r="AK73" s="340" t="n"/>
      <c r="AL73" s="340" t="n"/>
    </row>
    <row r="74" ht="27" customHeight="1">
      <c r="B74" s="847" t="n">
        <v>3</v>
      </c>
      <c r="C74" s="537">
        <f>+DATOS!AB6</f>
        <v/>
      </c>
      <c r="K74" s="498" t="inlineStr">
        <is>
          <t>Fuentes</t>
        </is>
      </c>
      <c r="L74" s="499" t="inlineStr">
        <is>
          <t>Unidades</t>
        </is>
      </c>
      <c r="M74" s="498" t="inlineStr">
        <is>
          <t>Valor</t>
        </is>
      </c>
      <c r="N74" s="499" t="inlineStr">
        <is>
          <t>Incertidumbre Original</t>
        </is>
      </c>
      <c r="O74" s="499" t="inlineStr">
        <is>
          <t>Distribución</t>
        </is>
      </c>
      <c r="P74" s="499" t="inlineStr">
        <is>
          <t>Incertidumbre Estándar u(xi)</t>
        </is>
      </c>
      <c r="Q74" s="499" t="inlineStr">
        <is>
          <t>Coeficiente de Sensibilidad</t>
        </is>
      </c>
      <c r="R74" s="499" t="inlineStr">
        <is>
          <t>Contribución ui(y)</t>
        </is>
      </c>
      <c r="T74" s="351" t="n"/>
      <c r="U74" s="498" t="inlineStr">
        <is>
          <t>Fuentes</t>
        </is>
      </c>
      <c r="V74" s="499" t="inlineStr">
        <is>
          <t>Unidades</t>
        </is>
      </c>
      <c r="W74" s="498" t="inlineStr">
        <is>
          <t>Valor</t>
        </is>
      </c>
      <c r="X74" s="499" t="inlineStr">
        <is>
          <t>Incertidumbre Original</t>
        </is>
      </c>
      <c r="Y74" s="499" t="inlineStr">
        <is>
          <t>Distribución</t>
        </is>
      </c>
      <c r="Z74" s="499" t="inlineStr">
        <is>
          <t>Incertidumbre Estándar u(xi)</t>
        </is>
      </c>
      <c r="AA74" s="499" t="inlineStr">
        <is>
          <t>Coeficiente de Sensibilidad</t>
        </is>
      </c>
      <c r="AB74" s="499" t="inlineStr">
        <is>
          <t>Contribución ui(y)</t>
        </is>
      </c>
      <c r="AD74" s="340" t="n"/>
      <c r="AE74" s="340" t="n"/>
      <c r="AF74" s="340" t="n"/>
      <c r="AG74" s="340" t="n"/>
      <c r="AH74" s="340" t="n"/>
      <c r="AI74" s="340" t="n"/>
      <c r="AJ74" s="340" t="n"/>
      <c r="AK74" s="340" t="n"/>
      <c r="AL74" s="340" t="n"/>
    </row>
    <row r="75" ht="21.75" customHeight="1">
      <c r="B75" s="847" t="n">
        <v>4</v>
      </c>
      <c r="C75" s="537">
        <f>+DATOS!AB7</f>
        <v/>
      </c>
      <c r="K75" s="230" t="inlineStr">
        <is>
          <t xml:space="preserve">Densidad seca </t>
        </is>
      </c>
      <c r="L75" s="809" t="inlineStr">
        <is>
          <t>g/cm3</t>
        </is>
      </c>
      <c r="M75" s="443">
        <f>+M76/M77</f>
        <v/>
      </c>
      <c r="N75" s="501" t="n"/>
      <c r="O75" s="817" t="n"/>
      <c r="P75" s="817" t="n"/>
      <c r="Q75" s="817" t="n"/>
      <c r="R75" s="817" t="n"/>
      <c r="T75" s="351" t="n"/>
      <c r="U75" s="230" t="inlineStr">
        <is>
          <t xml:space="preserve">Densidad seca </t>
        </is>
      </c>
      <c r="V75" s="809" t="inlineStr">
        <is>
          <t>g/cm3</t>
        </is>
      </c>
      <c r="W75" s="443">
        <f>+W76/W77</f>
        <v/>
      </c>
      <c r="X75" s="501" t="n"/>
      <c r="Y75" s="817" t="n"/>
      <c r="Z75" s="817" t="n"/>
      <c r="AA75" s="817" t="n"/>
      <c r="AB75" s="817" t="n"/>
      <c r="AD75" s="340" t="n"/>
      <c r="AE75" s="340" t="n"/>
      <c r="AF75" s="340" t="n"/>
      <c r="AG75" s="340" t="n"/>
      <c r="AH75" s="340" t="n"/>
      <c r="AI75" s="340" t="n"/>
      <c r="AJ75" s="340" t="n"/>
      <c r="AK75" s="340" t="n"/>
      <c r="AL75" s="340" t="n"/>
    </row>
    <row r="76" ht="21.75" customHeight="1">
      <c r="B76" s="847" t="n">
        <v>5</v>
      </c>
      <c r="C76" s="537">
        <f>+DATOS!AB8</f>
        <v/>
      </c>
      <c r="K76" s="508" t="inlineStr">
        <is>
          <t>Masa seca del suelo compactado</t>
        </is>
      </c>
      <c r="L76" s="551" t="inlineStr">
        <is>
          <t xml:space="preserve">g </t>
        </is>
      </c>
      <c r="M76" s="549">
        <f>+M81</f>
        <v/>
      </c>
      <c r="N76" s="550" t="n"/>
      <c r="O76" s="552" t="n"/>
      <c r="P76" s="553">
        <f>+R91</f>
        <v/>
      </c>
      <c r="Q76" s="560">
        <f>1/M77</f>
        <v/>
      </c>
      <c r="R76" s="554">
        <f>+P76*Q76</f>
        <v/>
      </c>
      <c r="T76" s="351" t="n"/>
      <c r="U76" s="508" t="inlineStr">
        <is>
          <t>Masa seca del suelo compactado</t>
        </is>
      </c>
      <c r="V76" s="551" t="inlineStr">
        <is>
          <t xml:space="preserve">g </t>
        </is>
      </c>
      <c r="W76" s="549">
        <f>+W81</f>
        <v/>
      </c>
      <c r="X76" s="550" t="n"/>
      <c r="Y76" s="552" t="n"/>
      <c r="Z76" s="553">
        <f>+AB91</f>
        <v/>
      </c>
      <c r="AA76" s="560">
        <f>1/W77</f>
        <v/>
      </c>
      <c r="AB76" s="554">
        <f>+Z76*AA76</f>
        <v/>
      </c>
      <c r="AD76" s="340" t="n"/>
      <c r="AE76" s="340" t="n"/>
      <c r="AF76" s="340" t="n"/>
      <c r="AG76" s="340" t="n"/>
      <c r="AH76" s="340" t="n"/>
      <c r="AI76" s="340" t="n"/>
      <c r="AJ76" s="340" t="n"/>
      <c r="AK76" s="340" t="n"/>
      <c r="AL76" s="340" t="n"/>
    </row>
    <row r="77" ht="21.75" customHeight="1">
      <c r="B77" s="817">
        <f>+COUNT(B72:B76)</f>
        <v/>
      </c>
      <c r="C77" s="595">
        <f>+STDEV(C72:C76)/SQRT(B77)</f>
        <v/>
      </c>
      <c r="K77" s="508" t="inlineStr">
        <is>
          <t>Volumen de molde</t>
        </is>
      </c>
      <c r="L77" s="551" t="inlineStr">
        <is>
          <t>cm3</t>
        </is>
      </c>
      <c r="M77" s="555">
        <f>+M122/1000</f>
        <v/>
      </c>
      <c r="N77" s="550" t="n"/>
      <c r="O77" s="552" t="n"/>
      <c r="P77" s="553">
        <f>+R131/1000</f>
        <v/>
      </c>
      <c r="Q77" s="554">
        <f>+M76/M77/M77</f>
        <v/>
      </c>
      <c r="R77" s="554">
        <f>+P77*Q77</f>
        <v/>
      </c>
      <c r="T77" s="351" t="n"/>
      <c r="U77" s="508" t="inlineStr">
        <is>
          <t>Volumen de molde</t>
        </is>
      </c>
      <c r="V77" s="551" t="inlineStr">
        <is>
          <t>cm3</t>
        </is>
      </c>
      <c r="W77" s="555">
        <f>+W122/1000</f>
        <v/>
      </c>
      <c r="X77" s="550" t="n"/>
      <c r="Y77" s="552" t="n"/>
      <c r="Z77" s="553">
        <f>+AB131/1000</f>
        <v/>
      </c>
      <c r="AA77" s="554">
        <f>+W76/W77/W77</f>
        <v/>
      </c>
      <c r="AB77" s="554">
        <f>+Z77*AA77</f>
        <v/>
      </c>
      <c r="AD77" s="340" t="n"/>
      <c r="AE77" s="340" t="n"/>
      <c r="AF77" s="340" t="n"/>
      <c r="AG77" s="340" t="n"/>
      <c r="AH77" s="340" t="n"/>
      <c r="AI77" s="340" t="n"/>
      <c r="AJ77" s="340" t="n"/>
      <c r="AK77" s="340" t="n"/>
      <c r="AL77" s="340" t="n"/>
    </row>
    <row r="78" ht="21.75" customHeight="1">
      <c r="B78" s="449" t="inlineStr">
        <is>
          <t>PROMEDIO</t>
        </is>
      </c>
      <c r="C78" s="679">
        <f>+AVERAGE(C72:C76)</f>
        <v/>
      </c>
      <c r="K78" s="500" t="inlineStr">
        <is>
          <t>Incertidumbre Estándar Combinada</t>
        </is>
      </c>
      <c r="L78" s="500" t="n"/>
      <c r="M78" s="500" t="n"/>
      <c r="N78" s="500" t="n"/>
      <c r="O78" s="500" t="n"/>
      <c r="P78" s="501" t="n"/>
      <c r="Q78" s="809" t="inlineStr">
        <is>
          <t>g/cm3</t>
        </is>
      </c>
      <c r="R78" s="561">
        <f>+SQRT(+R76*R76+R77*R77)</f>
        <v/>
      </c>
      <c r="T78" s="351" t="n"/>
      <c r="U78" s="500" t="inlineStr">
        <is>
          <t>Incertidumbre Estándar Combinada</t>
        </is>
      </c>
      <c r="V78" s="501" t="n"/>
      <c r="W78" s="500" t="n"/>
      <c r="X78" s="500" t="n"/>
      <c r="Y78" s="500" t="n"/>
      <c r="Z78" s="501" t="n"/>
      <c r="AA78" s="809" t="inlineStr">
        <is>
          <t>g/cm3</t>
        </is>
      </c>
      <c r="AB78" s="561">
        <f>+SQRT(+AB76*AB76+AB77*AB77)</f>
        <v/>
      </c>
      <c r="AD78" s="340" t="n"/>
      <c r="AE78" s="340" t="n"/>
      <c r="AF78" s="340" t="n"/>
      <c r="AG78" s="340" t="n"/>
      <c r="AH78" s="340" t="n"/>
      <c r="AI78" s="340" t="n"/>
      <c r="AJ78" s="340" t="n"/>
      <c r="AK78" s="340" t="n"/>
      <c r="AL78" s="340" t="n"/>
    </row>
    <row r="79" ht="21.75" customHeight="1">
      <c r="P79" s="351" t="n"/>
      <c r="Q79" s="351" t="n"/>
      <c r="R79" s="351" t="n"/>
      <c r="S79" s="351" t="n"/>
      <c r="T79" s="351" t="n"/>
      <c r="Z79" s="351" t="n"/>
      <c r="AA79" s="351" t="n"/>
      <c r="AB79" s="351" t="n"/>
      <c r="AC79" s="351" t="n"/>
      <c r="AD79" s="340" t="n"/>
      <c r="AE79" s="340" t="n"/>
      <c r="AF79" s="340" t="n"/>
      <c r="AG79" s="340" t="n"/>
      <c r="AH79" s="340" t="n"/>
      <c r="AI79" s="340" t="n"/>
      <c r="AJ79" s="340" t="n"/>
      <c r="AK79" s="340" t="n"/>
      <c r="AL79" s="340" t="n"/>
    </row>
    <row r="80" ht="29.25" customHeight="1">
      <c r="B80" s="449" t="inlineStr">
        <is>
          <t>DIAMETRO mm</t>
        </is>
      </c>
      <c r="C80" s="449" t="inlineStr">
        <is>
          <t>correccion</t>
        </is>
      </c>
      <c r="D80" s="490">
        <f>+FORECAST(C78,C81:C82,B81:B82)</f>
        <v/>
      </c>
      <c r="K80" s="498" t="inlineStr">
        <is>
          <t>Fuentes</t>
        </is>
      </c>
      <c r="L80" s="499" t="inlineStr">
        <is>
          <t>Unidades</t>
        </is>
      </c>
      <c r="M80" s="498" t="inlineStr">
        <is>
          <t>Valor</t>
        </is>
      </c>
      <c r="N80" s="499" t="inlineStr">
        <is>
          <t>Incertidumbre Original</t>
        </is>
      </c>
      <c r="O80" s="499" t="inlineStr">
        <is>
          <t>Distribución</t>
        </is>
      </c>
      <c r="P80" s="499" t="inlineStr">
        <is>
          <t>Incertidumbre Estándar u(xi)</t>
        </is>
      </c>
      <c r="Q80" s="499" t="inlineStr">
        <is>
          <t>Coeficiente de Sensibilidad</t>
        </is>
      </c>
      <c r="R80" s="499" t="inlineStr">
        <is>
          <t>Contribución ui(y)</t>
        </is>
      </c>
      <c r="T80" s="351" t="n"/>
      <c r="U80" s="498" t="inlineStr">
        <is>
          <t>Fuentes</t>
        </is>
      </c>
      <c r="V80" s="499" t="inlineStr">
        <is>
          <t>Unidades</t>
        </is>
      </c>
      <c r="W80" s="498" t="inlineStr">
        <is>
          <t>Valor</t>
        </is>
      </c>
      <c r="X80" s="499" t="inlineStr">
        <is>
          <t>Incertidumbre Original</t>
        </is>
      </c>
      <c r="Y80" s="499" t="inlineStr">
        <is>
          <t>Distribución</t>
        </is>
      </c>
      <c r="Z80" s="499" t="inlineStr">
        <is>
          <t>Incertidumbre Estándar u(xi)</t>
        </is>
      </c>
      <c r="AA80" s="499" t="inlineStr">
        <is>
          <t>Coeficiente de Sensibilidad</t>
        </is>
      </c>
      <c r="AB80" s="499" t="inlineStr">
        <is>
          <t>Contribución ui(y)</t>
        </is>
      </c>
      <c r="AD80" s="340" t="n"/>
      <c r="AE80" s="340" t="n"/>
      <c r="AF80" s="340" t="n"/>
      <c r="AG80" s="340" t="n"/>
      <c r="AH80" s="340" t="n"/>
      <c r="AI80" s="340" t="n"/>
      <c r="AJ80" s="340" t="n"/>
      <c r="AK80" s="340" t="n"/>
      <c r="AL80" s="340" t="n"/>
    </row>
    <row r="81" ht="21.75" customHeight="1">
      <c r="B81" s="591" t="n">
        <v>15</v>
      </c>
      <c r="C81" s="680" t="n">
        <v>-0.005</v>
      </c>
      <c r="K81" s="455" t="inlineStr">
        <is>
          <t>Masa seca del suelo compactado</t>
        </is>
      </c>
      <c r="L81" s="449" t="inlineStr">
        <is>
          <t>g</t>
        </is>
      </c>
      <c r="M81" s="507">
        <f>+(M82-M86)/(1+(M90/100))</f>
        <v/>
      </c>
      <c r="N81" s="372" t="n"/>
      <c r="O81" s="437" t="n"/>
      <c r="P81" s="437" t="n"/>
      <c r="Q81" s="437" t="n"/>
      <c r="R81" s="437" t="n"/>
      <c r="T81" s="950" t="n"/>
      <c r="U81" s="455" t="inlineStr">
        <is>
          <t>Masa seca del suelo compactado</t>
        </is>
      </c>
      <c r="V81" s="449" t="inlineStr">
        <is>
          <t>g</t>
        </is>
      </c>
      <c r="W81" s="507">
        <f>+(W82-W86)/(1+(W90/100))</f>
        <v/>
      </c>
      <c r="X81" s="372" t="n"/>
      <c r="Y81" s="437" t="n"/>
      <c r="Z81" s="437" t="n"/>
      <c r="AA81" s="437" t="n"/>
      <c r="AB81" s="437" t="n"/>
      <c r="AD81" s="340" t="n"/>
      <c r="AE81" s="340" t="n"/>
      <c r="AF81" s="340" t="n"/>
      <c r="AG81" s="340" t="n"/>
      <c r="AH81" s="340" t="n"/>
      <c r="AI81" s="340" t="n"/>
      <c r="AJ81" s="340" t="n"/>
      <c r="AK81" s="340" t="n"/>
      <c r="AL81" s="340" t="n"/>
    </row>
    <row r="82" ht="21.75" customHeight="1">
      <c r="A82" s="487" t="inlineStr">
        <is>
          <t>A</t>
        </is>
      </c>
      <c r="B82" s="591" t="n">
        <v>50</v>
      </c>
      <c r="C82" s="591" t="n">
        <v>-0.0001</v>
      </c>
      <c r="D82" s="425" t="n"/>
      <c r="E82" s="487" t="n"/>
      <c r="F82" s="487" t="n"/>
      <c r="G82" s="487" t="n"/>
      <c r="H82" s="487" t="n"/>
      <c r="I82" s="487" t="n"/>
      <c r="J82" s="487" t="n"/>
      <c r="K82" s="456" t="inlineStr">
        <is>
          <t>Masa de molde+suelo moldeado</t>
        </is>
      </c>
      <c r="L82" s="405" t="inlineStr">
        <is>
          <t>g</t>
        </is>
      </c>
      <c r="M82" s="506">
        <f>+DATOS!E18</f>
        <v/>
      </c>
      <c r="N82" s="404" t="inlineStr">
        <is>
          <t>---</t>
        </is>
      </c>
      <c r="O82" s="406" t="inlineStr">
        <is>
          <t>---</t>
        </is>
      </c>
      <c r="P82" s="407">
        <f>SQRT((P83*P83)+(P84*P84)+(P85*P85))</f>
        <v/>
      </c>
      <c r="Q82" s="406">
        <f>1/(1+(M90/100))</f>
        <v/>
      </c>
      <c r="R82" s="406">
        <f>+Q82*P82</f>
        <v/>
      </c>
      <c r="T82" s="950" t="n"/>
      <c r="U82" s="456" t="inlineStr">
        <is>
          <t>Masa de molde+suelo moldeado</t>
        </is>
      </c>
      <c r="V82" s="405" t="inlineStr">
        <is>
          <t>g</t>
        </is>
      </c>
      <c r="W82" s="506">
        <f>+DATOS!I18</f>
        <v/>
      </c>
      <c r="X82" s="404" t="inlineStr">
        <is>
          <t>---</t>
        </is>
      </c>
      <c r="Y82" s="406" t="inlineStr">
        <is>
          <t>---</t>
        </is>
      </c>
      <c r="Z82" s="407">
        <f>SQRT((Z83*Z83)+(Z84*Z84)+(Z85*Z85))</f>
        <v/>
      </c>
      <c r="AA82" s="406">
        <f>1/(1+(W90/100))</f>
        <v/>
      </c>
      <c r="AB82" s="406">
        <f>+AA82*Z82</f>
        <v/>
      </c>
      <c r="AD82" s="340" t="n"/>
      <c r="AE82" s="340" t="n"/>
      <c r="AF82" s="340" t="n"/>
      <c r="AG82" s="340" t="n"/>
      <c r="AH82" s="340" t="n"/>
      <c r="AI82" s="340" t="n"/>
      <c r="AJ82" s="340" t="n"/>
      <c r="AK82" s="340" t="n"/>
      <c r="AL82" s="340" t="n"/>
    </row>
    <row r="83" ht="21.75" customHeight="1">
      <c r="K83" s="502" t="inlineStr">
        <is>
          <t>Repetibilidad de la pesada</t>
        </is>
      </c>
      <c r="L83" s="57" t="inlineStr">
        <is>
          <t>g</t>
        </is>
      </c>
      <c r="M83" s="67" t="n"/>
      <c r="N83" s="417">
        <f>+Balanza!E24</f>
        <v/>
      </c>
      <c r="O83" s="412" t="inlineStr">
        <is>
          <t>Normal, K=1</t>
        </is>
      </c>
      <c r="P83" s="413">
        <f>+N83</f>
        <v/>
      </c>
      <c r="Q83" s="414" t="inlineStr">
        <is>
          <t>---</t>
        </is>
      </c>
      <c r="R83" s="414" t="inlineStr">
        <is>
          <t>---</t>
        </is>
      </c>
      <c r="T83" s="950" t="n"/>
      <c r="U83" s="502" t="inlineStr">
        <is>
          <t>Repetibilidad de la pesada</t>
        </is>
      </c>
      <c r="V83" s="57" t="inlineStr">
        <is>
          <t>g</t>
        </is>
      </c>
      <c r="W83" s="67" t="n"/>
      <c r="X83" s="417">
        <f>+Balanza!E27</f>
        <v/>
      </c>
      <c r="Y83" s="412" t="inlineStr">
        <is>
          <t>Normal, K=1</t>
        </is>
      </c>
      <c r="Z83" s="413">
        <f>+X83</f>
        <v/>
      </c>
      <c r="AA83" s="414" t="inlineStr">
        <is>
          <t>---</t>
        </is>
      </c>
      <c r="AB83" s="414" t="inlineStr">
        <is>
          <t>---</t>
        </is>
      </c>
      <c r="AD83" s="340" t="n"/>
      <c r="AE83" s="340" t="n"/>
      <c r="AF83" s="340" t="n"/>
      <c r="AG83" s="340" t="n"/>
      <c r="AH83" s="340" t="n"/>
      <c r="AI83" s="340" t="n"/>
      <c r="AJ83" s="340" t="n"/>
      <c r="AK83" s="340" t="n"/>
      <c r="AL83" s="340" t="n"/>
    </row>
    <row r="84" ht="21.75" customHeight="1">
      <c r="K84" s="502" t="inlineStr">
        <is>
          <t>Certificado de Calibración</t>
        </is>
      </c>
      <c r="L84" s="57" t="inlineStr">
        <is>
          <t>g</t>
        </is>
      </c>
      <c r="M84" s="67" t="n"/>
      <c r="N84" s="503">
        <f>2*(SQRT(Balanza!$C$8+Balanza!$D$8*(POWER(M82,2))))</f>
        <v/>
      </c>
      <c r="O84" s="416" t="inlineStr">
        <is>
          <t>Normal, K=2 (/2)</t>
        </is>
      </c>
      <c r="P84" s="413">
        <f>+N84/2</f>
        <v/>
      </c>
      <c r="Q84" s="414" t="inlineStr">
        <is>
          <t>---</t>
        </is>
      </c>
      <c r="R84" s="414" t="inlineStr">
        <is>
          <t>---</t>
        </is>
      </c>
      <c r="T84" s="950" t="n"/>
      <c r="U84" s="502" t="inlineStr">
        <is>
          <t>Certificado de Calibración</t>
        </is>
      </c>
      <c r="V84" s="57" t="inlineStr">
        <is>
          <t>g</t>
        </is>
      </c>
      <c r="W84" s="67" t="n"/>
      <c r="X84" s="503">
        <f>2*(SQRT(Balanza!$C$8+Balanza!$D$8*(POWER(W82,2))))</f>
        <v/>
      </c>
      <c r="Y84" s="416" t="inlineStr">
        <is>
          <t>Normal, K=2 (/2)</t>
        </is>
      </c>
      <c r="Z84" s="413">
        <f>+X84/2</f>
        <v/>
      </c>
      <c r="AA84" s="414" t="inlineStr">
        <is>
          <t>---</t>
        </is>
      </c>
      <c r="AB84" s="414" t="inlineStr">
        <is>
          <t>---</t>
        </is>
      </c>
      <c r="AD84" s="340" t="n"/>
      <c r="AE84" s="340" t="n"/>
      <c r="AF84" s="340" t="n"/>
      <c r="AG84" s="340" t="n"/>
      <c r="AH84" s="340" t="n"/>
      <c r="AI84" s="340" t="n"/>
      <c r="AJ84" s="340" t="n"/>
      <c r="AK84" s="340" t="n"/>
      <c r="AL84" s="340" t="n"/>
    </row>
    <row r="85" ht="21.75" customHeight="1">
      <c r="K85" s="502" t="inlineStr">
        <is>
          <t>Resolución</t>
        </is>
      </c>
      <c r="L85" s="57" t="inlineStr">
        <is>
          <t>g</t>
        </is>
      </c>
      <c r="M85" s="67" t="n"/>
      <c r="N85" s="417">
        <f>+Balanza!$C$10</f>
        <v/>
      </c>
      <c r="O85" s="418" t="inlineStr">
        <is>
          <t>Rectangular</t>
        </is>
      </c>
      <c r="P85" s="419">
        <f>N85/SQRT(3)/2</f>
        <v/>
      </c>
      <c r="Q85" s="414" t="inlineStr">
        <is>
          <t>---</t>
        </is>
      </c>
      <c r="R85" s="414" t="inlineStr">
        <is>
          <t>---</t>
        </is>
      </c>
      <c r="T85" s="950" t="n"/>
      <c r="U85" s="502" t="inlineStr">
        <is>
          <t>Resolución</t>
        </is>
      </c>
      <c r="V85" s="57" t="inlineStr">
        <is>
          <t>g</t>
        </is>
      </c>
      <c r="W85" s="67" t="n"/>
      <c r="X85" s="417">
        <f>+Balanza!$C$10</f>
        <v/>
      </c>
      <c r="Y85" s="418" t="inlineStr">
        <is>
          <t>Rectangular</t>
        </is>
      </c>
      <c r="Z85" s="419">
        <f>X85/SQRT(3)/2</f>
        <v/>
      </c>
      <c r="AA85" s="414" t="inlineStr">
        <is>
          <t>---</t>
        </is>
      </c>
      <c r="AB85" s="414" t="inlineStr">
        <is>
          <t>---</t>
        </is>
      </c>
      <c r="AD85" s="340" t="n"/>
      <c r="AE85" s="340" t="n"/>
      <c r="AF85" s="340" t="n"/>
      <c r="AG85" s="340" t="n"/>
      <c r="AH85" s="340" t="n"/>
      <c r="AI85" s="340" t="n"/>
      <c r="AJ85" s="340" t="n"/>
      <c r="AK85" s="340" t="n"/>
      <c r="AL85" s="340" t="n"/>
    </row>
    <row r="86" ht="21.75" customHeight="1">
      <c r="A86" s="487" t="inlineStr">
        <is>
          <t>B</t>
        </is>
      </c>
      <c r="B86" s="487" t="n"/>
      <c r="C86" s="487" t="n"/>
      <c r="D86" s="487" t="n"/>
      <c r="E86" s="487" t="n"/>
      <c r="F86" s="487" t="n"/>
      <c r="G86" s="487" t="n"/>
      <c r="H86" s="487" t="n"/>
      <c r="I86" s="487" t="n"/>
      <c r="J86" s="487" t="n"/>
      <c r="K86" s="456" t="inlineStr">
        <is>
          <t>Masa de molde</t>
        </is>
      </c>
      <c r="L86" s="405" t="inlineStr">
        <is>
          <t>g</t>
        </is>
      </c>
      <c r="M86" s="506">
        <f>+DATOS!E19</f>
        <v/>
      </c>
      <c r="N86" s="404" t="inlineStr">
        <is>
          <t>---</t>
        </is>
      </c>
      <c r="O86" s="406" t="inlineStr">
        <is>
          <t>---</t>
        </is>
      </c>
      <c r="P86" s="407">
        <f>SQRT((P87*P87)+(P88*P88)+(P89*P89))</f>
        <v/>
      </c>
      <c r="Q86" s="406">
        <f>1/(1+(M90/100))</f>
        <v/>
      </c>
      <c r="R86" s="406">
        <f>+Q86*P86</f>
        <v/>
      </c>
      <c r="T86" s="950" t="n"/>
      <c r="U86" s="456" t="inlineStr">
        <is>
          <t>Masa de molde</t>
        </is>
      </c>
      <c r="V86" s="405" t="inlineStr">
        <is>
          <t>g</t>
        </is>
      </c>
      <c r="W86" s="506">
        <f>+DATOS!I19</f>
        <v/>
      </c>
      <c r="X86" s="404" t="inlineStr">
        <is>
          <t>---</t>
        </is>
      </c>
      <c r="Y86" s="406" t="inlineStr">
        <is>
          <t>---</t>
        </is>
      </c>
      <c r="Z86" s="407">
        <f>SQRT((Z87*Z87)+(Z88*Z88)+(Z89*Z89))</f>
        <v/>
      </c>
      <c r="AA86" s="406">
        <f>1/(1+(W90/100))</f>
        <v/>
      </c>
      <c r="AB86" s="406">
        <f>+AA86*Z86</f>
        <v/>
      </c>
      <c r="AD86" s="340" t="n"/>
      <c r="AE86" s="340" t="n"/>
      <c r="AF86" s="340" t="n"/>
      <c r="AG86" s="340" t="n"/>
      <c r="AH86" s="340" t="n"/>
      <c r="AI86" s="340" t="n"/>
      <c r="AJ86" s="340" t="n"/>
      <c r="AK86" s="340" t="n"/>
      <c r="AL86" s="340" t="n"/>
    </row>
    <row r="87" ht="21.75" customHeight="1">
      <c r="K87" s="502" t="inlineStr">
        <is>
          <t>Repetibilidad de la pesada</t>
        </is>
      </c>
      <c r="L87" s="57" t="inlineStr">
        <is>
          <t>g</t>
        </is>
      </c>
      <c r="M87" s="372" t="n"/>
      <c r="N87" s="411">
        <f>+Balanza!E25</f>
        <v/>
      </c>
      <c r="O87" s="412" t="inlineStr">
        <is>
          <t>Normal, K=1</t>
        </is>
      </c>
      <c r="P87" s="413">
        <f>+N87</f>
        <v/>
      </c>
      <c r="Q87" s="414" t="inlineStr">
        <is>
          <t>---</t>
        </is>
      </c>
      <c r="R87" s="414" t="inlineStr">
        <is>
          <t>---</t>
        </is>
      </c>
      <c r="T87" s="950" t="n"/>
      <c r="U87" s="502" t="inlineStr">
        <is>
          <t>Repetibilidad de la pesada</t>
        </is>
      </c>
      <c r="V87" s="57" t="inlineStr">
        <is>
          <t>g</t>
        </is>
      </c>
      <c r="W87" s="372" t="n"/>
      <c r="X87" s="411">
        <f>+Balanza!E28</f>
        <v/>
      </c>
      <c r="Y87" s="412" t="inlineStr">
        <is>
          <t>Normal, K=1</t>
        </is>
      </c>
      <c r="Z87" s="413">
        <f>+X87</f>
        <v/>
      </c>
      <c r="AA87" s="414" t="inlineStr">
        <is>
          <t>---</t>
        </is>
      </c>
      <c r="AB87" s="414" t="inlineStr">
        <is>
          <t>---</t>
        </is>
      </c>
      <c r="AD87" s="340" t="n"/>
      <c r="AE87" s="340" t="n"/>
      <c r="AF87" s="340" t="n"/>
      <c r="AG87" s="340" t="n"/>
      <c r="AH87" s="340" t="n"/>
      <c r="AI87" s="340" t="n"/>
      <c r="AJ87" s="340" t="n"/>
      <c r="AK87" s="340" t="n"/>
      <c r="AL87" s="340" t="n"/>
    </row>
    <row r="88" ht="21.75" customHeight="1">
      <c r="K88" s="502" t="inlineStr">
        <is>
          <t>Certificado de Calibración</t>
        </is>
      </c>
      <c r="L88" s="57" t="inlineStr">
        <is>
          <t>g</t>
        </is>
      </c>
      <c r="M88" s="372" t="n"/>
      <c r="N88" s="503">
        <f>2*(SQRT(Balanza!$C$8+Balanza!$D$8*(POWER(M86,2))))</f>
        <v/>
      </c>
      <c r="O88" s="416" t="inlineStr">
        <is>
          <t>Normal, K=2 (/2)</t>
        </is>
      </c>
      <c r="P88" s="413">
        <f>+N88/2</f>
        <v/>
      </c>
      <c r="Q88" s="414" t="inlineStr">
        <is>
          <t>---</t>
        </is>
      </c>
      <c r="R88" s="414" t="inlineStr">
        <is>
          <t>---</t>
        </is>
      </c>
      <c r="T88" s="950" t="n"/>
      <c r="U88" s="502" t="inlineStr">
        <is>
          <t>Certificado de Calibración</t>
        </is>
      </c>
      <c r="V88" s="57" t="inlineStr">
        <is>
          <t>g</t>
        </is>
      </c>
      <c r="W88" s="372" t="n"/>
      <c r="X88" s="503">
        <f>2*(SQRT(Balanza!$C$8+Balanza!$D$8*(POWER(W86,2))))</f>
        <v/>
      </c>
      <c r="Y88" s="416" t="inlineStr">
        <is>
          <t>Normal, K=2 (/2)</t>
        </is>
      </c>
      <c r="Z88" s="413">
        <f>+X88/2</f>
        <v/>
      </c>
      <c r="AA88" s="414" t="inlineStr">
        <is>
          <t>---</t>
        </is>
      </c>
      <c r="AB88" s="414" t="inlineStr">
        <is>
          <t>---</t>
        </is>
      </c>
      <c r="AD88" s="340" t="n"/>
      <c r="AE88" s="340" t="n"/>
      <c r="AF88" s="340" t="n"/>
      <c r="AG88" s="340" t="n"/>
      <c r="AH88" s="340" t="n"/>
      <c r="AI88" s="340" t="n"/>
      <c r="AJ88" s="340" t="n"/>
      <c r="AK88" s="340" t="n"/>
      <c r="AL88" s="340" t="n"/>
    </row>
    <row r="89" ht="21.75" customHeight="1">
      <c r="K89" s="502" t="inlineStr">
        <is>
          <t>Resolución</t>
        </is>
      </c>
      <c r="L89" s="57" t="inlineStr">
        <is>
          <t>g</t>
        </is>
      </c>
      <c r="M89" s="372" t="n"/>
      <c r="N89" s="417">
        <f>+Balanza!$C$10</f>
        <v/>
      </c>
      <c r="O89" s="418" t="inlineStr">
        <is>
          <t>Rectangular</t>
        </is>
      </c>
      <c r="P89" s="419">
        <f>N89/SQRT(3)/2</f>
        <v/>
      </c>
      <c r="Q89" s="414" t="inlineStr">
        <is>
          <t>---</t>
        </is>
      </c>
      <c r="R89" s="414" t="inlineStr">
        <is>
          <t>---</t>
        </is>
      </c>
      <c r="T89" s="950" t="n"/>
      <c r="U89" s="502" t="inlineStr">
        <is>
          <t>Resolución</t>
        </is>
      </c>
      <c r="V89" s="57" t="inlineStr">
        <is>
          <t>g</t>
        </is>
      </c>
      <c r="W89" s="372" t="n"/>
      <c r="X89" s="417">
        <f>+Balanza!$C$10</f>
        <v/>
      </c>
      <c r="Y89" s="418" t="inlineStr">
        <is>
          <t>Rectangular</t>
        </is>
      </c>
      <c r="Z89" s="419">
        <f>X89/SQRT(3)/2</f>
        <v/>
      </c>
      <c r="AA89" s="414" t="inlineStr">
        <is>
          <t>---</t>
        </is>
      </c>
      <c r="AB89" s="414" t="inlineStr">
        <is>
          <t>---</t>
        </is>
      </c>
      <c r="AD89" s="340" t="n"/>
      <c r="AE89" s="340" t="n"/>
      <c r="AF89" s="340" t="n"/>
      <c r="AG89" s="340" t="n"/>
      <c r="AH89" s="340" t="n"/>
      <c r="AI89" s="340" t="n"/>
      <c r="AJ89" s="340" t="n"/>
      <c r="AK89" s="340" t="n"/>
      <c r="AL89" s="340" t="n"/>
    </row>
    <row r="90" ht="21.75" customHeight="1">
      <c r="A90" s="487" t="inlineStr">
        <is>
          <t>C</t>
        </is>
      </c>
      <c r="B90" s="487" t="n"/>
      <c r="C90" s="487" t="n"/>
      <c r="D90" s="487" t="n"/>
      <c r="E90" s="487" t="n"/>
      <c r="F90" s="487" t="n"/>
      <c r="G90" s="487" t="n"/>
      <c r="H90" s="487" t="n"/>
      <c r="I90" s="487" t="n"/>
      <c r="J90" s="487" t="n"/>
      <c r="K90" s="439" t="inlineStr">
        <is>
          <t>Contenido humedad</t>
        </is>
      </c>
      <c r="L90" s="440" t="inlineStr">
        <is>
          <t>%</t>
        </is>
      </c>
      <c r="M90" s="505">
        <f>+M95</f>
        <v/>
      </c>
      <c r="N90" s="438" t="n"/>
      <c r="O90" s="441" t="n"/>
      <c r="P90" s="407">
        <f>+R109</f>
        <v/>
      </c>
      <c r="Q90" s="406">
        <f>((M82-M86)/100)/((1+(M90/100))^2)</f>
        <v/>
      </c>
      <c r="R90" s="406">
        <f>+Q90*P90</f>
        <v/>
      </c>
      <c r="T90" s="950" t="n"/>
      <c r="U90" s="439" t="inlineStr">
        <is>
          <t>Contenido humedad</t>
        </is>
      </c>
      <c r="V90" s="440" t="inlineStr">
        <is>
          <t>%</t>
        </is>
      </c>
      <c r="W90" s="505">
        <f>+W95</f>
        <v/>
      </c>
      <c r="X90" s="438" t="n"/>
      <c r="Y90" s="441" t="n"/>
      <c r="Z90" s="407">
        <f>+AB109</f>
        <v/>
      </c>
      <c r="AA90" s="406">
        <f>((W82-W86)/100)/((1+(W90/100))^2)</f>
        <v/>
      </c>
      <c r="AB90" s="406">
        <f>+AA90*Z90</f>
        <v/>
      </c>
      <c r="AD90" s="340" t="n"/>
      <c r="AE90" s="340" t="n"/>
      <c r="AF90" s="340" t="n"/>
      <c r="AG90" s="340" t="n"/>
      <c r="AH90" s="340" t="n"/>
      <c r="AI90" s="340" t="n"/>
      <c r="AJ90" s="340" t="n"/>
      <c r="AK90" s="340" t="n"/>
      <c r="AL90" s="340" t="n"/>
    </row>
    <row r="91" ht="21.75" customHeight="1">
      <c r="K91" s="435" t="inlineStr">
        <is>
          <t>Incertidumbre Estándar Combinada</t>
        </is>
      </c>
      <c r="L91" s="434" t="inlineStr">
        <is>
          <t>g</t>
        </is>
      </c>
      <c r="M91" s="435" t="n"/>
      <c r="N91" s="435" t="n"/>
      <c r="O91" s="435" t="n"/>
      <c r="P91" s="372" t="n"/>
      <c r="Q91" s="436" t="n"/>
      <c r="R91" s="443">
        <f>SQRT((R82*R82)+(R86*R86)+(R90*R90))</f>
        <v/>
      </c>
      <c r="T91" s="351" t="n"/>
      <c r="U91" s="435" t="inlineStr">
        <is>
          <t>Incertidumbre Estándar Combinada</t>
        </is>
      </c>
      <c r="V91" s="434" t="inlineStr">
        <is>
          <t>g</t>
        </is>
      </c>
      <c r="W91" s="435" t="n"/>
      <c r="X91" s="435" t="n"/>
      <c r="Y91" s="435" t="n"/>
      <c r="Z91" s="372" t="n"/>
      <c r="AA91" s="436" t="n"/>
      <c r="AB91" s="443">
        <f>SQRT((AB82*AB82)+(AB86*AB86)+(AB90*AB90))</f>
        <v/>
      </c>
      <c r="AD91" s="340" t="n"/>
      <c r="AE91" s="340" t="n"/>
      <c r="AF91" s="340" t="n"/>
      <c r="AG91" s="340" t="n"/>
      <c r="AH91" s="340" t="n"/>
      <c r="AI91" s="340" t="n"/>
      <c r="AJ91" s="340" t="n"/>
      <c r="AK91" s="340" t="n"/>
      <c r="AL91" s="340" t="n"/>
    </row>
    <row r="92" ht="12" customHeight="1">
      <c r="K92" s="950" t="n"/>
      <c r="L92" s="950" t="n"/>
      <c r="M92" s="950" t="n"/>
      <c r="N92" s="950" t="n"/>
      <c r="P92" s="351" t="n"/>
      <c r="Q92" s="351" t="n"/>
      <c r="R92" s="351" t="n"/>
      <c r="S92" s="351" t="n"/>
      <c r="T92" s="351" t="n"/>
      <c r="U92" s="340" t="n"/>
      <c r="V92" s="340" t="n"/>
      <c r="W92" s="340" t="n"/>
      <c r="X92" s="340" t="n"/>
      <c r="Y92" s="340" t="n"/>
      <c r="Z92" s="340" t="n"/>
      <c r="AA92" s="340" t="n"/>
      <c r="AB92" s="340" t="n"/>
      <c r="AC92" s="340" t="n"/>
      <c r="AD92" s="340" t="n"/>
      <c r="AE92" s="340" t="n"/>
      <c r="AF92" s="340" t="n"/>
      <c r="AG92" s="340" t="n"/>
      <c r="AH92" s="340" t="n"/>
      <c r="AI92" s="340" t="n"/>
      <c r="AJ92" s="340" t="n"/>
      <c r="AK92" s="340" t="n"/>
      <c r="AL92" s="340" t="n"/>
    </row>
    <row r="93" ht="21.75" customHeight="1" thickBot="1">
      <c r="K93" s="40" t="inlineStr">
        <is>
          <t>CONTENIDO HUMEDAD</t>
        </is>
      </c>
      <c r="L93" s="40" t="n"/>
      <c r="M93" s="351" t="n"/>
      <c r="N93" s="351" t="n"/>
      <c r="O93" s="351" t="n"/>
      <c r="P93" s="351" t="n"/>
      <c r="Q93" s="351" t="n"/>
      <c r="R93" s="351" t="n"/>
      <c r="S93" s="351" t="n"/>
      <c r="T93" s="351" t="n"/>
      <c r="U93" s="40" t="inlineStr">
        <is>
          <t>CONTENIDO HUMEDAD</t>
        </is>
      </c>
      <c r="V93" s="40" t="n"/>
      <c r="W93" s="351" t="n"/>
      <c r="X93" s="351" t="n"/>
      <c r="Y93" s="351" t="n"/>
      <c r="Z93" s="351" t="n"/>
      <c r="AA93" s="351" t="n"/>
      <c r="AB93" s="351" t="n"/>
      <c r="AC93" s="351" t="n"/>
      <c r="AD93" s="340" t="n"/>
      <c r="AE93" s="340" t="n"/>
      <c r="AF93" s="340" t="n"/>
      <c r="AG93" s="340" t="n"/>
      <c r="AH93" s="340" t="n"/>
      <c r="AI93" s="340" t="n"/>
      <c r="AJ93" s="340" t="n"/>
      <c r="AK93" s="340" t="n"/>
      <c r="AL93" s="340" t="n"/>
    </row>
    <row r="94" ht="28.5" customHeight="1" thickBot="1">
      <c r="K94" s="394" t="inlineStr">
        <is>
          <t>Fuentes</t>
        </is>
      </c>
      <c r="L94" s="396" t="inlineStr">
        <is>
          <t>Unidades</t>
        </is>
      </c>
      <c r="M94" s="395" t="inlineStr">
        <is>
          <t>Valor</t>
        </is>
      </c>
      <c r="N94" s="396" t="inlineStr">
        <is>
          <t>Incertidumbre Original</t>
        </is>
      </c>
      <c r="O94" s="396" t="inlineStr">
        <is>
          <t>Distribución</t>
        </is>
      </c>
      <c r="P94" s="396" t="inlineStr">
        <is>
          <t>Incertidumbre Estándar u(xi)</t>
        </is>
      </c>
      <c r="Q94" s="396" t="inlineStr">
        <is>
          <t>Coeficiente de Sensibilidad</t>
        </is>
      </c>
      <c r="R94" s="397" t="inlineStr">
        <is>
          <t>Contribución ui(y)</t>
        </is>
      </c>
      <c r="T94" s="351" t="n"/>
      <c r="U94" s="394" t="inlineStr">
        <is>
          <t>Fuentes</t>
        </is>
      </c>
      <c r="V94" s="396" t="inlineStr">
        <is>
          <t>Unidades</t>
        </is>
      </c>
      <c r="W94" s="395" t="inlineStr">
        <is>
          <t>Valor</t>
        </is>
      </c>
      <c r="X94" s="396" t="inlineStr">
        <is>
          <t>Incertidumbre Original</t>
        </is>
      </c>
      <c r="Y94" s="396" t="inlineStr">
        <is>
          <t>Distribución</t>
        </is>
      </c>
      <c r="Z94" s="396" t="inlineStr">
        <is>
          <t>Incertidumbre Estándar u(xi)</t>
        </is>
      </c>
      <c r="AA94" s="396" t="inlineStr">
        <is>
          <t>Coeficiente de Sensibilidad</t>
        </is>
      </c>
      <c r="AB94" s="397" t="inlineStr">
        <is>
          <t>Contribución ui(y)</t>
        </is>
      </c>
      <c r="AD94" s="340" t="n"/>
      <c r="AE94" s="340" t="n"/>
      <c r="AF94" s="340" t="n"/>
      <c r="AG94" s="340" t="n"/>
      <c r="AH94" s="340" t="n"/>
      <c r="AI94" s="340" t="n"/>
      <c r="AJ94" s="340" t="n"/>
      <c r="AK94" s="340" t="n"/>
      <c r="AL94" s="340" t="n"/>
    </row>
    <row r="95" ht="21.75" customHeight="1">
      <c r="K95" s="398" t="inlineStr">
        <is>
          <t>Humedad (%)</t>
        </is>
      </c>
      <c r="L95" s="400" t="inlineStr">
        <is>
          <t>---</t>
        </is>
      </c>
      <c r="M95" s="399">
        <f>+((M96-M100)/(M100-M104)*100)</f>
        <v/>
      </c>
      <c r="N95" s="400" t="inlineStr">
        <is>
          <t>---</t>
        </is>
      </c>
      <c r="O95" s="400" t="inlineStr">
        <is>
          <t>---</t>
        </is>
      </c>
      <c r="P95" s="400" t="inlineStr">
        <is>
          <t>---</t>
        </is>
      </c>
      <c r="Q95" s="400" t="inlineStr">
        <is>
          <t>---</t>
        </is>
      </c>
      <c r="R95" s="401" t="inlineStr">
        <is>
          <t>---</t>
        </is>
      </c>
      <c r="T95" s="351" t="n"/>
      <c r="U95" s="398" t="inlineStr">
        <is>
          <t>Humedad (%)</t>
        </is>
      </c>
      <c r="V95" s="400" t="inlineStr">
        <is>
          <t>---</t>
        </is>
      </c>
      <c r="W95" s="399">
        <f>+((W96-W100)/(W100-W104)*100)</f>
        <v/>
      </c>
      <c r="X95" s="400" t="inlineStr">
        <is>
          <t>---</t>
        </is>
      </c>
      <c r="Y95" s="400" t="inlineStr">
        <is>
          <t>---</t>
        </is>
      </c>
      <c r="Z95" s="400" t="inlineStr">
        <is>
          <t>---</t>
        </is>
      </c>
      <c r="AA95" s="400" t="inlineStr">
        <is>
          <t>---</t>
        </is>
      </c>
      <c r="AB95" s="401" t="inlineStr">
        <is>
          <t>---</t>
        </is>
      </c>
      <c r="AD95" s="340" t="n"/>
      <c r="AE95" s="340" t="n"/>
      <c r="AF95" s="340" t="n"/>
      <c r="AG95" s="340" t="n"/>
      <c r="AH95" s="340" t="n"/>
      <c r="AI95" s="340" t="n"/>
      <c r="AJ95" s="340" t="n"/>
      <c r="AK95" s="340" t="n"/>
      <c r="AL95" s="340" t="n"/>
    </row>
    <row r="96" ht="21.75" customHeight="1">
      <c r="K96" s="402" t="inlineStr">
        <is>
          <t>Masa Humeda  y tara</t>
        </is>
      </c>
      <c r="L96" s="405" t="inlineStr">
        <is>
          <t>g</t>
        </is>
      </c>
      <c r="M96" s="403">
        <f>+DATOS!E28</f>
        <v/>
      </c>
      <c r="N96" s="404" t="inlineStr">
        <is>
          <t>---</t>
        </is>
      </c>
      <c r="O96" s="406" t="inlineStr">
        <is>
          <t>---</t>
        </is>
      </c>
      <c r="P96" s="407">
        <f>SQRT((P97*P97)+(P98*P98)+(P99*P99))</f>
        <v/>
      </c>
      <c r="Q96" s="406">
        <f>100/(M100-M104)</f>
        <v/>
      </c>
      <c r="R96" s="408">
        <f>+Q96*P96</f>
        <v/>
      </c>
      <c r="T96" s="351" t="n"/>
      <c r="U96" s="402" t="inlineStr">
        <is>
          <t>Masa Humeda  y tara</t>
        </is>
      </c>
      <c r="V96" s="405" t="inlineStr">
        <is>
          <t>g</t>
        </is>
      </c>
      <c r="W96" s="496">
        <f>+DATOS!I28</f>
        <v/>
      </c>
      <c r="X96" s="404" t="inlineStr">
        <is>
          <t>---</t>
        </is>
      </c>
      <c r="Y96" s="406" t="inlineStr">
        <is>
          <t>---</t>
        </is>
      </c>
      <c r="Z96" s="407">
        <f>SQRT((Z97*Z97)+(Z98*Z98)+(Z99*Z99))</f>
        <v/>
      </c>
      <c r="AA96" s="406">
        <f>100/(W100-W104)</f>
        <v/>
      </c>
      <c r="AB96" s="408">
        <f>+AA96*Z96</f>
        <v/>
      </c>
      <c r="AD96" s="340" t="n"/>
      <c r="AE96" s="340" t="n"/>
      <c r="AF96" s="340" t="n"/>
      <c r="AG96" s="340" t="n"/>
      <c r="AH96" s="340" t="n"/>
      <c r="AI96" s="340" t="n"/>
      <c r="AJ96" s="340" t="n"/>
      <c r="AK96" s="340" t="n"/>
      <c r="AL96" s="340" t="n"/>
    </row>
    <row r="97" ht="21.75" customHeight="1">
      <c r="K97" s="409" t="inlineStr">
        <is>
          <t>Repetibilidad de la pesada</t>
        </is>
      </c>
      <c r="L97" s="57" t="inlineStr">
        <is>
          <t>g</t>
        </is>
      </c>
      <c r="M97" s="410" t="n"/>
      <c r="N97" s="417">
        <f>+Balanza!P24</f>
        <v/>
      </c>
      <c r="O97" s="412" t="inlineStr">
        <is>
          <t>Normal, K=1</t>
        </is>
      </c>
      <c r="P97" s="413">
        <f>+N97</f>
        <v/>
      </c>
      <c r="Q97" s="414" t="inlineStr">
        <is>
          <t>---</t>
        </is>
      </c>
      <c r="R97" s="415" t="inlineStr">
        <is>
          <t>---</t>
        </is>
      </c>
      <c r="T97" s="351" t="n"/>
      <c r="U97" s="409" t="inlineStr">
        <is>
          <t>Repetibilidad de la pesada</t>
        </is>
      </c>
      <c r="V97" s="57" t="inlineStr">
        <is>
          <t>g</t>
        </is>
      </c>
      <c r="W97" s="497" t="n"/>
      <c r="X97" s="417">
        <f>+Balanza!P28</f>
        <v/>
      </c>
      <c r="Y97" s="412" t="inlineStr">
        <is>
          <t>Normal, K=1</t>
        </is>
      </c>
      <c r="Z97" s="413">
        <f>+X97</f>
        <v/>
      </c>
      <c r="AA97" s="414" t="inlineStr">
        <is>
          <t>---</t>
        </is>
      </c>
      <c r="AB97" s="415" t="inlineStr">
        <is>
          <t>---</t>
        </is>
      </c>
      <c r="AD97" s="340" t="n"/>
      <c r="AE97" s="340" t="n"/>
      <c r="AF97" s="340" t="n"/>
      <c r="AG97" s="340" t="n"/>
      <c r="AH97" s="340" t="n"/>
      <c r="AI97" s="340" t="n"/>
      <c r="AJ97" s="340" t="n"/>
      <c r="AK97" s="340" t="n"/>
      <c r="AL97" s="340" t="n"/>
    </row>
    <row r="98" ht="21.75" customHeight="1">
      <c r="K98" s="409" t="inlineStr">
        <is>
          <t>Certificado de Calibración</t>
        </is>
      </c>
      <c r="L98" s="57" t="inlineStr">
        <is>
          <t>g</t>
        </is>
      </c>
      <c r="M98" s="410" t="n"/>
      <c r="N98" s="442">
        <f>2*(SQRT(Balanza!$M$8+Balanza!$N$8*(POWER(M96,2))))</f>
        <v/>
      </c>
      <c r="O98" s="416" t="inlineStr">
        <is>
          <t>Normal, K=2 (/2)</t>
        </is>
      </c>
      <c r="P98" s="413">
        <f>+N98/2</f>
        <v/>
      </c>
      <c r="Q98" s="414" t="inlineStr">
        <is>
          <t>---</t>
        </is>
      </c>
      <c r="R98" s="415" t="inlineStr">
        <is>
          <t>---</t>
        </is>
      </c>
      <c r="T98" s="351" t="n"/>
      <c r="U98" s="409" t="inlineStr">
        <is>
          <t>Certificado de Calibración</t>
        </is>
      </c>
      <c r="V98" s="57" t="inlineStr">
        <is>
          <t>g</t>
        </is>
      </c>
      <c r="W98" s="497" t="n"/>
      <c r="X98" s="442">
        <f>2*(SQRT(Balanza!$M$8+Balanza!$N$8*(POWER(W96,2))))</f>
        <v/>
      </c>
      <c r="Y98" s="416" t="inlineStr">
        <is>
          <t>Normal, K=2 (/2)</t>
        </is>
      </c>
      <c r="Z98" s="413">
        <f>+X98/2</f>
        <v/>
      </c>
      <c r="AA98" s="414" t="inlineStr">
        <is>
          <t>---</t>
        </is>
      </c>
      <c r="AB98" s="415" t="inlineStr">
        <is>
          <t>---</t>
        </is>
      </c>
      <c r="AD98" s="340" t="n"/>
      <c r="AE98" s="340" t="n"/>
      <c r="AF98" s="340" t="n"/>
      <c r="AG98" s="340" t="n"/>
      <c r="AH98" s="340" t="n"/>
      <c r="AI98" s="340" t="n"/>
      <c r="AJ98" s="340" t="n"/>
      <c r="AK98" s="340" t="n"/>
      <c r="AL98" s="340" t="n"/>
    </row>
    <row r="99" ht="21.75" customHeight="1">
      <c r="K99" s="409" t="inlineStr">
        <is>
          <t>Resolución</t>
        </is>
      </c>
      <c r="L99" s="57" t="inlineStr">
        <is>
          <t>g</t>
        </is>
      </c>
      <c r="M99" s="410" t="n"/>
      <c r="N99" s="417">
        <f>+Balanza!$M$10</f>
        <v/>
      </c>
      <c r="O99" s="418" t="inlineStr">
        <is>
          <t>Rectangular</t>
        </is>
      </c>
      <c r="P99" s="419">
        <f>N99/SQRT(3)/2</f>
        <v/>
      </c>
      <c r="Q99" s="414" t="inlineStr">
        <is>
          <t>---</t>
        </is>
      </c>
      <c r="R99" s="415" t="inlineStr">
        <is>
          <t>---</t>
        </is>
      </c>
      <c r="T99" s="351" t="n"/>
      <c r="U99" s="409" t="inlineStr">
        <is>
          <t>Resolución</t>
        </is>
      </c>
      <c r="V99" s="57" t="inlineStr">
        <is>
          <t>g</t>
        </is>
      </c>
      <c r="W99" s="497" t="n"/>
      <c r="X99" s="417">
        <f>+Balanza!$M$10</f>
        <v/>
      </c>
      <c r="Y99" s="418" t="inlineStr">
        <is>
          <t>Rectangular</t>
        </is>
      </c>
      <c r="Z99" s="419">
        <f>X99/SQRT(3)/2</f>
        <v/>
      </c>
      <c r="AA99" s="414" t="inlineStr">
        <is>
          <t>---</t>
        </is>
      </c>
      <c r="AB99" s="415" t="inlineStr">
        <is>
          <t>---</t>
        </is>
      </c>
      <c r="AD99" s="340" t="n"/>
      <c r="AE99" s="340" t="n"/>
      <c r="AF99" s="340" t="n"/>
      <c r="AG99" s="340" t="n"/>
      <c r="AH99" s="340" t="n"/>
      <c r="AI99" s="340" t="n"/>
      <c r="AJ99" s="340" t="n"/>
      <c r="AK99" s="340" t="n"/>
      <c r="AL99" s="340" t="n"/>
    </row>
    <row r="100" ht="21.75" customHeight="1">
      <c r="K100" s="402" t="inlineStr">
        <is>
          <t>Masa Seca y tara</t>
        </is>
      </c>
      <c r="L100" s="421" t="inlineStr">
        <is>
          <t>g</t>
        </is>
      </c>
      <c r="M100" s="403">
        <f>+DATOS!E29</f>
        <v/>
      </c>
      <c r="N100" s="420" t="n"/>
      <c r="O100" s="404" t="inlineStr">
        <is>
          <t>---</t>
        </is>
      </c>
      <c r="P100" s="407">
        <f>SQRT((P101*P101)+(P102*P102)+(P103*P103))</f>
        <v/>
      </c>
      <c r="Q100" s="405">
        <f>((M96-M104)*100)/(POWER((M100-M104),2))</f>
        <v/>
      </c>
      <c r="R100" s="422">
        <f>+Q100*P100</f>
        <v/>
      </c>
      <c r="T100" s="351" t="n"/>
      <c r="U100" s="402" t="inlineStr">
        <is>
          <t>Masa Seca y tara</t>
        </is>
      </c>
      <c r="V100" s="421" t="inlineStr">
        <is>
          <t>g</t>
        </is>
      </c>
      <c r="W100" s="496">
        <f>+DATOS!I30</f>
        <v/>
      </c>
      <c r="X100" s="420" t="n"/>
      <c r="Y100" s="404" t="inlineStr">
        <is>
          <t>---</t>
        </is>
      </c>
      <c r="Z100" s="407">
        <f>SQRT((Z101*Z101)+(Z102*Z102)+(Z103*Z103))</f>
        <v/>
      </c>
      <c r="AA100" s="405">
        <f>((W96-W104)*100)/(POWER((W100-W104),2))</f>
        <v/>
      </c>
      <c r="AB100" s="422">
        <f>+AA100*Z100</f>
        <v/>
      </c>
      <c r="AD100" s="340" t="n"/>
      <c r="AE100" s="340" t="n"/>
      <c r="AF100" s="340" t="n"/>
      <c r="AG100" s="340" t="n"/>
      <c r="AH100" s="340" t="n"/>
      <c r="AI100" s="340" t="n"/>
      <c r="AJ100" s="340" t="n"/>
      <c r="AK100" s="340" t="n"/>
      <c r="AL100" s="340" t="n"/>
    </row>
    <row r="101" ht="21.75" customHeight="1">
      <c r="K101" s="409" t="inlineStr">
        <is>
          <t>Repetibilidad de la pesada</t>
        </is>
      </c>
      <c r="L101" s="57" t="inlineStr">
        <is>
          <t>g</t>
        </is>
      </c>
      <c r="M101" s="410" t="n"/>
      <c r="N101" s="411">
        <f>+Balanza!P25</f>
        <v/>
      </c>
      <c r="O101" s="412" t="inlineStr">
        <is>
          <t>Normal, K=1</t>
        </is>
      </c>
      <c r="P101" s="413">
        <f>+N101</f>
        <v/>
      </c>
      <c r="Q101" s="414" t="inlineStr">
        <is>
          <t>---</t>
        </is>
      </c>
      <c r="R101" s="415" t="inlineStr">
        <is>
          <t>---</t>
        </is>
      </c>
      <c r="T101" s="351" t="n"/>
      <c r="U101" s="409" t="inlineStr">
        <is>
          <t>Repetibilidad de la pesada</t>
        </is>
      </c>
      <c r="V101" s="57" t="inlineStr">
        <is>
          <t>g</t>
        </is>
      </c>
      <c r="W101" s="497" t="n"/>
      <c r="X101" s="411">
        <f>+Balanza!P29</f>
        <v/>
      </c>
      <c r="Y101" s="412" t="inlineStr">
        <is>
          <t>Normal, K=1</t>
        </is>
      </c>
      <c r="Z101" s="413">
        <f>+X101</f>
        <v/>
      </c>
      <c r="AA101" s="414" t="inlineStr">
        <is>
          <t>---</t>
        </is>
      </c>
      <c r="AB101" s="415" t="inlineStr">
        <is>
          <t>---</t>
        </is>
      </c>
      <c r="AD101" s="340" t="n"/>
      <c r="AE101" s="340" t="n"/>
      <c r="AF101" s="340" t="n"/>
      <c r="AG101" s="340" t="n"/>
      <c r="AH101" s="340" t="n"/>
      <c r="AI101" s="340" t="n"/>
      <c r="AJ101" s="340" t="n"/>
      <c r="AK101" s="340" t="n"/>
      <c r="AL101" s="340" t="n"/>
    </row>
    <row r="102" ht="21.75" customHeight="1">
      <c r="K102" s="409" t="inlineStr">
        <is>
          <t>Certificado de Calibración</t>
        </is>
      </c>
      <c r="L102" s="57" t="inlineStr">
        <is>
          <t>g</t>
        </is>
      </c>
      <c r="M102" s="410" t="n"/>
      <c r="N102" s="442">
        <f>2*(SQRT(Balanza!$M$8+Balanza!$N$8*(POWER(M100,2))))</f>
        <v/>
      </c>
      <c r="O102" s="416" t="inlineStr">
        <is>
          <t>Normal, K=2 (/2)</t>
        </is>
      </c>
      <c r="P102" s="413">
        <f>+N102/2</f>
        <v/>
      </c>
      <c r="Q102" s="414" t="inlineStr">
        <is>
          <t>---</t>
        </is>
      </c>
      <c r="R102" s="415" t="inlineStr">
        <is>
          <t>---</t>
        </is>
      </c>
      <c r="T102" s="351" t="n"/>
      <c r="U102" s="409" t="inlineStr">
        <is>
          <t>Certificado de Calibración</t>
        </is>
      </c>
      <c r="V102" s="57" t="inlineStr">
        <is>
          <t>g</t>
        </is>
      </c>
      <c r="W102" s="497" t="n"/>
      <c r="X102" s="442">
        <f>2*(SQRT(Balanza!$M$8+Balanza!$N$8*(POWER(W100,2))))</f>
        <v/>
      </c>
      <c r="Y102" s="416" t="inlineStr">
        <is>
          <t>Normal, K=2 (/2)</t>
        </is>
      </c>
      <c r="Z102" s="413">
        <f>+X102/2</f>
        <v/>
      </c>
      <c r="AA102" s="414" t="inlineStr">
        <is>
          <t>---</t>
        </is>
      </c>
      <c r="AB102" s="415" t="inlineStr">
        <is>
          <t>---</t>
        </is>
      </c>
      <c r="AD102" s="340" t="n"/>
      <c r="AE102" s="340" t="n"/>
      <c r="AF102" s="340" t="n"/>
      <c r="AG102" s="340" t="n"/>
      <c r="AH102" s="340" t="n"/>
      <c r="AI102" s="340" t="n"/>
      <c r="AJ102" s="340" t="n"/>
      <c r="AK102" s="340" t="n"/>
      <c r="AL102" s="340" t="n"/>
    </row>
    <row r="103" ht="21.75" customHeight="1">
      <c r="K103" s="409" t="inlineStr">
        <is>
          <t>Resolución</t>
        </is>
      </c>
      <c r="L103" s="57" t="inlineStr">
        <is>
          <t>g</t>
        </is>
      </c>
      <c r="M103" s="410" t="n"/>
      <c r="N103" s="417">
        <f>+Balanza!$M$10</f>
        <v/>
      </c>
      <c r="O103" s="418" t="inlineStr">
        <is>
          <t>Rectangular</t>
        </is>
      </c>
      <c r="P103" s="419">
        <f>N103/SQRT(3)/2</f>
        <v/>
      </c>
      <c r="Q103" s="414" t="inlineStr">
        <is>
          <t>---</t>
        </is>
      </c>
      <c r="R103" s="415" t="inlineStr">
        <is>
          <t>---</t>
        </is>
      </c>
      <c r="T103" s="351" t="n"/>
      <c r="U103" s="409" t="inlineStr">
        <is>
          <t>Resolución</t>
        </is>
      </c>
      <c r="V103" s="57" t="inlineStr">
        <is>
          <t>g</t>
        </is>
      </c>
      <c r="W103" s="497" t="n"/>
      <c r="X103" s="417">
        <f>+Balanza!$M$10</f>
        <v/>
      </c>
      <c r="Y103" s="418" t="inlineStr">
        <is>
          <t>Rectangular</t>
        </is>
      </c>
      <c r="Z103" s="419">
        <f>X103/SQRT(3)/2</f>
        <v/>
      </c>
      <c r="AA103" s="414" t="inlineStr">
        <is>
          <t>---</t>
        </is>
      </c>
      <c r="AB103" s="415" t="inlineStr">
        <is>
          <t>---</t>
        </is>
      </c>
      <c r="AD103" s="340" t="n"/>
      <c r="AE103" s="340" t="n"/>
      <c r="AF103" s="340" t="n"/>
      <c r="AG103" s="340" t="n"/>
      <c r="AH103" s="340" t="n"/>
      <c r="AI103" s="340" t="n"/>
      <c r="AJ103" s="340" t="n"/>
      <c r="AK103" s="340" t="n"/>
      <c r="AL103" s="340" t="n"/>
    </row>
    <row r="104" ht="21.75" customHeight="1">
      <c r="K104" s="402" t="inlineStr">
        <is>
          <t>Masa Tara</t>
        </is>
      </c>
      <c r="L104" s="421" t="inlineStr">
        <is>
          <t>g</t>
        </is>
      </c>
      <c r="M104" s="403">
        <f>+DATOS!E27</f>
        <v/>
      </c>
      <c r="N104" s="420" t="n"/>
      <c r="O104" s="404" t="inlineStr">
        <is>
          <t>---</t>
        </is>
      </c>
      <c r="P104" s="407">
        <f>SQRT((P105*P105)+(P106*P106)+(P107*P107))</f>
        <v/>
      </c>
      <c r="Q104" s="423">
        <f>((M96-M100)*100)/(POWER((M100-M104),2))</f>
        <v/>
      </c>
      <c r="R104" s="424">
        <f>+Q104*P104</f>
        <v/>
      </c>
      <c r="T104" s="351" t="n"/>
      <c r="U104" s="402" t="inlineStr">
        <is>
          <t>Masa Tara</t>
        </is>
      </c>
      <c r="V104" s="421" t="inlineStr">
        <is>
          <t>g</t>
        </is>
      </c>
      <c r="W104" s="496">
        <f>+DATOS!I27</f>
        <v/>
      </c>
      <c r="X104" s="420" t="n"/>
      <c r="Y104" s="404" t="inlineStr">
        <is>
          <t>---</t>
        </is>
      </c>
      <c r="Z104" s="407">
        <f>SQRT((Z105*Z105)+(Z106*Z106)+(Z107*Z107))</f>
        <v/>
      </c>
      <c r="AA104" s="423">
        <f>((W96-W100)*100)/(POWER((W100-W104),2))</f>
        <v/>
      </c>
      <c r="AB104" s="424">
        <f>+AA104*Z104</f>
        <v/>
      </c>
      <c r="AD104" s="340" t="n"/>
      <c r="AE104" s="340" t="n"/>
      <c r="AF104" s="340" t="n"/>
      <c r="AG104" s="340" t="n"/>
      <c r="AH104" s="340" t="n"/>
      <c r="AI104" s="340" t="n"/>
      <c r="AJ104" s="340" t="n"/>
      <c r="AK104" s="340" t="n"/>
      <c r="AL104" s="340" t="n"/>
    </row>
    <row r="105" ht="21.75" customHeight="1">
      <c r="K105" s="409" t="inlineStr">
        <is>
          <t>Repetibilidad de la pesada</t>
        </is>
      </c>
      <c r="L105" s="57" t="inlineStr">
        <is>
          <t>g</t>
        </is>
      </c>
      <c r="M105" s="410" t="n"/>
      <c r="N105" s="411">
        <f>+Balanza!P26</f>
        <v/>
      </c>
      <c r="O105" s="412" t="inlineStr">
        <is>
          <t>Normal, K=1</t>
        </is>
      </c>
      <c r="P105" s="413">
        <f>+N105</f>
        <v/>
      </c>
      <c r="Q105" s="414" t="inlineStr">
        <is>
          <t>---</t>
        </is>
      </c>
      <c r="R105" s="415" t="inlineStr">
        <is>
          <t>---</t>
        </is>
      </c>
      <c r="T105" s="351" t="n"/>
      <c r="U105" s="409" t="inlineStr">
        <is>
          <t>Repetibilidad de la pesada</t>
        </is>
      </c>
      <c r="V105" s="57" t="inlineStr">
        <is>
          <t>g</t>
        </is>
      </c>
      <c r="W105" s="410" t="n"/>
      <c r="X105" s="411">
        <f>+Balanza!P30</f>
        <v/>
      </c>
      <c r="Y105" s="412" t="inlineStr">
        <is>
          <t>Normal, K=1</t>
        </is>
      </c>
      <c r="Z105" s="413">
        <f>+X105</f>
        <v/>
      </c>
      <c r="AA105" s="414" t="inlineStr">
        <is>
          <t>---</t>
        </is>
      </c>
      <c r="AB105" s="415" t="inlineStr">
        <is>
          <t>---</t>
        </is>
      </c>
      <c r="AD105" s="340" t="n"/>
      <c r="AE105" s="340" t="n"/>
      <c r="AF105" s="340" t="n"/>
      <c r="AG105" s="340" t="n"/>
      <c r="AH105" s="340" t="n"/>
      <c r="AI105" s="340" t="n"/>
      <c r="AJ105" s="340" t="n"/>
      <c r="AK105" s="340" t="n"/>
      <c r="AL105" s="340" t="n"/>
    </row>
    <row r="106" ht="21.75" customHeight="1">
      <c r="K106" s="409" t="inlineStr">
        <is>
          <t>Certificado de Calibración</t>
        </is>
      </c>
      <c r="L106" s="57" t="inlineStr">
        <is>
          <t>g</t>
        </is>
      </c>
      <c r="M106" s="410" t="n"/>
      <c r="N106" s="442">
        <f>2*(SQRT(Balanza!$M$8+Balanza!$N$8*(POWER(M104,2))))</f>
        <v/>
      </c>
      <c r="O106" s="416" t="inlineStr">
        <is>
          <t>Normal, K=2 (/2)</t>
        </is>
      </c>
      <c r="P106" s="413">
        <f>+N106/2</f>
        <v/>
      </c>
      <c r="Q106" s="414" t="inlineStr">
        <is>
          <t>---</t>
        </is>
      </c>
      <c r="R106" s="415" t="inlineStr">
        <is>
          <t>---</t>
        </is>
      </c>
      <c r="T106" s="351" t="n"/>
      <c r="U106" s="409" t="inlineStr">
        <is>
          <t>Certificado de Calibración</t>
        </is>
      </c>
      <c r="V106" s="57" t="inlineStr">
        <is>
          <t>g</t>
        </is>
      </c>
      <c r="W106" s="410" t="n"/>
      <c r="X106" s="442">
        <f>2*(SQRT(Balanza!$M$8+Balanza!$N$8*(POWER(W104,2))))</f>
        <v/>
      </c>
      <c r="Y106" s="416" t="inlineStr">
        <is>
          <t>Normal, K=2 (/2)</t>
        </is>
      </c>
      <c r="Z106" s="413">
        <f>+X106/2</f>
        <v/>
      </c>
      <c r="AA106" s="414" t="inlineStr">
        <is>
          <t>---</t>
        </is>
      </c>
      <c r="AB106" s="415" t="inlineStr">
        <is>
          <t>---</t>
        </is>
      </c>
      <c r="AD106" s="340" t="n"/>
      <c r="AE106" s="340" t="n"/>
      <c r="AF106" s="340" t="n"/>
      <c r="AG106" s="340" t="n"/>
      <c r="AH106" s="340" t="n"/>
      <c r="AI106" s="340" t="n"/>
      <c r="AJ106" s="340" t="n"/>
      <c r="AK106" s="340" t="n"/>
      <c r="AL106" s="340" t="n"/>
    </row>
    <row r="107" ht="21.75" customHeight="1">
      <c r="K107" s="409" t="inlineStr">
        <is>
          <t>Resolución</t>
        </is>
      </c>
      <c r="L107" s="57" t="inlineStr">
        <is>
          <t>g</t>
        </is>
      </c>
      <c r="M107" s="410" t="n"/>
      <c r="N107" s="417">
        <f>+Balanza!$M$10</f>
        <v/>
      </c>
      <c r="O107" s="418" t="inlineStr">
        <is>
          <t>Rectangular</t>
        </is>
      </c>
      <c r="P107" s="419">
        <f>N107/SQRT(3)/2</f>
        <v/>
      </c>
      <c r="Q107" s="414" t="inlineStr">
        <is>
          <t>---</t>
        </is>
      </c>
      <c r="R107" s="415" t="inlineStr">
        <is>
          <t>---</t>
        </is>
      </c>
      <c r="T107" s="351" t="n"/>
      <c r="U107" s="409" t="inlineStr">
        <is>
          <t>Resolución</t>
        </is>
      </c>
      <c r="V107" s="57" t="inlineStr">
        <is>
          <t>g</t>
        </is>
      </c>
      <c r="W107" s="410" t="n"/>
      <c r="X107" s="417">
        <f>+Balanza!$M$10</f>
        <v/>
      </c>
      <c r="Y107" s="418" t="inlineStr">
        <is>
          <t>Rectangular</t>
        </is>
      </c>
      <c r="Z107" s="419">
        <f>X107/SQRT(3)/2</f>
        <v/>
      </c>
      <c r="AA107" s="414" t="inlineStr">
        <is>
          <t>---</t>
        </is>
      </c>
      <c r="AB107" s="415" t="inlineStr">
        <is>
          <t>---</t>
        </is>
      </c>
      <c r="AD107" s="340" t="n"/>
      <c r="AE107" s="340" t="n"/>
      <c r="AF107" s="340" t="n"/>
      <c r="AG107" s="340" t="n"/>
      <c r="AH107" s="340" t="n"/>
      <c r="AI107" s="340" t="n"/>
      <c r="AJ107" s="340" t="n"/>
      <c r="AK107" s="340" t="n"/>
      <c r="AL107" s="340" t="n"/>
    </row>
    <row r="108" ht="21.75" customHeight="1">
      <c r="K108" s="426" t="inlineStr">
        <is>
          <t>factor de presición</t>
        </is>
      </c>
      <c r="L108" s="429" t="inlineStr">
        <is>
          <t>%</t>
        </is>
      </c>
      <c r="M108" s="427">
        <f>+PRECISION!$J$6</f>
        <v/>
      </c>
      <c r="N108" s="428" t="n"/>
      <c r="O108" s="430" t="inlineStr">
        <is>
          <t>Norma, K=1</t>
        </is>
      </c>
      <c r="P108" s="431">
        <f>M108/SQRT(1)</f>
        <v/>
      </c>
      <c r="Q108" s="432" t="n">
        <v>1</v>
      </c>
      <c r="R108" s="433">
        <f>+P108*Q108</f>
        <v/>
      </c>
      <c r="T108" s="351" t="n"/>
      <c r="U108" s="426" t="inlineStr">
        <is>
          <t>factor de presición</t>
        </is>
      </c>
      <c r="V108" s="429" t="inlineStr">
        <is>
          <t>%</t>
        </is>
      </c>
      <c r="W108" s="427">
        <f>+PRECISION!$J$6</f>
        <v/>
      </c>
      <c r="X108" s="428" t="n"/>
      <c r="Y108" s="430" t="inlineStr">
        <is>
          <t>Norma, K=1</t>
        </is>
      </c>
      <c r="Z108" s="431">
        <f>W108/SQRT(1)</f>
        <v/>
      </c>
      <c r="AA108" s="432" t="n">
        <v>1</v>
      </c>
      <c r="AB108" s="433">
        <f>+Z108*AA108</f>
        <v/>
      </c>
      <c r="AD108" s="340" t="n"/>
      <c r="AE108" s="340" t="n"/>
      <c r="AF108" s="340" t="n"/>
      <c r="AG108" s="340" t="n"/>
      <c r="AH108" s="340" t="n"/>
      <c r="AI108" s="340" t="n"/>
      <c r="AJ108" s="340" t="n"/>
      <c r="AK108" s="340" t="n"/>
      <c r="AL108" s="340" t="n"/>
    </row>
    <row r="109" ht="21.75" customHeight="1" thickBot="1">
      <c r="K109" s="632" t="inlineStr">
        <is>
          <t>Incertidumbre Estándar Combinada</t>
        </is>
      </c>
      <c r="L109" s="491" t="inlineStr">
        <is>
          <t>%</t>
        </is>
      </c>
      <c r="M109" s="492" t="n"/>
      <c r="N109" s="492" t="n"/>
      <c r="O109" s="492" t="n"/>
      <c r="P109" s="493" t="n"/>
      <c r="Q109" s="494" t="n"/>
      <c r="R109" s="495">
        <f>SQRT((R96*R96)+(R100*R100)+(R104*R104)+(R108*R108))</f>
        <v/>
      </c>
      <c r="T109" s="351" t="n"/>
      <c r="U109" s="632" t="inlineStr">
        <is>
          <t>Incertidumbre Estándar Combinada</t>
        </is>
      </c>
      <c r="V109" s="491" t="inlineStr">
        <is>
          <t>%</t>
        </is>
      </c>
      <c r="W109" s="492" t="n"/>
      <c r="X109" s="492" t="n"/>
      <c r="Y109" s="492" t="n"/>
      <c r="Z109" s="493" t="n"/>
      <c r="AA109" s="494" t="n"/>
      <c r="AB109" s="495">
        <f>SQRT((AB96*AB96)+(AB100*AB100)+(AB104*AB104)+(AB108*AB108))</f>
        <v/>
      </c>
      <c r="AD109" s="340" t="n"/>
      <c r="AE109" s="340" t="n"/>
      <c r="AF109" s="340" t="n"/>
      <c r="AG109" s="340" t="n"/>
      <c r="AH109" s="340" t="n"/>
      <c r="AI109" s="340" t="n"/>
      <c r="AJ109" s="340" t="n"/>
      <c r="AK109" s="340" t="n"/>
      <c r="AL109" s="340" t="n"/>
    </row>
    <row r="110" ht="12.75" customHeight="1">
      <c r="K110" s="340" t="n"/>
      <c r="L110" s="340" t="n"/>
      <c r="M110" s="340" t="n"/>
      <c r="N110" s="340" t="n"/>
      <c r="O110" s="340" t="n"/>
      <c r="P110" s="340" t="n"/>
      <c r="Q110" s="340" t="n"/>
      <c r="R110" s="340" t="n"/>
      <c r="S110" s="340" t="n"/>
      <c r="T110" s="340" t="n"/>
      <c r="U110" s="340" t="n"/>
      <c r="V110" s="340" t="n"/>
      <c r="W110" s="340" t="n"/>
      <c r="X110" s="340" t="n"/>
      <c r="Y110" s="340" t="n"/>
      <c r="Z110" s="340" t="n"/>
      <c r="AA110" s="340" t="n"/>
      <c r="AB110" s="340" t="n"/>
      <c r="AC110" s="340" t="n"/>
      <c r="AD110" s="340" t="n"/>
      <c r="AE110" s="340" t="n"/>
      <c r="AF110" s="340" t="n"/>
      <c r="AG110" s="340" t="n"/>
      <c r="AH110" s="340" t="n"/>
      <c r="AI110" s="340" t="n"/>
      <c r="AJ110" s="340" t="n"/>
      <c r="AK110" s="340" t="n"/>
      <c r="AL110" s="340" t="n"/>
    </row>
    <row r="111" ht="30" customHeight="1">
      <c r="K111" s="607" t="inlineStr">
        <is>
          <t>Fuentes</t>
        </is>
      </c>
      <c r="L111" s="608" t="inlineStr">
        <is>
          <t>Unidades</t>
        </is>
      </c>
      <c r="M111" s="607" t="inlineStr">
        <is>
          <t>Valor</t>
        </is>
      </c>
      <c r="N111" s="608" t="inlineStr">
        <is>
          <t>Incertidumbre Original</t>
        </is>
      </c>
      <c r="O111" s="608" t="inlineStr">
        <is>
          <t>Distribución</t>
        </is>
      </c>
      <c r="P111" s="608" t="inlineStr">
        <is>
          <t>Incertidumbre Estándar u(xi)</t>
        </is>
      </c>
      <c r="Q111" s="608" t="inlineStr">
        <is>
          <t>Coeficiente de Sensibilidad</t>
        </is>
      </c>
      <c r="R111" s="608" t="inlineStr">
        <is>
          <t>Contribución ui(y)</t>
        </is>
      </c>
      <c r="S111" s="340" t="n"/>
      <c r="T111" s="340" t="n"/>
      <c r="U111" s="340" t="n"/>
      <c r="V111" s="340" t="n"/>
      <c r="W111" s="340" t="n"/>
      <c r="X111" s="340" t="n"/>
      <c r="Y111" s="340" t="n"/>
      <c r="Z111" s="340" t="n"/>
      <c r="AA111" s="340" t="n"/>
      <c r="AB111" s="340" t="n"/>
      <c r="AC111" s="340" t="n"/>
      <c r="AD111" s="340" t="n"/>
      <c r="AE111" s="340" t="n"/>
      <c r="AF111" s="340" t="n"/>
      <c r="AG111" s="340" t="n"/>
      <c r="AH111" s="340" t="n"/>
      <c r="AI111" s="340" t="n"/>
      <c r="AJ111" s="340" t="n"/>
      <c r="AK111" s="340" t="n"/>
      <c r="AL111" s="340" t="n"/>
    </row>
    <row r="112" ht="19.2" customHeight="1">
      <c r="K112" s="609" t="inlineStr">
        <is>
          <t>Area del piston</t>
        </is>
      </c>
      <c r="L112" s="817" t="inlineStr">
        <is>
          <t>mm2</t>
        </is>
      </c>
      <c r="M112" s="610">
        <f>3.14159*M113*M113/4</f>
        <v/>
      </c>
      <c r="N112" s="437" t="n"/>
      <c r="O112" s="437" t="n"/>
      <c r="P112" s="437" t="n"/>
      <c r="Q112" s="437" t="n"/>
      <c r="R112" s="437" t="n"/>
      <c r="S112" s="340" t="n"/>
      <c r="T112" s="340" t="n"/>
      <c r="U112" s="340" t="n"/>
      <c r="V112" s="340" t="n"/>
      <c r="W112" s="340" t="n"/>
      <c r="X112" s="340" t="n"/>
      <c r="Y112" s="340" t="n"/>
      <c r="Z112" s="340" t="n"/>
      <c r="AA112" s="340" t="n"/>
      <c r="AB112" s="340" t="n"/>
      <c r="AC112" s="340" t="n"/>
      <c r="AD112" s="340" t="n"/>
      <c r="AE112" s="340" t="n"/>
      <c r="AF112" s="340" t="n"/>
      <c r="AG112" s="340" t="n"/>
      <c r="AH112" s="340" t="n"/>
      <c r="AI112" s="340" t="n"/>
      <c r="AJ112" s="340" t="n"/>
      <c r="AK112" s="340" t="n"/>
      <c r="AL112" s="340" t="n"/>
    </row>
    <row r="113" ht="19.2" customHeight="1">
      <c r="K113" s="611" t="inlineStr">
        <is>
          <t>Diametro</t>
        </is>
      </c>
      <c r="L113" s="521" t="inlineStr">
        <is>
          <t>mm</t>
        </is>
      </c>
      <c r="M113" s="403">
        <f>+DATOS!$D$8</f>
        <v/>
      </c>
      <c r="N113" s="441" t="n"/>
      <c r="O113" s="441" t="n"/>
      <c r="P113" s="407">
        <f>SQRT((P114*P114)+(P115*P115)+(P116*P116))</f>
        <v/>
      </c>
      <c r="Q113" s="597">
        <f>3.14159*M113/2</f>
        <v/>
      </c>
      <c r="R113" s="598">
        <f>+P113*Q113</f>
        <v/>
      </c>
      <c r="S113" s="340" t="n"/>
      <c r="T113" s="340" t="n"/>
      <c r="U113" s="340" t="n"/>
      <c r="V113" s="340" t="n"/>
      <c r="W113" s="340" t="n"/>
      <c r="X113" s="340" t="n"/>
      <c r="Y113" s="340" t="n"/>
      <c r="Z113" s="340" t="n"/>
      <c r="AA113" s="340" t="n"/>
      <c r="AB113" s="340" t="n"/>
      <c r="AC113" s="340" t="n"/>
      <c r="AD113" s="340" t="n"/>
      <c r="AE113" s="340" t="n"/>
      <c r="AF113" s="340" t="n"/>
      <c r="AG113" s="340" t="n"/>
      <c r="AH113" s="340" t="n"/>
      <c r="AI113" s="340" t="n"/>
      <c r="AJ113" s="340" t="n"/>
      <c r="AK113" s="340" t="n"/>
      <c r="AL113" s="340" t="n"/>
    </row>
    <row r="114" ht="19.2" customHeight="1">
      <c r="K114" s="589" t="inlineStr">
        <is>
          <t xml:space="preserve">Repetibilidad </t>
        </is>
      </c>
      <c r="L114" s="221" t="inlineStr">
        <is>
          <t>mm</t>
        </is>
      </c>
      <c r="M114" s="372" t="n"/>
      <c r="N114" s="514">
        <f>+C77</f>
        <v/>
      </c>
      <c r="O114" s="412" t="inlineStr">
        <is>
          <t>Normal, K=1</t>
        </is>
      </c>
      <c r="P114" s="413">
        <f>+N114</f>
        <v/>
      </c>
      <c r="Q114" s="437" t="n"/>
      <c r="R114" s="437" t="n"/>
      <c r="S114" s="340" t="n"/>
      <c r="T114" s="340" t="n"/>
      <c r="U114" s="340" t="n"/>
      <c r="V114" s="340" t="n"/>
      <c r="W114" s="340" t="n"/>
      <c r="X114" s="340" t="n"/>
      <c r="Y114" s="340" t="n"/>
      <c r="Z114" s="340" t="n"/>
      <c r="AA114" s="340" t="n"/>
      <c r="AB114" s="340" t="n"/>
      <c r="AC114" s="340" t="n"/>
      <c r="AD114" s="340" t="n"/>
      <c r="AE114" s="340" t="n"/>
      <c r="AF114" s="340" t="n"/>
      <c r="AG114" s="340" t="n"/>
      <c r="AH114" s="340" t="n"/>
      <c r="AI114" s="340" t="n"/>
      <c r="AJ114" s="340" t="n"/>
      <c r="AK114" s="340" t="n"/>
      <c r="AL114" s="340" t="n"/>
    </row>
    <row r="115" ht="19.2" customHeight="1">
      <c r="K115" s="589" t="inlineStr">
        <is>
          <t>Certificado de Calibración</t>
        </is>
      </c>
      <c r="L115" s="221" t="inlineStr">
        <is>
          <t>mm</t>
        </is>
      </c>
      <c r="M115" s="515" t="n"/>
      <c r="N115" s="514" t="n">
        <v>0.008200000000000001</v>
      </c>
      <c r="O115" s="516" t="inlineStr">
        <is>
          <t>Normal, K=2</t>
        </is>
      </c>
      <c r="P115" s="517">
        <f>+N115/2</f>
        <v/>
      </c>
      <c r="Q115" s="437" t="n"/>
      <c r="R115" s="437" t="n"/>
      <c r="S115" s="340" t="n"/>
      <c r="T115" s="340" t="n"/>
      <c r="U115" s="340" t="n"/>
      <c r="V115" s="340" t="n"/>
      <c r="W115" s="340" t="n"/>
      <c r="X115" s="340" t="n"/>
      <c r="Y115" s="340" t="n"/>
      <c r="Z115" s="340" t="n"/>
      <c r="AA115" s="340" t="n"/>
      <c r="AB115" s="340" t="n"/>
      <c r="AC115" s="340" t="n"/>
      <c r="AD115" s="340" t="n"/>
      <c r="AE115" s="340" t="n"/>
      <c r="AF115" s="340" t="n"/>
      <c r="AG115" s="340" t="n"/>
      <c r="AH115" s="340" t="n"/>
      <c r="AI115" s="340" t="n"/>
      <c r="AJ115" s="340" t="n"/>
      <c r="AK115" s="340" t="n"/>
      <c r="AL115" s="340" t="n"/>
    </row>
    <row r="116" ht="19.2" customHeight="1">
      <c r="K116" s="589" t="inlineStr">
        <is>
          <t>Resolución</t>
        </is>
      </c>
      <c r="L116" s="221" t="inlineStr">
        <is>
          <t>mm</t>
        </is>
      </c>
      <c r="M116" s="515" t="n"/>
      <c r="N116" s="590" t="n">
        <v>0.01</v>
      </c>
      <c r="O116" s="520" t="inlineStr">
        <is>
          <t>Rectangular</t>
        </is>
      </c>
      <c r="P116" s="517">
        <f>+N116/SQRT(3)/2</f>
        <v/>
      </c>
      <c r="Q116" s="437" t="n"/>
      <c r="R116" s="437" t="n"/>
      <c r="S116" s="340" t="n"/>
      <c r="T116" s="340" t="n"/>
      <c r="U116" s="340" t="n"/>
      <c r="V116" s="340" t="n"/>
      <c r="W116" s="340" t="n"/>
      <c r="X116" s="340" t="n"/>
      <c r="Y116" s="340" t="n"/>
      <c r="Z116" s="340" t="n"/>
      <c r="AA116" s="340" t="n"/>
      <c r="AB116" s="340" t="n"/>
      <c r="AC116" s="340" t="n"/>
      <c r="AD116" s="340" t="n"/>
      <c r="AE116" s="340" t="n"/>
      <c r="AF116" s="340" t="n"/>
      <c r="AG116" s="340" t="n"/>
      <c r="AH116" s="340" t="n"/>
      <c r="AI116" s="340" t="n"/>
      <c r="AJ116" s="340" t="n"/>
      <c r="AK116" s="340" t="n"/>
      <c r="AL116" s="340" t="n"/>
    </row>
    <row r="117" ht="19.2" customHeight="1">
      <c r="K117" s="500" t="inlineStr">
        <is>
          <t>Incertidumbre Estándar Combinada</t>
        </is>
      </c>
      <c r="L117" s="500" t="n"/>
      <c r="M117" s="500" t="n"/>
      <c r="N117" s="501" t="n"/>
      <c r="O117" s="500" t="n"/>
      <c r="P117" s="501" t="n"/>
      <c r="Q117" s="612" t="inlineStr">
        <is>
          <t>mm2</t>
        </is>
      </c>
      <c r="R117" s="612">
        <f>+SQRT(R113^2)</f>
        <v/>
      </c>
      <c r="S117" s="340" t="n"/>
      <c r="T117" s="340" t="n"/>
      <c r="U117" s="340" t="n"/>
      <c r="V117" s="340" t="n"/>
      <c r="W117" s="340" t="n"/>
      <c r="X117" s="340" t="n"/>
      <c r="Y117" s="340" t="n"/>
      <c r="Z117" s="340" t="n"/>
      <c r="AA117" s="340" t="n"/>
      <c r="AB117" s="340" t="n"/>
      <c r="AC117" s="340" t="n"/>
      <c r="AD117" s="340" t="n"/>
      <c r="AE117" s="340" t="n"/>
      <c r="AF117" s="340" t="n"/>
      <c r="AG117" s="340" t="n"/>
      <c r="AH117" s="340" t="n"/>
      <c r="AI117" s="340" t="n"/>
      <c r="AJ117" s="340" t="n"/>
      <c r="AK117" s="340" t="n"/>
      <c r="AL117" s="340" t="n"/>
    </row>
    <row r="118" ht="19.2" customHeight="1">
      <c r="K118" s="500" t="inlineStr">
        <is>
          <t>Incertidumbre Expandida, K = 2</t>
        </is>
      </c>
      <c r="L118" s="500" t="n"/>
      <c r="M118" s="613" t="n"/>
      <c r="N118" s="501" t="n"/>
      <c r="O118" s="613" t="n"/>
      <c r="P118" s="501" t="n"/>
      <c r="Q118" s="612" t="inlineStr">
        <is>
          <t>mm2</t>
        </is>
      </c>
      <c r="R118" s="614">
        <f>R117*2</f>
        <v/>
      </c>
      <c r="S118" s="340" t="n"/>
      <c r="T118" s="340" t="n"/>
      <c r="U118" s="340" t="n"/>
      <c r="V118" s="340" t="n"/>
      <c r="W118" s="340" t="n"/>
      <c r="X118" s="340" t="n"/>
      <c r="Y118" s="340" t="n"/>
      <c r="Z118" s="340" t="n"/>
      <c r="AA118" s="340" t="n"/>
      <c r="AB118" s="340" t="n"/>
      <c r="AC118" s="340" t="n"/>
      <c r="AD118" s="340" t="n"/>
      <c r="AE118" s="340" t="n"/>
      <c r="AF118" s="340" t="n"/>
      <c r="AG118" s="340" t="n"/>
      <c r="AH118" s="340" t="n"/>
      <c r="AI118" s="340" t="n"/>
      <c r="AJ118" s="340" t="n"/>
      <c r="AK118" s="340" t="n"/>
      <c r="AL118" s="340" t="n"/>
    </row>
    <row r="119" ht="12.75" customHeight="1">
      <c r="K119" s="340" t="n"/>
      <c r="L119" s="340" t="n"/>
      <c r="M119" s="340" t="n"/>
      <c r="N119" s="340" t="n"/>
      <c r="O119" s="340" t="n"/>
      <c r="P119" s="340" t="n"/>
      <c r="Q119" s="340" t="n"/>
      <c r="R119" s="340" t="n"/>
      <c r="S119" s="340" t="n"/>
      <c r="T119" s="340" t="n"/>
      <c r="U119" s="340" t="n"/>
      <c r="V119" s="340" t="n"/>
      <c r="W119" s="340" t="n"/>
      <c r="X119" s="340" t="n"/>
      <c r="Y119" s="340" t="n"/>
      <c r="Z119" s="340" t="n"/>
      <c r="AA119" s="340" t="n"/>
      <c r="AB119" s="340" t="n"/>
      <c r="AC119" s="340" t="n"/>
      <c r="AD119" s="340" t="n"/>
      <c r="AE119" s="340" t="n"/>
      <c r="AF119" s="340" t="n"/>
      <c r="AG119" s="340" t="n"/>
      <c r="AH119" s="340" t="n"/>
      <c r="AI119" s="340" t="n"/>
      <c r="AJ119" s="340" t="n"/>
      <c r="AK119" s="340" t="n"/>
      <c r="AL119" s="340" t="n"/>
    </row>
    <row r="120" ht="12.75" customHeight="1" thickBot="1">
      <c r="K120" s="444" t="inlineStr">
        <is>
          <t>VOLUMEN MOLDE</t>
        </is>
      </c>
      <c r="L120" s="444" t="n"/>
      <c r="M120" s="351" t="n"/>
      <c r="N120" s="351" t="n"/>
      <c r="O120" s="351" t="n"/>
      <c r="P120" s="351" t="n"/>
      <c r="Q120" s="351" t="n"/>
      <c r="R120" s="351" t="n"/>
      <c r="S120" s="351" t="n"/>
      <c r="T120" s="351" t="n"/>
      <c r="U120" s="351" t="n"/>
      <c r="V120" s="351" t="n"/>
      <c r="W120" s="351" t="n"/>
      <c r="X120" s="351" t="n"/>
      <c r="Y120" s="351" t="n"/>
      <c r="Z120" s="351" t="n"/>
      <c r="AA120" s="351" t="n"/>
      <c r="AB120" s="351" t="n"/>
      <c r="AC120" s="351" t="n"/>
      <c r="AD120" s="351" t="n"/>
      <c r="AE120" s="351" t="n"/>
      <c r="AF120" s="351" t="n"/>
      <c r="AG120" s="351" t="n"/>
      <c r="AH120" s="351" t="n"/>
      <c r="AI120" s="351" t="n"/>
      <c r="AJ120" s="351" t="n"/>
      <c r="AK120" s="351" t="n"/>
      <c r="AL120" s="340" t="n"/>
    </row>
    <row r="121" ht="36" customHeight="1" thickBot="1">
      <c r="K121" s="445" t="inlineStr">
        <is>
          <t>Fuentes</t>
        </is>
      </c>
      <c r="L121" s="446" t="inlineStr">
        <is>
          <t>Unidades</t>
        </is>
      </c>
      <c r="M121" s="445" t="inlineStr">
        <is>
          <t>Valor</t>
        </is>
      </c>
      <c r="N121" s="447" t="inlineStr">
        <is>
          <t>Incertidumbre Original</t>
        </is>
      </c>
      <c r="O121" s="447" t="inlineStr">
        <is>
          <t>Distribución</t>
        </is>
      </c>
      <c r="P121" s="447" t="inlineStr">
        <is>
          <t>Incertidumbre Estándar u(xi)</t>
        </is>
      </c>
      <c r="Q121" s="447" t="inlineStr">
        <is>
          <t>Coeficiente de Sensibilidad</t>
        </is>
      </c>
      <c r="R121" s="448" t="inlineStr">
        <is>
          <t>Contribución ui(y)</t>
        </is>
      </c>
      <c r="T121" s="351" t="n"/>
      <c r="U121" s="445" t="inlineStr">
        <is>
          <t>Fuentes</t>
        </is>
      </c>
      <c r="V121" s="446" t="inlineStr">
        <is>
          <t>Unidades</t>
        </is>
      </c>
      <c r="W121" s="445" t="inlineStr">
        <is>
          <t>Valor</t>
        </is>
      </c>
      <c r="X121" s="447" t="inlineStr">
        <is>
          <t>Incertidumbre Original</t>
        </is>
      </c>
      <c r="Y121" s="447" t="inlineStr">
        <is>
          <t>Distribución</t>
        </is>
      </c>
      <c r="Z121" s="447" t="inlineStr">
        <is>
          <t>Incertidumbre Estándar u(xi)</t>
        </is>
      </c>
      <c r="AA121" s="447" t="inlineStr">
        <is>
          <t>Coeficiente de Sensibilidad</t>
        </is>
      </c>
      <c r="AB121" s="448" t="inlineStr">
        <is>
          <t>Contribución ui(y)</t>
        </is>
      </c>
      <c r="AD121" s="351" t="n"/>
      <c r="AE121" s="351" t="n"/>
      <c r="AF121" s="351" t="n"/>
      <c r="AG121" s="351" t="n"/>
      <c r="AH121" s="351" t="n"/>
      <c r="AI121" s="351" t="n"/>
      <c r="AJ121" s="351" t="n"/>
      <c r="AK121" s="351" t="n"/>
      <c r="AL121" s="340" t="n"/>
    </row>
    <row r="122" ht="14.4" customHeight="1">
      <c r="K122" s="530" t="inlineStr">
        <is>
          <t>Volumen molde</t>
        </is>
      </c>
      <c r="L122" s="531" t="inlineStr">
        <is>
          <t>mm3</t>
        </is>
      </c>
      <c r="M122" s="532">
        <f>3.14159*M123*M123*M127/4</f>
        <v/>
      </c>
      <c r="N122" s="533" t="inlineStr">
        <is>
          <t>---</t>
        </is>
      </c>
      <c r="O122" s="533" t="inlineStr">
        <is>
          <t>---</t>
        </is>
      </c>
      <c r="P122" s="533" t="inlineStr">
        <is>
          <t>---</t>
        </is>
      </c>
      <c r="Q122" s="533" t="inlineStr">
        <is>
          <t>---</t>
        </is>
      </c>
      <c r="R122" s="534" t="inlineStr">
        <is>
          <t>---</t>
        </is>
      </c>
      <c r="T122" s="351" t="n"/>
      <c r="U122" s="530" t="inlineStr">
        <is>
          <t>Volumen molde</t>
        </is>
      </c>
      <c r="V122" s="531" t="inlineStr">
        <is>
          <t>mm3</t>
        </is>
      </c>
      <c r="W122" s="532">
        <f>3.14159*W123*W123*W127/4</f>
        <v/>
      </c>
      <c r="X122" s="533" t="inlineStr">
        <is>
          <t>---</t>
        </is>
      </c>
      <c r="Y122" s="533" t="inlineStr">
        <is>
          <t>---</t>
        </is>
      </c>
      <c r="Z122" s="533" t="inlineStr">
        <is>
          <t>---</t>
        </is>
      </c>
      <c r="AA122" s="533" t="inlineStr">
        <is>
          <t>---</t>
        </is>
      </c>
      <c r="AB122" s="534" t="inlineStr">
        <is>
          <t>---</t>
        </is>
      </c>
      <c r="AD122" s="950" t="n"/>
      <c r="AE122" s="950" t="n"/>
      <c r="AF122" s="950" t="n"/>
      <c r="AG122" s="950" t="n"/>
      <c r="AH122" s="950" t="n"/>
      <c r="AI122" s="950" t="n"/>
      <c r="AJ122" s="950" t="n"/>
      <c r="AK122" s="950" t="n"/>
      <c r="AL122" s="340" t="n"/>
    </row>
    <row r="123" ht="14.4" customHeight="1">
      <c r="K123" s="528" t="inlineStr">
        <is>
          <t>Diametro</t>
        </is>
      </c>
      <c r="L123" s="521" t="inlineStr">
        <is>
          <t>mm</t>
        </is>
      </c>
      <c r="M123" s="403">
        <f>+LOOKUP(L134,K137:K148,L137:L148)</f>
        <v/>
      </c>
      <c r="N123" s="522" t="n"/>
      <c r="O123" s="523" t="inlineStr">
        <is>
          <t>---</t>
        </is>
      </c>
      <c r="P123" s="407">
        <f>SQRT((P124*P124)+(P125*P125)+(P126*P126))</f>
        <v/>
      </c>
      <c r="Q123" s="524">
        <f>3.14159*M127*M123/2</f>
        <v/>
      </c>
      <c r="R123" s="529">
        <f>+Q123*P123</f>
        <v/>
      </c>
      <c r="T123" s="351" t="n"/>
      <c r="U123" s="528" t="inlineStr">
        <is>
          <t>Diametro</t>
        </is>
      </c>
      <c r="V123" s="521" t="inlineStr">
        <is>
          <t>mm</t>
        </is>
      </c>
      <c r="W123" s="403">
        <f>+LOOKUP(W134,K137:K148,L137:L148)</f>
        <v/>
      </c>
      <c r="X123" s="522" t="n"/>
      <c r="Y123" s="523" t="inlineStr">
        <is>
          <t>---</t>
        </is>
      </c>
      <c r="Z123" s="407">
        <f>SQRT((Z124*Z124)+(Z125*Z125)+(Z126*Z126))</f>
        <v/>
      </c>
      <c r="AA123" s="524">
        <f>3.14159*W127*W123/2</f>
        <v/>
      </c>
      <c r="AB123" s="559">
        <f>+AA123*Z123</f>
        <v/>
      </c>
      <c r="AD123" s="950" t="n"/>
      <c r="AE123" s="950" t="n"/>
      <c r="AF123" s="950" t="n"/>
      <c r="AG123" s="950" t="n"/>
      <c r="AH123" s="950" t="n"/>
      <c r="AI123" s="950" t="n"/>
      <c r="AJ123" s="950" t="n"/>
      <c r="AK123" s="950" t="n"/>
      <c r="AL123" s="340" t="n"/>
    </row>
    <row r="124" ht="14.4" customHeight="1">
      <c r="K124" s="526" t="inlineStr">
        <is>
          <t xml:space="preserve">Repetibilidad </t>
        </is>
      </c>
      <c r="L124" s="221" t="inlineStr">
        <is>
          <t>mm</t>
        </is>
      </c>
      <c r="M124" s="372" t="n"/>
      <c r="N124" s="514">
        <f>+Q146</f>
        <v/>
      </c>
      <c r="O124" s="412" t="inlineStr">
        <is>
          <t>Normal, K=1</t>
        </is>
      </c>
      <c r="P124" s="413">
        <f>+N124</f>
        <v/>
      </c>
      <c r="Q124" s="414" t="inlineStr">
        <is>
          <t>---</t>
        </is>
      </c>
      <c r="R124" s="415" t="inlineStr">
        <is>
          <t>---</t>
        </is>
      </c>
      <c r="T124" s="351" t="n"/>
      <c r="U124" s="526" t="inlineStr">
        <is>
          <t xml:space="preserve">Repetibilidad </t>
        </is>
      </c>
      <c r="V124" s="221" t="inlineStr">
        <is>
          <t>mm</t>
        </is>
      </c>
      <c r="W124" s="372" t="n"/>
      <c r="X124" s="514">
        <f>+Q168</f>
        <v/>
      </c>
      <c r="Y124" s="412" t="inlineStr">
        <is>
          <t>Normal, K=1</t>
        </is>
      </c>
      <c r="Z124" s="413">
        <f>+X124</f>
        <v/>
      </c>
      <c r="AA124" s="414" t="inlineStr">
        <is>
          <t>---</t>
        </is>
      </c>
      <c r="AB124" s="415" t="inlineStr">
        <is>
          <t>---</t>
        </is>
      </c>
      <c r="AD124" s="950" t="n"/>
      <c r="AE124" s="950" t="n"/>
      <c r="AF124" s="950" t="n"/>
      <c r="AG124" s="950" t="n"/>
      <c r="AH124" s="950" t="n"/>
      <c r="AI124" s="950" t="n"/>
      <c r="AJ124" s="950" t="n"/>
      <c r="AK124" s="950" t="n"/>
      <c r="AL124" s="340" t="n"/>
    </row>
    <row r="125" ht="14.4" customHeight="1">
      <c r="K125" s="526" t="inlineStr">
        <is>
          <t>Certificado de Calibración</t>
        </is>
      </c>
      <c r="L125" s="221" t="inlineStr">
        <is>
          <t>mm</t>
        </is>
      </c>
      <c r="M125" s="515" t="n"/>
      <c r="N125" s="514" t="n">
        <v>0.0086</v>
      </c>
      <c r="O125" s="516" t="inlineStr">
        <is>
          <t>Normal, K=2</t>
        </is>
      </c>
      <c r="P125" s="517">
        <f>+N125/2</f>
        <v/>
      </c>
      <c r="Q125" s="518" t="inlineStr">
        <is>
          <t>---</t>
        </is>
      </c>
      <c r="R125" s="527" t="inlineStr">
        <is>
          <t>---</t>
        </is>
      </c>
      <c r="T125" s="351" t="n"/>
      <c r="U125" s="526" t="inlineStr">
        <is>
          <t>Certificado de Calibración</t>
        </is>
      </c>
      <c r="V125" s="221" t="inlineStr">
        <is>
          <t>mm</t>
        </is>
      </c>
      <c r="W125" s="515" t="n"/>
      <c r="X125" s="514" t="n">
        <v>0.0086</v>
      </c>
      <c r="Y125" s="516" t="inlineStr">
        <is>
          <t>Normal, K=2</t>
        </is>
      </c>
      <c r="Z125" s="517">
        <f>+X125/2</f>
        <v/>
      </c>
      <c r="AA125" s="518" t="inlineStr">
        <is>
          <t>---</t>
        </is>
      </c>
      <c r="AB125" s="527" t="inlineStr">
        <is>
          <t>---</t>
        </is>
      </c>
      <c r="AD125" s="950" t="n"/>
      <c r="AE125" s="950" t="n"/>
      <c r="AF125" s="950" t="n"/>
      <c r="AG125" s="950" t="n"/>
      <c r="AH125" s="950" t="n"/>
      <c r="AI125" s="950" t="n"/>
      <c r="AJ125" s="950" t="n"/>
      <c r="AK125" s="950" t="n"/>
      <c r="AL125" s="340" t="n"/>
    </row>
    <row r="126" ht="14.4" customHeight="1">
      <c r="K126" s="526" t="inlineStr">
        <is>
          <t>Resolución</t>
        </is>
      </c>
      <c r="L126" s="221" t="inlineStr">
        <is>
          <t>mm</t>
        </is>
      </c>
      <c r="M126" s="515" t="n"/>
      <c r="N126" s="519" t="n">
        <v>0.01</v>
      </c>
      <c r="O126" s="520" t="inlineStr">
        <is>
          <t>Rectangular</t>
        </is>
      </c>
      <c r="P126" s="517">
        <f>+N126/SQRT(3)/2</f>
        <v/>
      </c>
      <c r="Q126" s="518" t="inlineStr">
        <is>
          <t>---</t>
        </is>
      </c>
      <c r="R126" s="527" t="inlineStr">
        <is>
          <t>---</t>
        </is>
      </c>
      <c r="T126" s="351" t="n"/>
      <c r="U126" s="526" t="inlineStr">
        <is>
          <t>Resolución</t>
        </is>
      </c>
      <c r="V126" s="221" t="inlineStr">
        <is>
          <t>mm</t>
        </is>
      </c>
      <c r="W126" s="515" t="n"/>
      <c r="X126" s="519" t="n">
        <v>0.01</v>
      </c>
      <c r="Y126" s="520" t="inlineStr">
        <is>
          <t>Rectangular</t>
        </is>
      </c>
      <c r="Z126" s="517">
        <f>+X126/SQRT(3)/2</f>
        <v/>
      </c>
      <c r="AA126" s="518" t="inlineStr">
        <is>
          <t>---</t>
        </is>
      </c>
      <c r="AB126" s="527" t="inlineStr">
        <is>
          <t>---</t>
        </is>
      </c>
      <c r="AD126" s="950" t="n"/>
      <c r="AE126" s="950" t="n"/>
      <c r="AF126" s="950" t="n"/>
      <c r="AG126" s="950" t="n"/>
      <c r="AH126" s="950" t="n"/>
      <c r="AI126" s="950" t="n"/>
      <c r="AJ126" s="950" t="n"/>
      <c r="AK126" s="950" t="n"/>
      <c r="AL126" s="340" t="n"/>
    </row>
    <row r="127" ht="14.4" customHeight="1">
      <c r="K127" s="525" t="inlineStr">
        <is>
          <t>Altura</t>
        </is>
      </c>
      <c r="L127" s="521" t="inlineStr">
        <is>
          <t>mm</t>
        </is>
      </c>
      <c r="M127" s="403">
        <f>+LOOKUP(L134,K137:K148,M137:M148)</f>
        <v/>
      </c>
      <c r="N127" s="404" t="inlineStr">
        <is>
          <t>---</t>
        </is>
      </c>
      <c r="O127" s="406" t="inlineStr">
        <is>
          <t>---</t>
        </is>
      </c>
      <c r="P127" s="407">
        <f>SQRT((P128*P128)+(P129*P129)+(P130*P130))</f>
        <v/>
      </c>
      <c r="Q127" s="406">
        <f>3.14159*POWER(M123,2)/4</f>
        <v/>
      </c>
      <c r="R127" s="408">
        <f>+Q127*P127</f>
        <v/>
      </c>
      <c r="T127" s="351" t="n"/>
      <c r="U127" s="525" t="inlineStr">
        <is>
          <t>Altura</t>
        </is>
      </c>
      <c r="V127" s="521" t="inlineStr">
        <is>
          <t>mm</t>
        </is>
      </c>
      <c r="W127" s="403">
        <f>+LOOKUP(W134,K137:K148,M137:M148)</f>
        <v/>
      </c>
      <c r="X127" s="404" t="inlineStr">
        <is>
          <t>---</t>
        </is>
      </c>
      <c r="Y127" s="406" t="inlineStr">
        <is>
          <t>---</t>
        </is>
      </c>
      <c r="Z127" s="407">
        <f>SQRT((Z128*Z128)+(Z129*Z129)+(Z130*Z130))</f>
        <v/>
      </c>
      <c r="AA127" s="406">
        <f>3.14159*POWER(W123,2)/4</f>
        <v/>
      </c>
      <c r="AB127" s="408">
        <f>+AA127*Z127</f>
        <v/>
      </c>
      <c r="AD127" s="950" t="n"/>
      <c r="AE127" s="950" t="n"/>
      <c r="AF127" s="950" t="n"/>
      <c r="AG127" s="950" t="n"/>
      <c r="AH127" s="950" t="n"/>
      <c r="AI127" s="950" t="n"/>
      <c r="AJ127" s="950" t="n"/>
      <c r="AK127" s="950" t="n"/>
      <c r="AL127" s="340" t="n"/>
    </row>
    <row r="128" ht="14.4" customHeight="1">
      <c r="K128" s="526" t="inlineStr">
        <is>
          <t xml:space="preserve">Repetibilidad </t>
        </is>
      </c>
      <c r="L128" s="221" t="inlineStr">
        <is>
          <t>mm</t>
        </is>
      </c>
      <c r="M128" s="372" t="n"/>
      <c r="N128" s="514">
        <f>+S146</f>
        <v/>
      </c>
      <c r="O128" s="412" t="inlineStr">
        <is>
          <t>Normal, K=1</t>
        </is>
      </c>
      <c r="P128" s="413">
        <f>+N128</f>
        <v/>
      </c>
      <c r="Q128" s="414" t="inlineStr">
        <is>
          <t>---</t>
        </is>
      </c>
      <c r="R128" s="415" t="inlineStr">
        <is>
          <t>---</t>
        </is>
      </c>
      <c r="T128" s="351" t="n"/>
      <c r="U128" s="526" t="inlineStr">
        <is>
          <t xml:space="preserve">Repetibilidad </t>
        </is>
      </c>
      <c r="V128" s="221" t="inlineStr">
        <is>
          <t>mm</t>
        </is>
      </c>
      <c r="W128" s="372" t="n"/>
      <c r="X128" s="514">
        <f>+S168</f>
        <v/>
      </c>
      <c r="Y128" s="412" t="inlineStr">
        <is>
          <t>Normal, K=1</t>
        </is>
      </c>
      <c r="Z128" s="413">
        <f>+X128</f>
        <v/>
      </c>
      <c r="AA128" s="414" t="inlineStr">
        <is>
          <t>---</t>
        </is>
      </c>
      <c r="AB128" s="415" t="inlineStr">
        <is>
          <t>---</t>
        </is>
      </c>
      <c r="AD128" s="950" t="n"/>
      <c r="AE128" s="950" t="n"/>
      <c r="AF128" s="950" t="n"/>
      <c r="AG128" s="950" t="n"/>
      <c r="AH128" s="950" t="n"/>
      <c r="AI128" s="950" t="n"/>
      <c r="AJ128" s="950" t="n"/>
      <c r="AK128" s="950" t="n"/>
      <c r="AL128" s="340" t="n"/>
    </row>
    <row r="129" ht="14.4" customHeight="1">
      <c r="K129" s="526" t="inlineStr">
        <is>
          <t>Certificado de Calibración</t>
        </is>
      </c>
      <c r="L129" s="221" t="inlineStr">
        <is>
          <t>mm</t>
        </is>
      </c>
      <c r="M129" s="515" t="n"/>
      <c r="N129" s="514" t="n">
        <v>0.0091</v>
      </c>
      <c r="O129" s="516" t="inlineStr">
        <is>
          <t>Normal, K=2</t>
        </is>
      </c>
      <c r="P129" s="517">
        <f>+N129/2</f>
        <v/>
      </c>
      <c r="Q129" s="518" t="inlineStr">
        <is>
          <t>---</t>
        </is>
      </c>
      <c r="R129" s="527" t="inlineStr">
        <is>
          <t>---</t>
        </is>
      </c>
      <c r="T129" s="351" t="n"/>
      <c r="U129" s="526" t="inlineStr">
        <is>
          <t>Certificado de Calibración</t>
        </is>
      </c>
      <c r="V129" s="221" t="inlineStr">
        <is>
          <t>mm</t>
        </is>
      </c>
      <c r="W129" s="515" t="n"/>
      <c r="X129" s="514" t="n">
        <v>0.0091</v>
      </c>
      <c r="Y129" s="516" t="inlineStr">
        <is>
          <t>Normal, K=2</t>
        </is>
      </c>
      <c r="Z129" s="517">
        <f>+X129/2</f>
        <v/>
      </c>
      <c r="AA129" s="518" t="inlineStr">
        <is>
          <t>---</t>
        </is>
      </c>
      <c r="AB129" s="527" t="inlineStr">
        <is>
          <t>---</t>
        </is>
      </c>
      <c r="AD129" s="950" t="n"/>
      <c r="AE129" s="950" t="n"/>
      <c r="AF129" s="950" t="n"/>
      <c r="AG129" s="950" t="n"/>
      <c r="AH129" s="950" t="n"/>
      <c r="AI129" s="950" t="n"/>
      <c r="AJ129" s="950" t="n"/>
      <c r="AK129" s="950" t="n"/>
      <c r="AL129" s="340" t="n"/>
    </row>
    <row r="130" ht="14.4" customHeight="1">
      <c r="K130" s="526" t="inlineStr">
        <is>
          <t>Resolución</t>
        </is>
      </c>
      <c r="L130" s="221" t="inlineStr">
        <is>
          <t>mm</t>
        </is>
      </c>
      <c r="M130" s="515" t="n"/>
      <c r="N130" s="519" t="n">
        <v>0.01</v>
      </c>
      <c r="O130" s="520" t="inlineStr">
        <is>
          <t>Rectangular</t>
        </is>
      </c>
      <c r="P130" s="517">
        <f>+N130/SQRT(3)/2</f>
        <v/>
      </c>
      <c r="Q130" s="518" t="inlineStr">
        <is>
          <t>---</t>
        </is>
      </c>
      <c r="R130" s="527" t="inlineStr">
        <is>
          <t>---</t>
        </is>
      </c>
      <c r="T130" s="351" t="n"/>
      <c r="U130" s="526" t="inlineStr">
        <is>
          <t>Resolución</t>
        </is>
      </c>
      <c r="V130" s="221" t="inlineStr">
        <is>
          <t>mm</t>
        </is>
      </c>
      <c r="W130" s="515" t="n"/>
      <c r="X130" s="519" t="n">
        <v>0.01</v>
      </c>
      <c r="Y130" s="520" t="inlineStr">
        <is>
          <t>Rectangular</t>
        </is>
      </c>
      <c r="Z130" s="517">
        <f>+X130/SQRT(3)/2</f>
        <v/>
      </c>
      <c r="AA130" s="518" t="inlineStr">
        <is>
          <t>---</t>
        </is>
      </c>
      <c r="AB130" s="527" t="inlineStr">
        <is>
          <t>---</t>
        </is>
      </c>
      <c r="AD130" s="950" t="n"/>
      <c r="AE130" s="950" t="n"/>
      <c r="AF130" s="950" t="n"/>
      <c r="AG130" s="950" t="n"/>
      <c r="AH130" s="950" t="n"/>
      <c r="AI130" s="950" t="n"/>
      <c r="AJ130" s="950" t="n"/>
      <c r="AK130" s="950" t="n"/>
      <c r="AL130" s="340" t="n"/>
    </row>
    <row r="131" ht="14.4" customHeight="1">
      <c r="K131" s="511" t="inlineStr">
        <is>
          <t>Incertidumbre Estándar Combinada</t>
        </is>
      </c>
      <c r="L131" s="512" t="n"/>
      <c r="M131" s="512" t="n"/>
      <c r="N131" s="513" t="n"/>
      <c r="O131" s="512" t="n"/>
      <c r="P131" s="513" t="n"/>
      <c r="Q131" s="544" t="inlineStr">
        <is>
          <t>mm3</t>
        </is>
      </c>
      <c r="R131" s="546">
        <f>+SQRT(R123^2+R127^2)</f>
        <v/>
      </c>
      <c r="T131" s="340" t="n"/>
      <c r="U131" s="511" t="inlineStr">
        <is>
          <t>Incertidumbre Estándar Combinada</t>
        </is>
      </c>
      <c r="V131" s="512" t="n"/>
      <c r="W131" s="512" t="n"/>
      <c r="X131" s="513" t="n"/>
      <c r="Y131" s="512" t="n"/>
      <c r="Z131" s="513" t="n"/>
      <c r="AA131" s="544" t="inlineStr">
        <is>
          <t>mm3</t>
        </is>
      </c>
      <c r="AB131" s="546">
        <f>+SQRT(AB123^2+AB127^2)</f>
        <v/>
      </c>
      <c r="AD131" s="950" t="n"/>
      <c r="AE131" s="950" t="n"/>
      <c r="AF131" s="340" t="n"/>
      <c r="AG131" s="340" t="n"/>
      <c r="AH131" s="340" t="n"/>
      <c r="AI131" s="340" t="n"/>
      <c r="AJ131" s="340" t="n"/>
      <c r="AK131" s="340" t="n"/>
      <c r="AL131" s="340" t="n"/>
    </row>
    <row r="132" ht="14.4" customHeight="1" thickBot="1">
      <c r="K132" s="452" t="inlineStr">
        <is>
          <t>Incertidumbre Expandida, K = 2</t>
        </is>
      </c>
      <c r="L132" s="453" t="n"/>
      <c r="M132" s="453" t="n"/>
      <c r="N132" s="454" t="n"/>
      <c r="O132" s="453" t="n"/>
      <c r="P132" s="454" t="n"/>
      <c r="Q132" s="545" t="inlineStr">
        <is>
          <t>mm3</t>
        </is>
      </c>
      <c r="R132" s="547">
        <f>R131*2</f>
        <v/>
      </c>
      <c r="T132" s="340" t="n"/>
      <c r="U132" s="452" t="inlineStr">
        <is>
          <t>Incertidumbre Expandida, K = 2</t>
        </is>
      </c>
      <c r="V132" s="453" t="n"/>
      <c r="W132" s="453" t="n"/>
      <c r="X132" s="454" t="n"/>
      <c r="Y132" s="453" t="n"/>
      <c r="Z132" s="454" t="n"/>
      <c r="AA132" s="545" t="inlineStr">
        <is>
          <t>mm3</t>
        </is>
      </c>
      <c r="AB132" s="547">
        <f>AB131*2</f>
        <v/>
      </c>
      <c r="AD132" s="950" t="n"/>
      <c r="AE132" s="950" t="n"/>
      <c r="AF132" s="340" t="n"/>
      <c r="AG132" s="340" t="n"/>
      <c r="AH132" s="340" t="n"/>
      <c r="AI132" s="340" t="n"/>
      <c r="AJ132" s="340" t="n"/>
      <c r="AK132" s="340" t="n"/>
      <c r="AL132" s="340" t="n"/>
    </row>
    <row r="133" ht="12.75" customHeight="1">
      <c r="K133" s="340" t="n"/>
      <c r="L133" s="340" t="n"/>
      <c r="M133" s="340" t="n"/>
      <c r="N133" s="340" t="n"/>
      <c r="O133" s="340" t="n"/>
      <c r="P133" s="340" t="n"/>
      <c r="Q133" s="340" t="n"/>
      <c r="R133" s="340" t="n"/>
      <c r="S133" s="340" t="n"/>
      <c r="T133" s="340" t="n"/>
      <c r="U133" s="340" t="n"/>
      <c r="V133" s="340" t="n"/>
      <c r="W133" s="340" t="n"/>
      <c r="X133" s="950" t="n"/>
      <c r="Y133" s="950" t="n"/>
      <c r="Z133" s="950" t="n"/>
      <c r="AA133" s="950" t="n"/>
      <c r="AB133" s="950" t="n"/>
      <c r="AC133" s="950" t="n"/>
      <c r="AD133" s="950" t="n"/>
      <c r="AE133" s="950" t="n"/>
      <c r="AF133" s="340" t="n"/>
      <c r="AG133" s="340" t="n"/>
      <c r="AH133" s="340" t="n"/>
      <c r="AI133" s="340" t="n"/>
      <c r="AJ133" s="340" t="n"/>
      <c r="AK133" s="340" t="n"/>
      <c r="AL133" s="340" t="n"/>
    </row>
    <row r="134" ht="14.4" customFormat="1" customHeight="1" s="950">
      <c r="A134" s="509" t="n"/>
      <c r="B134" s="509" t="n"/>
      <c r="C134" s="509" t="n"/>
      <c r="D134" s="509" t="n"/>
      <c r="E134" s="509" t="n"/>
      <c r="F134" s="509" t="n"/>
      <c r="G134" s="509" t="n"/>
      <c r="H134" s="509" t="n"/>
      <c r="I134" s="509" t="n"/>
      <c r="J134" s="509" t="n"/>
      <c r="K134" s="539" t="inlineStr">
        <is>
          <t>MOLDE CBR</t>
        </is>
      </c>
      <c r="L134" s="573">
        <f>+DATOS!D17</f>
        <v/>
      </c>
      <c r="M134" s="340" t="n"/>
      <c r="O134" s="340" t="n"/>
      <c r="P134" s="340" t="n"/>
      <c r="Q134" s="340" t="n"/>
      <c r="R134" s="340" t="n"/>
      <c r="S134" s="340" t="n"/>
      <c r="T134" s="340" t="n"/>
      <c r="U134" s="539" t="inlineStr">
        <is>
          <t>MOLDE CBR</t>
        </is>
      </c>
      <c r="V134" s="539" t="n"/>
      <c r="W134" s="573">
        <f>+DATOS!H17</f>
        <v/>
      </c>
      <c r="AF134" s="340" t="n"/>
      <c r="AG134" s="340" t="n"/>
      <c r="AH134" s="340" t="n"/>
      <c r="AI134" s="340" t="n"/>
      <c r="AJ134" s="340" t="n"/>
      <c r="AK134" s="340" t="n"/>
      <c r="AL134" s="340" t="n"/>
    </row>
    <row r="135" ht="14.4" customFormat="1" customHeight="1" s="950">
      <c r="A135" s="509" t="n"/>
      <c r="B135" s="509" t="n"/>
      <c r="C135" s="509" t="n"/>
      <c r="D135" s="509" t="n"/>
      <c r="E135" s="509" t="n"/>
      <c r="F135" s="509" t="n"/>
      <c r="G135" s="509" t="n"/>
      <c r="H135" s="509" t="n"/>
      <c r="I135" s="509" t="n"/>
      <c r="J135" s="509" t="n"/>
      <c r="M135" s="340" t="n"/>
      <c r="O135" s="340" t="n"/>
      <c r="P135" s="340" t="n"/>
      <c r="Q135" s="340" t="n"/>
      <c r="R135" s="340" t="n"/>
      <c r="S135" s="340" t="n"/>
      <c r="T135" s="340" t="n"/>
      <c r="U135" s="340" t="n"/>
      <c r="V135" s="340" t="n"/>
      <c r="W135" s="340" t="n"/>
      <c r="AF135" s="340" t="n"/>
      <c r="AG135" s="340" t="n"/>
      <c r="AH135" s="340" t="n"/>
      <c r="AI135" s="340" t="n"/>
      <c r="AJ135" s="340" t="n"/>
      <c r="AK135" s="340" t="n"/>
      <c r="AL135" s="340" t="n"/>
    </row>
    <row r="136" ht="14.4" customFormat="1" customHeight="1" s="950">
      <c r="A136" s="509" t="n"/>
      <c r="B136" s="509" t="n"/>
      <c r="C136" s="509" t="n"/>
      <c r="D136" s="509" t="n"/>
      <c r="E136" s="509" t="n"/>
      <c r="F136" s="509" t="n"/>
      <c r="G136" s="509" t="n"/>
      <c r="H136" s="509" t="n"/>
      <c r="I136" s="509" t="n"/>
      <c r="J136" s="509" t="n"/>
      <c r="K136" s="539" t="inlineStr">
        <is>
          <t>MOLDE CBR</t>
        </is>
      </c>
      <c r="L136" s="539" t="inlineStr">
        <is>
          <t xml:space="preserve">DIAMETRO </t>
        </is>
      </c>
      <c r="M136" s="539" t="inlineStr">
        <is>
          <t xml:space="preserve">ALTURA </t>
        </is>
      </c>
      <c r="P136" s="669" t="n"/>
      <c r="Q136" s="669" t="n"/>
      <c r="R136" s="670" t="n"/>
      <c r="S136" s="671" t="n"/>
      <c r="AF136" s="340" t="n"/>
      <c r="AG136" s="340" t="n"/>
      <c r="AH136" s="340" t="n"/>
      <c r="AI136" s="340" t="n"/>
      <c r="AJ136" s="340" t="n"/>
      <c r="AK136" s="340" t="n"/>
      <c r="AL136" s="340" t="n"/>
    </row>
    <row r="137" ht="14.4" customFormat="1" customHeight="1" s="950">
      <c r="A137" s="509" t="n"/>
      <c r="B137" s="509" t="n"/>
      <c r="C137" s="509" t="n"/>
      <c r="D137" s="509" t="n"/>
      <c r="E137" s="509" t="n"/>
      <c r="F137" s="509" t="n"/>
      <c r="G137" s="509" t="n"/>
      <c r="H137" s="509" t="n"/>
      <c r="I137" s="509" t="n"/>
      <c r="J137" s="509" t="n"/>
      <c r="K137" s="817">
        <f>+DATOS!Q4</f>
        <v/>
      </c>
      <c r="L137" s="510">
        <f>+DATOS!U4</f>
        <v/>
      </c>
      <c r="M137" s="510">
        <f>+DATOS!T4</f>
        <v/>
      </c>
      <c r="P137" s="130" t="n"/>
      <c r="Q137" s="130" t="n"/>
      <c r="R137" s="130" t="n"/>
      <c r="S137" s="130" t="n"/>
      <c r="T137" s="130" t="n"/>
      <c r="AF137" s="340" t="n"/>
      <c r="AG137" s="340" t="n"/>
      <c r="AH137" s="340" t="n"/>
      <c r="AI137" s="340" t="n"/>
      <c r="AJ137" s="340" t="n"/>
      <c r="AK137" s="340" t="n"/>
      <c r="AL137" s="340" t="n"/>
    </row>
    <row r="138" ht="14.4" customFormat="1" customHeight="1" s="950">
      <c r="A138" s="509" t="n"/>
      <c r="B138" s="509" t="n"/>
      <c r="C138" s="509" t="n"/>
      <c r="D138" s="509" t="n"/>
      <c r="E138" s="509" t="n"/>
      <c r="F138" s="509" t="n"/>
      <c r="G138" s="509" t="n"/>
      <c r="H138" s="509" t="n"/>
      <c r="I138" s="509" t="n"/>
      <c r="J138" s="509" t="n"/>
      <c r="K138" s="817">
        <f>+DATOS!Q5</f>
        <v/>
      </c>
      <c r="L138" s="510">
        <f>+DATOS!U5</f>
        <v/>
      </c>
      <c r="M138" s="510">
        <f>+DATOS!T5</f>
        <v/>
      </c>
      <c r="P138" s="672" t="n"/>
      <c r="Q138" s="673" t="n"/>
      <c r="R138" s="672" t="n"/>
      <c r="S138" s="672" t="n"/>
      <c r="T138" s="602" t="n"/>
      <c r="AA138" s="351" t="n"/>
      <c r="AB138" s="351" t="n"/>
      <c r="AC138" s="351" t="n"/>
      <c r="AD138" s="351" t="n"/>
      <c r="AE138" s="340" t="n"/>
      <c r="AF138" s="340" t="n"/>
      <c r="AG138" s="340" t="n"/>
      <c r="AH138" s="340" t="n"/>
      <c r="AI138" s="340" t="n"/>
      <c r="AJ138" s="340" t="n"/>
      <c r="AK138" s="340" t="n"/>
      <c r="AL138" s="340" t="n"/>
    </row>
    <row r="139" ht="14.4" customFormat="1" customHeight="1" s="950">
      <c r="A139" s="509" t="n"/>
      <c r="B139" s="509" t="n"/>
      <c r="C139" s="509" t="n"/>
      <c r="D139" s="509" t="n"/>
      <c r="E139" s="509" t="n"/>
      <c r="F139" s="509" t="n"/>
      <c r="G139" s="509" t="n"/>
      <c r="H139" s="509" t="n"/>
      <c r="I139" s="509" t="n"/>
      <c r="J139" s="509" t="n"/>
      <c r="K139" s="817">
        <f>+DATOS!Q6</f>
        <v/>
      </c>
      <c r="L139" s="510">
        <f>+DATOS!U6</f>
        <v/>
      </c>
      <c r="M139" s="510">
        <f>+DATOS!T6</f>
        <v/>
      </c>
      <c r="P139" s="672" t="n"/>
      <c r="Q139" s="673" t="n"/>
      <c r="R139" s="672" t="n"/>
      <c r="S139" s="672" t="n"/>
      <c r="T139" s="602" t="n"/>
      <c r="AA139" s="351" t="n"/>
      <c r="AB139" s="351" t="n"/>
      <c r="AC139" s="351" t="n"/>
      <c r="AD139" s="351" t="n"/>
      <c r="AE139" s="340" t="n"/>
      <c r="AF139" s="340" t="n"/>
      <c r="AG139" s="340" t="n"/>
      <c r="AH139" s="340" t="n"/>
      <c r="AI139" s="340" t="n"/>
      <c r="AJ139" s="340" t="n"/>
      <c r="AK139" s="340" t="n"/>
      <c r="AL139" s="340" t="n"/>
    </row>
    <row r="140" ht="14.4" customFormat="1" customHeight="1" s="950">
      <c r="A140" s="509" t="n"/>
      <c r="B140" s="509" t="n"/>
      <c r="C140" s="509" t="n"/>
      <c r="D140" s="509" t="n"/>
      <c r="E140" s="509" t="n"/>
      <c r="F140" s="509" t="n"/>
      <c r="G140" s="509" t="n"/>
      <c r="H140" s="509" t="n"/>
      <c r="I140" s="509" t="n"/>
      <c r="J140" s="509" t="n"/>
      <c r="K140" s="458" t="n">
        <v>1</v>
      </c>
      <c r="L140" s="510">
        <f>+DATOS!U7</f>
        <v/>
      </c>
      <c r="M140" s="510">
        <f>+DATOS!T7</f>
        <v/>
      </c>
      <c r="P140" s="672" t="n"/>
      <c r="Q140" s="673" t="n"/>
      <c r="R140" s="672" t="n"/>
      <c r="S140" s="674" t="n"/>
      <c r="T140" s="602" t="n"/>
      <c r="AA140" s="351" t="n"/>
      <c r="AB140" s="351" t="n"/>
      <c r="AC140" s="351" t="n"/>
      <c r="AD140" s="351" t="n"/>
      <c r="AE140" s="340" t="n"/>
      <c r="AF140" s="340" t="n"/>
      <c r="AG140" s="340" t="n"/>
      <c r="AH140" s="340" t="n"/>
      <c r="AI140" s="340" t="n"/>
      <c r="AJ140" s="340" t="n"/>
      <c r="AK140" s="340" t="n"/>
      <c r="AL140" s="340" t="n"/>
    </row>
    <row r="141" ht="14.4" customFormat="1" customHeight="1" s="950">
      <c r="A141" s="509" t="n"/>
      <c r="B141" s="509" t="n"/>
      <c r="C141" s="509" t="n"/>
      <c r="D141" s="509" t="n"/>
      <c r="E141" s="509" t="n"/>
      <c r="F141" s="509" t="n"/>
      <c r="G141" s="509" t="n"/>
      <c r="H141" s="509" t="n"/>
      <c r="I141" s="509" t="n"/>
      <c r="J141" s="509" t="n"/>
      <c r="K141" s="458" t="n">
        <v>2</v>
      </c>
      <c r="L141" s="510">
        <f>+DATOS!U8</f>
        <v/>
      </c>
      <c r="M141" s="510">
        <f>+DATOS!T8</f>
        <v/>
      </c>
      <c r="P141" s="672" t="n"/>
      <c r="Q141" s="673" t="n"/>
      <c r="R141" s="672" t="n"/>
      <c r="S141" s="674" t="n"/>
      <c r="T141" s="602" t="n"/>
      <c r="AA141" s="340" t="n"/>
      <c r="AB141" s="340" t="n"/>
      <c r="AC141" s="340" t="n"/>
      <c r="AD141" s="340" t="n"/>
      <c r="AE141" s="340" t="n"/>
      <c r="AF141" s="340" t="n"/>
      <c r="AG141" s="340" t="n"/>
      <c r="AH141" s="340" t="n"/>
      <c r="AI141" s="340" t="n"/>
      <c r="AJ141" s="340" t="n"/>
      <c r="AK141" s="340" t="n"/>
      <c r="AL141" s="340" t="n"/>
    </row>
    <row r="142" ht="14.4" customFormat="1" customHeight="1" s="950">
      <c r="A142" s="509" t="n"/>
      <c r="B142" s="509" t="n"/>
      <c r="C142" s="509" t="n"/>
      <c r="D142" s="509" t="n"/>
      <c r="E142" s="509" t="n"/>
      <c r="F142" s="509" t="n"/>
      <c r="G142" s="509" t="n"/>
      <c r="H142" s="509" t="n"/>
      <c r="I142" s="509" t="n"/>
      <c r="J142" s="509" t="n"/>
      <c r="K142" s="666" t="n">
        <v>3</v>
      </c>
      <c r="L142" s="510">
        <f>+DATOS!U9</f>
        <v/>
      </c>
      <c r="M142" s="510">
        <f>+DATOS!T9</f>
        <v/>
      </c>
      <c r="P142" s="672" t="n"/>
      <c r="Q142" s="673" t="n"/>
      <c r="R142" s="672" t="n"/>
      <c r="S142" s="674" t="n"/>
      <c r="T142" s="509" t="n"/>
      <c r="AA142" s="340" t="n"/>
      <c r="AB142" s="340" t="n"/>
      <c r="AC142" s="340" t="n"/>
      <c r="AD142" s="340" t="n"/>
      <c r="AE142" s="340" t="n"/>
      <c r="AF142" s="340" t="n"/>
      <c r="AG142" s="340" t="n"/>
      <c r="AH142" s="340" t="n"/>
      <c r="AI142" s="340" t="n"/>
      <c r="AJ142" s="340" t="n"/>
      <c r="AK142" s="340" t="n"/>
      <c r="AL142" s="340" t="n"/>
    </row>
    <row r="143" ht="14.4" customFormat="1" customHeight="1" s="950">
      <c r="A143" s="509" t="n"/>
      <c r="B143" s="509" t="n"/>
      <c r="C143" s="509" t="n"/>
      <c r="D143" s="509" t="n"/>
      <c r="E143" s="509" t="n"/>
      <c r="F143" s="509" t="n"/>
      <c r="G143" s="509" t="n"/>
      <c r="H143" s="509" t="n"/>
      <c r="I143" s="509" t="n"/>
      <c r="J143" s="509" t="n"/>
      <c r="K143" s="458" t="n">
        <v>4</v>
      </c>
      <c r="L143" s="510">
        <f>+DATOS!U10</f>
        <v/>
      </c>
      <c r="M143" s="510">
        <f>+DATOS!T10</f>
        <v/>
      </c>
      <c r="P143" s="672" t="n"/>
      <c r="Q143" s="673" t="n"/>
      <c r="R143" s="672" t="n"/>
      <c r="S143" s="672" t="n"/>
      <c r="T143" s="509" t="n"/>
      <c r="AA143" s="340" t="n"/>
      <c r="AB143" s="340" t="n"/>
      <c r="AC143" s="340" t="n"/>
      <c r="AD143" s="340" t="n"/>
      <c r="AE143" s="340" t="n"/>
      <c r="AF143" s="340" t="n"/>
      <c r="AG143" s="340" t="n"/>
      <c r="AH143" s="340" t="n"/>
      <c r="AI143" s="340" t="n"/>
      <c r="AJ143" s="340" t="n"/>
      <c r="AK143" s="340" t="n"/>
      <c r="AL143" s="340" t="n"/>
    </row>
    <row r="144" ht="14.4" customFormat="1" customHeight="1" s="950">
      <c r="A144" s="509" t="n"/>
      <c r="B144" s="509" t="n"/>
      <c r="C144" s="509" t="n"/>
      <c r="D144" s="509" t="n"/>
      <c r="E144" s="509" t="n"/>
      <c r="F144" s="509" t="n"/>
      <c r="G144" s="509" t="n"/>
      <c r="H144" s="509" t="n"/>
      <c r="I144" s="509" t="n"/>
      <c r="J144" s="509" t="n"/>
      <c r="K144" s="458" t="n">
        <v>5</v>
      </c>
      <c r="L144" s="510">
        <f>+DATOS!U11</f>
        <v/>
      </c>
      <c r="M144" s="510">
        <f>+DATOS!T11</f>
        <v/>
      </c>
      <c r="P144" s="672" t="n"/>
      <c r="Q144" s="673" t="n"/>
      <c r="R144" s="672" t="n"/>
      <c r="S144" s="984" t="n"/>
      <c r="T144" s="509" t="n"/>
      <c r="AA144" s="340" t="n"/>
      <c r="AB144" s="340" t="n"/>
      <c r="AC144" s="340" t="n"/>
      <c r="AD144" s="340" t="n"/>
      <c r="AE144" s="340" t="n"/>
      <c r="AF144" s="340" t="n"/>
      <c r="AG144" s="340" t="n"/>
      <c r="AH144" s="340" t="n"/>
      <c r="AI144" s="340" t="n"/>
      <c r="AJ144" s="340" t="n"/>
      <c r="AK144" s="340" t="n"/>
      <c r="AL144" s="340" t="n"/>
    </row>
    <row r="145" ht="14.4" customFormat="1" customHeight="1" s="950">
      <c r="A145" s="509" t="n"/>
      <c r="B145" s="509" t="n"/>
      <c r="C145" s="509" t="n"/>
      <c r="D145" s="509" t="n"/>
      <c r="E145" s="509" t="n"/>
      <c r="F145" s="509" t="n"/>
      <c r="G145" s="509" t="n"/>
      <c r="H145" s="509" t="n"/>
      <c r="I145" s="509" t="n"/>
      <c r="J145" s="509" t="n"/>
      <c r="K145" s="666" t="n">
        <v>6</v>
      </c>
      <c r="L145" s="510">
        <f>+DATOS!U12</f>
        <v/>
      </c>
      <c r="M145" s="510">
        <f>+DATOS!T12</f>
        <v/>
      </c>
      <c r="P145" s="672" t="n"/>
      <c r="Q145" s="673" t="n"/>
      <c r="R145" s="672" t="n"/>
      <c r="S145" s="984" t="n"/>
      <c r="T145" s="509" t="n"/>
      <c r="AA145" s="340" t="n"/>
      <c r="AB145" s="340" t="n"/>
      <c r="AC145" s="340" t="n"/>
      <c r="AD145" s="340" t="n"/>
      <c r="AE145" s="340" t="n"/>
      <c r="AF145" s="340" t="n"/>
      <c r="AG145" s="340" t="n"/>
      <c r="AH145" s="340" t="n"/>
      <c r="AI145" s="340" t="n"/>
      <c r="AJ145" s="340" t="n"/>
      <c r="AK145" s="340" t="n"/>
      <c r="AL145" s="340" t="n"/>
    </row>
    <row r="146" ht="14.4" customFormat="1" customHeight="1" s="950">
      <c r="A146" s="509" t="n"/>
      <c r="B146" s="509" t="n"/>
      <c r="C146" s="509" t="n"/>
      <c r="D146" s="509" t="n"/>
      <c r="E146" s="509" t="n"/>
      <c r="F146" s="509" t="n"/>
      <c r="G146" s="509" t="n"/>
      <c r="H146" s="509" t="n"/>
      <c r="I146" s="509" t="n"/>
      <c r="J146" s="509" t="n"/>
      <c r="K146" s="458" t="n">
        <v>7</v>
      </c>
      <c r="L146" s="510">
        <f>+DATOS!U13</f>
        <v/>
      </c>
      <c r="M146" s="510">
        <f>+DATOS!T13</f>
        <v/>
      </c>
      <c r="P146" s="163" t="n"/>
      <c r="Q146" s="675" t="n"/>
      <c r="R146" s="163" t="n"/>
      <c r="S146" s="675" t="n"/>
      <c r="T146" s="509" t="n"/>
      <c r="U146" s="340" t="n"/>
      <c r="V146" s="340" t="n"/>
      <c r="W146" s="340" t="n"/>
      <c r="X146" s="340" t="n"/>
      <c r="Y146" s="340" t="n"/>
      <c r="Z146" s="340" t="n"/>
      <c r="AA146" s="340" t="n"/>
      <c r="AB146" s="340" t="n"/>
      <c r="AC146" s="340" t="n"/>
      <c r="AD146" s="340" t="n"/>
      <c r="AE146" s="340" t="n"/>
      <c r="AF146" s="340" t="n"/>
      <c r="AG146" s="340" t="n"/>
      <c r="AH146" s="340" t="n"/>
      <c r="AI146" s="340" t="n"/>
      <c r="AJ146" s="340" t="n"/>
      <c r="AK146" s="340" t="n"/>
      <c r="AL146" s="340" t="n"/>
    </row>
    <row r="147" ht="14.4" customFormat="1" customHeight="1" s="950">
      <c r="A147" s="509" t="n"/>
      <c r="B147" s="509" t="n"/>
      <c r="C147" s="509" t="n"/>
      <c r="D147" s="509" t="n"/>
      <c r="E147" s="509" t="n"/>
      <c r="F147" s="509" t="n"/>
      <c r="G147" s="509" t="n"/>
      <c r="H147" s="509" t="n"/>
      <c r="I147" s="509" t="n"/>
      <c r="J147" s="509" t="n"/>
      <c r="K147" s="667" t="n">
        <v>8</v>
      </c>
      <c r="L147" s="510">
        <f>+DATOS!U14</f>
        <v/>
      </c>
      <c r="M147" s="510">
        <f>+DATOS!T14</f>
        <v/>
      </c>
      <c r="P147" s="163" t="n"/>
      <c r="Q147" s="602" t="n"/>
      <c r="R147" s="163" t="n"/>
      <c r="S147" s="602" t="n"/>
      <c r="T147" s="602" t="n"/>
      <c r="U147" s="340" t="n"/>
      <c r="V147" s="340" t="n"/>
      <c r="W147" s="340" t="n"/>
      <c r="X147" s="340" t="n"/>
      <c r="Y147" s="340" t="n"/>
      <c r="Z147" s="340" t="n"/>
      <c r="AA147" s="340" t="n"/>
      <c r="AB147" s="340" t="n"/>
      <c r="AC147" s="340" t="n"/>
      <c r="AD147" s="340" t="n"/>
      <c r="AE147" s="340" t="n"/>
      <c r="AF147" s="340" t="n"/>
      <c r="AG147" s="340" t="n"/>
      <c r="AH147" s="340" t="n"/>
      <c r="AI147" s="340" t="n"/>
      <c r="AJ147" s="340" t="n"/>
      <c r="AK147" s="340" t="n"/>
      <c r="AL147" s="340" t="n"/>
    </row>
    <row r="148" ht="14.4" customFormat="1" customHeight="1" s="950">
      <c r="A148" s="509" t="n"/>
      <c r="B148" s="509" t="n"/>
      <c r="C148" s="509" t="n"/>
      <c r="D148" s="509" t="n"/>
      <c r="E148" s="509" t="n"/>
      <c r="F148" s="509" t="n"/>
      <c r="G148" s="509" t="n"/>
      <c r="H148" s="509" t="n"/>
      <c r="I148" s="509" t="n"/>
      <c r="J148" s="509" t="n"/>
      <c r="K148" s="667" t="n">
        <v>9</v>
      </c>
      <c r="L148" s="510">
        <f>+DATOS!U15</f>
        <v/>
      </c>
      <c r="M148" s="510">
        <f>+DATOS!T15</f>
        <v/>
      </c>
      <c r="P148" s="676" t="n"/>
      <c r="Q148" s="676" t="n"/>
      <c r="R148" s="676" t="n"/>
      <c r="S148" s="676" t="n"/>
      <c r="U148" s="340" t="n"/>
      <c r="V148" s="340" t="n"/>
      <c r="W148" s="340" t="n"/>
      <c r="X148" s="340" t="n"/>
      <c r="Y148" s="340" t="n"/>
      <c r="Z148" s="340" t="n"/>
      <c r="AA148" s="340" t="n"/>
      <c r="AB148" s="340" t="n"/>
      <c r="AC148" s="340" t="n"/>
      <c r="AD148" s="340" t="n"/>
      <c r="AE148" s="340" t="n"/>
      <c r="AF148" s="340" t="n"/>
      <c r="AG148" s="340" t="n"/>
      <c r="AH148" s="340" t="n"/>
      <c r="AI148" s="340" t="n"/>
      <c r="AJ148" s="340" t="n"/>
      <c r="AK148" s="340" t="n"/>
      <c r="AL148" s="340" t="n"/>
    </row>
    <row r="149" ht="14.4" customFormat="1" customHeight="1" s="950">
      <c r="A149" s="509" t="n"/>
      <c r="B149" s="509" t="n"/>
      <c r="C149" s="509" t="n"/>
      <c r="D149" s="509" t="n"/>
      <c r="E149" s="509" t="n"/>
      <c r="F149" s="509" t="n"/>
      <c r="G149" s="509" t="n"/>
      <c r="H149" s="509" t="n"/>
      <c r="I149" s="509" t="n"/>
      <c r="J149" s="509" t="n"/>
      <c r="K149" s="539" t="inlineStr">
        <is>
          <t>DISCO ESPACIADOR</t>
        </is>
      </c>
      <c r="L149" s="539" t="inlineStr">
        <is>
          <t xml:space="preserve">DIAMENTRO </t>
        </is>
      </c>
      <c r="M149" s="539" t="inlineStr">
        <is>
          <t>ALTURA</t>
        </is>
      </c>
      <c r="P149" s="677" t="n"/>
      <c r="Q149" s="676" t="n"/>
      <c r="R149" s="676" t="n"/>
      <c r="S149" s="676" t="n"/>
      <c r="U149" s="340" t="n"/>
      <c r="V149" s="340" t="n"/>
      <c r="W149" s="340" t="n"/>
      <c r="X149" s="340" t="n"/>
      <c r="Y149" s="340" t="n"/>
      <c r="Z149" s="340" t="n"/>
      <c r="AA149" s="340" t="n"/>
      <c r="AB149" s="340" t="n"/>
      <c r="AC149" s="340" t="n"/>
      <c r="AD149" s="340" t="n"/>
      <c r="AE149" s="340" t="n"/>
      <c r="AF149" s="340" t="n"/>
      <c r="AG149" s="340" t="n"/>
      <c r="AH149" s="340" t="n"/>
      <c r="AI149" s="340" t="n"/>
      <c r="AJ149" s="340" t="n"/>
      <c r="AK149" s="340" t="n"/>
      <c r="AL149" s="340" t="n"/>
    </row>
    <row r="150" ht="14.4" customFormat="1" customHeight="1" s="950">
      <c r="A150" s="509" t="n"/>
      <c r="B150" s="509" t="n"/>
      <c r="C150" s="509" t="n"/>
      <c r="D150" s="509" t="n"/>
      <c r="E150" s="509" t="n"/>
      <c r="F150" s="509" t="n"/>
      <c r="G150" s="509" t="n"/>
      <c r="H150" s="509" t="n"/>
      <c r="I150" s="509" t="n"/>
      <c r="J150" s="509" t="n"/>
      <c r="K150" s="817" t="inlineStr">
        <is>
          <t>INS-0173</t>
        </is>
      </c>
      <c r="L150" s="510" t="n">
        <v>150.8</v>
      </c>
      <c r="M150" s="847" t="n">
        <v>61.43</v>
      </c>
      <c r="P150" s="130" t="n"/>
      <c r="Q150" s="130" t="n"/>
      <c r="R150" s="130" t="n"/>
      <c r="S150" s="130" t="n"/>
      <c r="T150" s="340" t="n"/>
      <c r="U150" s="541" t="n"/>
      <c r="V150" s="541" t="n"/>
      <c r="W150" s="340" t="n"/>
      <c r="X150" s="340" t="n"/>
      <c r="Y150" s="340" t="n"/>
      <c r="Z150" s="340" t="n"/>
      <c r="AA150" s="340" t="n"/>
      <c r="AB150" s="340" t="n"/>
      <c r="AC150" s="340" t="n"/>
      <c r="AD150" s="340" t="n"/>
      <c r="AE150" s="340" t="n"/>
      <c r="AF150" s="340" t="n"/>
      <c r="AG150" s="340" t="n"/>
      <c r="AH150" s="340" t="n"/>
      <c r="AI150" s="340" t="n"/>
      <c r="AJ150" s="340" t="n"/>
      <c r="AK150" s="340" t="n"/>
      <c r="AL150" s="340" t="n"/>
    </row>
    <row r="151" ht="14.4" customFormat="1" customHeight="1" s="950">
      <c r="A151" s="509" t="n"/>
      <c r="B151" s="509" t="n"/>
      <c r="C151" s="509" t="n"/>
      <c r="D151" s="509" t="n"/>
      <c r="E151" s="509" t="n"/>
      <c r="F151" s="509" t="n"/>
      <c r="G151" s="509" t="n"/>
      <c r="H151" s="509" t="n"/>
      <c r="I151" s="509" t="n"/>
      <c r="J151" s="509" t="n"/>
      <c r="K151" s="340" t="n"/>
      <c r="L151" s="340" t="n"/>
      <c r="P151" s="672" t="n"/>
      <c r="Q151" s="674" t="n"/>
      <c r="R151" s="672" t="n"/>
      <c r="S151" s="674" t="n"/>
      <c r="T151" s="541" t="n"/>
      <c r="U151" s="340" t="n"/>
      <c r="V151" s="340" t="n"/>
      <c r="W151" s="340" t="n"/>
      <c r="X151" s="340" t="n"/>
      <c r="Y151" s="340" t="n"/>
      <c r="Z151" s="340" t="n"/>
      <c r="AA151" s="340" t="n"/>
      <c r="AB151" s="340" t="n"/>
      <c r="AC151" s="340" t="n"/>
      <c r="AD151" s="340" t="n"/>
      <c r="AE151" s="340" t="n"/>
      <c r="AF151" s="340" t="n"/>
      <c r="AG151" s="340" t="n"/>
      <c r="AH151" s="340" t="n"/>
      <c r="AI151" s="340" t="n"/>
      <c r="AJ151" s="340" t="n"/>
      <c r="AK151" s="340" t="n"/>
      <c r="AL151" s="340" t="n"/>
    </row>
    <row r="152" ht="14.4" customFormat="1" customHeight="1" s="950">
      <c r="A152" s="509" t="n"/>
      <c r="B152" s="509" t="n"/>
      <c r="C152" s="509" t="n"/>
      <c r="D152" s="509" t="n"/>
      <c r="E152" s="509" t="n"/>
      <c r="F152" s="509" t="n"/>
      <c r="G152" s="509" t="n"/>
      <c r="H152" s="509" t="n"/>
      <c r="I152" s="509" t="n"/>
      <c r="J152" s="509" t="n"/>
      <c r="K152" s="340" t="n"/>
      <c r="L152" s="340" t="n"/>
      <c r="P152" s="672" t="n"/>
      <c r="Q152" s="674" t="n"/>
      <c r="R152" s="672" t="n"/>
      <c r="S152" s="674" t="n"/>
      <c r="T152" s="541" t="n"/>
      <c r="U152" s="340" t="n"/>
      <c r="V152" s="340" t="n"/>
      <c r="W152" s="340" t="n"/>
      <c r="X152" s="340" t="n"/>
      <c r="Y152" s="340" t="n"/>
      <c r="Z152" s="340" t="n"/>
      <c r="AA152" s="340" t="n"/>
      <c r="AB152" s="340" t="n"/>
      <c r="AC152" s="340" t="n"/>
      <c r="AD152" s="340" t="n"/>
      <c r="AE152" s="340" t="n"/>
      <c r="AF152" s="340" t="n"/>
      <c r="AG152" s="340" t="n"/>
      <c r="AH152" s="340" t="n"/>
      <c r="AI152" s="340" t="n"/>
      <c r="AJ152" s="340" t="n"/>
      <c r="AK152" s="340" t="n"/>
      <c r="AL152" s="340" t="n"/>
    </row>
    <row r="153" ht="14.4" customFormat="1" customHeight="1" s="950">
      <c r="A153" s="509" t="n"/>
      <c r="B153" s="509" t="n"/>
      <c r="C153" s="509" t="n"/>
      <c r="D153" s="509" t="n"/>
      <c r="E153" s="509" t="n"/>
      <c r="F153" s="509" t="n"/>
      <c r="G153" s="509" t="n"/>
      <c r="H153" s="509" t="n"/>
      <c r="I153" s="509" t="n"/>
      <c r="J153" s="509" t="n"/>
      <c r="K153" s="340" t="n"/>
      <c r="L153" s="340" t="n"/>
      <c r="P153" s="672" t="n"/>
      <c r="Q153" s="674" t="n"/>
      <c r="R153" s="672" t="n"/>
      <c r="S153" s="674" t="n"/>
      <c r="T153" s="541" t="n"/>
      <c r="U153" s="340" t="n"/>
      <c r="V153" s="340" t="n"/>
      <c r="W153" s="340" t="n"/>
      <c r="X153" s="340" t="n"/>
      <c r="Y153" s="340" t="n"/>
      <c r="Z153" s="340" t="n"/>
      <c r="AA153" s="340" t="n"/>
      <c r="AB153" s="340" t="n"/>
      <c r="AC153" s="340" t="n"/>
      <c r="AD153" s="340" t="n"/>
      <c r="AE153" s="340" t="n"/>
      <c r="AF153" s="340" t="n"/>
      <c r="AG153" s="340" t="n"/>
      <c r="AH153" s="340" t="n"/>
      <c r="AI153" s="340" t="n"/>
      <c r="AJ153" s="340" t="n"/>
      <c r="AK153" s="340" t="n"/>
      <c r="AL153" s="340" t="n"/>
    </row>
    <row r="154" ht="14.4" customFormat="1" customHeight="1" s="950">
      <c r="A154" s="509" t="n"/>
      <c r="B154" s="799" t="inlineStr">
        <is>
          <t>REVISADO POR:</t>
        </is>
      </c>
      <c r="C154" s="961" t="inlineStr">
        <is>
          <t>FABIAN LA ROSA</t>
        </is>
      </c>
      <c r="D154" s="811" t="n"/>
      <c r="E154" s="509" t="n"/>
      <c r="F154" s="960" t="inlineStr">
        <is>
          <t>APROBADO POR:</t>
        </is>
      </c>
      <c r="H154" s="959" t="inlineStr">
        <is>
          <t>IRMA COAQUIRA</t>
        </is>
      </c>
      <c r="I154" s="811" t="n"/>
      <c r="J154" s="509" t="n"/>
      <c r="K154" s="340" t="n"/>
      <c r="L154" s="340" t="n"/>
      <c r="P154" s="672" t="n"/>
      <c r="Q154" s="674" t="n"/>
      <c r="R154" s="672" t="n"/>
      <c r="S154" s="674" t="n"/>
      <c r="T154" s="541" t="n"/>
      <c r="U154" s="340" t="n"/>
      <c r="V154" s="340" t="n"/>
      <c r="W154" s="340" t="n"/>
      <c r="X154" s="340" t="n"/>
      <c r="Y154" s="340" t="n"/>
      <c r="Z154" s="340" t="n"/>
      <c r="AA154" s="340" t="n"/>
      <c r="AB154" s="340" t="n"/>
      <c r="AC154" s="340" t="n"/>
      <c r="AD154" s="340" t="n"/>
      <c r="AE154" s="340" t="n"/>
      <c r="AF154" s="340" t="n"/>
      <c r="AG154" s="340" t="n"/>
      <c r="AH154" s="340" t="n"/>
      <c r="AI154" s="340" t="n"/>
      <c r="AJ154" s="340" t="n"/>
      <c r="AK154" s="340" t="n"/>
      <c r="AL154" s="340" t="n"/>
    </row>
    <row r="155" ht="14.4" customFormat="1" customHeight="1" s="950">
      <c r="A155" s="509" t="n"/>
      <c r="B155" s="471" t="n"/>
      <c r="C155" s="471" t="n"/>
      <c r="D155" s="471" t="n"/>
      <c r="E155" s="509" t="n"/>
      <c r="F155" s="471" t="n"/>
      <c r="G155" s="471" t="n"/>
      <c r="H155" s="471" t="n"/>
      <c r="I155" s="471" t="n"/>
      <c r="J155" s="509" t="n"/>
      <c r="K155" s="340" t="n"/>
      <c r="L155" s="340" t="n"/>
      <c r="P155" s="163" t="n"/>
      <c r="Q155" s="675" t="n"/>
      <c r="R155" s="163" t="n"/>
      <c r="S155" s="675" t="n"/>
      <c r="T155" s="541" t="n"/>
      <c r="U155" s="340" t="n"/>
      <c r="V155" s="340" t="n"/>
      <c r="W155" s="340" t="n"/>
      <c r="X155" s="340" t="n"/>
      <c r="Y155" s="340" t="n"/>
      <c r="Z155" s="340" t="n"/>
      <c r="AA155" s="340" t="n"/>
      <c r="AB155" s="340" t="n"/>
      <c r="AC155" s="340" t="n"/>
      <c r="AD155" s="340" t="n"/>
      <c r="AE155" s="340" t="n"/>
      <c r="AF155" s="340" t="n"/>
      <c r="AG155" s="340" t="n"/>
      <c r="AH155" s="340" t="n"/>
      <c r="AI155" s="340" t="n"/>
      <c r="AJ155" s="340" t="n"/>
      <c r="AK155" s="340" t="n"/>
      <c r="AL155" s="340" t="n"/>
    </row>
    <row r="156" ht="14.4" customFormat="1" customHeight="1" s="950">
      <c r="A156" s="509" t="n"/>
      <c r="B156" s="958" t="inlineStr">
        <is>
          <t>FECHA DE REVISIÓN:</t>
        </is>
      </c>
      <c r="C156" s="957" t="n"/>
      <c r="D156" s="811" t="n"/>
      <c r="E156" s="509" t="n"/>
      <c r="F156" s="958" t="inlineStr">
        <is>
          <t>FECHA DE APROBACIÓN:</t>
        </is>
      </c>
      <c r="H156" s="957" t="n"/>
      <c r="I156" s="811" t="n"/>
      <c r="J156" s="509" t="n"/>
      <c r="M156" s="340" t="n"/>
      <c r="N156" s="340" t="n"/>
      <c r="O156" s="340" t="n"/>
      <c r="P156" s="340" t="n"/>
      <c r="Q156" s="602" t="n"/>
      <c r="R156" s="340" t="n"/>
      <c r="S156" s="602" t="n"/>
      <c r="T156" s="340" t="n"/>
      <c r="U156" s="340" t="n"/>
      <c r="V156" s="340" t="n"/>
      <c r="W156" s="340" t="n"/>
      <c r="X156" s="340" t="n"/>
      <c r="Y156" s="340" t="n"/>
      <c r="Z156" s="340" t="n"/>
      <c r="AA156" s="340" t="n"/>
      <c r="AB156" s="340" t="n"/>
      <c r="AC156" s="340" t="n"/>
      <c r="AD156" s="340" t="n"/>
      <c r="AE156" s="340" t="n"/>
      <c r="AF156" s="340" t="n"/>
      <c r="AG156" s="340" t="n"/>
      <c r="AH156" s="340" t="n"/>
      <c r="AI156" s="340" t="n"/>
      <c r="AJ156" s="340" t="n"/>
      <c r="AK156" s="340" t="n"/>
      <c r="AL156" s="340" t="n"/>
    </row>
    <row r="157" ht="14.4" customFormat="1" customHeight="1" s="950">
      <c r="A157" s="509" t="n"/>
      <c r="B157" s="509" t="n"/>
      <c r="C157" s="509" t="n"/>
      <c r="D157" s="509" t="n"/>
      <c r="E157" s="509" t="n"/>
      <c r="F157" s="509" t="n"/>
      <c r="G157" s="509" t="n"/>
      <c r="H157" s="509" t="n"/>
      <c r="I157" s="509" t="n"/>
      <c r="J157" s="509" t="n"/>
      <c r="M157" s="340" t="n"/>
      <c r="N157" s="340" t="n"/>
      <c r="O157" s="340" t="n"/>
      <c r="P157" s="340" t="n"/>
      <c r="Q157" s="340" t="n"/>
      <c r="R157" s="340" t="n"/>
      <c r="S157" s="340" t="n"/>
      <c r="T157" s="340" t="n"/>
      <c r="U157" s="340" t="n"/>
      <c r="V157" s="340" t="n"/>
      <c r="W157" s="340" t="n"/>
      <c r="X157" s="340" t="n"/>
      <c r="Y157" s="340" t="n"/>
      <c r="Z157" s="340" t="n"/>
      <c r="AA157" s="340" t="n"/>
      <c r="AB157" s="340" t="n"/>
      <c r="AC157" s="340" t="n"/>
      <c r="AD157" s="340" t="n"/>
      <c r="AE157" s="340" t="n"/>
      <c r="AF157" s="340" t="n"/>
      <c r="AG157" s="340" t="n"/>
      <c r="AH157" s="340" t="n"/>
      <c r="AI157" s="340" t="n"/>
      <c r="AJ157" s="340" t="n"/>
      <c r="AK157" s="340" t="n"/>
      <c r="AL157" s="340" t="n"/>
    </row>
    <row r="158" ht="14.4" customFormat="1" customHeight="1" s="950">
      <c r="A158" s="509" t="n"/>
      <c r="B158" s="509" t="n"/>
      <c r="C158" s="509" t="n"/>
      <c r="D158" s="509" t="n"/>
      <c r="E158" s="509" t="n"/>
      <c r="F158" s="509" t="n"/>
      <c r="G158" s="509" t="n"/>
      <c r="H158" s="509" t="n"/>
      <c r="I158" s="509" t="n"/>
      <c r="J158" s="509" t="n"/>
      <c r="M158" s="340" t="n"/>
      <c r="N158" s="340" t="n"/>
      <c r="O158" s="340" t="n"/>
      <c r="P158" s="669" t="n"/>
      <c r="Q158" s="669" t="n"/>
      <c r="R158" s="670" t="n"/>
      <c r="S158" s="671" t="n"/>
      <c r="T158" s="340" t="n"/>
      <c r="U158" s="340" t="n"/>
      <c r="V158" s="340" t="n"/>
      <c r="W158" s="340" t="n"/>
      <c r="X158" s="340" t="n"/>
      <c r="Y158" s="340" t="n"/>
      <c r="Z158" s="340" t="n"/>
      <c r="AA158" s="340" t="n"/>
      <c r="AB158" s="340" t="n"/>
      <c r="AC158" s="340" t="n"/>
      <c r="AD158" s="340" t="n"/>
      <c r="AE158" s="340" t="n"/>
      <c r="AF158" s="340" t="n"/>
      <c r="AG158" s="340" t="n"/>
      <c r="AH158" s="340" t="n"/>
      <c r="AI158" s="340" t="n"/>
      <c r="AJ158" s="340" t="n"/>
      <c r="AK158" s="340" t="n"/>
      <c r="AL158" s="340" t="n"/>
    </row>
    <row r="159" ht="14.4" customFormat="1" customHeight="1" s="950">
      <c r="A159" s="509" t="n"/>
      <c r="B159" s="509" t="n"/>
      <c r="C159" s="509" t="n"/>
      <c r="D159" s="509" t="n"/>
      <c r="E159" s="509" t="n"/>
      <c r="F159" s="509" t="n"/>
      <c r="G159" s="509" t="n"/>
      <c r="H159" s="509" t="n"/>
      <c r="I159" s="509" t="n"/>
      <c r="J159" s="509" t="n"/>
      <c r="M159" s="340" t="n"/>
      <c r="N159" s="340" t="n"/>
      <c r="O159" s="340" t="n"/>
      <c r="P159" s="130" t="n"/>
      <c r="Q159" s="130" t="n"/>
      <c r="R159" s="130" t="n"/>
      <c r="S159" s="130" t="n"/>
      <c r="T159" s="130" t="n"/>
      <c r="U159" s="340" t="n"/>
      <c r="V159" s="340" t="n"/>
      <c r="W159" s="340" t="n"/>
      <c r="X159" s="340" t="n"/>
      <c r="Y159" s="340" t="n"/>
      <c r="Z159" s="340" t="n"/>
      <c r="AA159" s="340" t="n"/>
      <c r="AB159" s="340" t="n"/>
      <c r="AC159" s="340" t="n"/>
      <c r="AD159" s="340" t="n"/>
      <c r="AE159" s="340" t="n"/>
      <c r="AF159" s="340" t="n"/>
      <c r="AG159" s="340" t="n"/>
      <c r="AH159" s="340" t="n"/>
      <c r="AI159" s="340" t="n"/>
      <c r="AJ159" s="340" t="n"/>
      <c r="AK159" s="340" t="n"/>
      <c r="AL159" s="340" t="n"/>
    </row>
    <row r="160" ht="14.4" customFormat="1" customHeight="1" s="950">
      <c r="A160" s="509" t="n"/>
      <c r="B160" s="509" t="n"/>
      <c r="C160" s="509" t="n"/>
      <c r="D160" s="509" t="n"/>
      <c r="E160" s="509" t="n"/>
      <c r="F160" s="509" t="n"/>
      <c r="G160" s="509" t="n"/>
      <c r="H160" s="509" t="n"/>
      <c r="I160" s="509" t="n"/>
      <c r="J160" s="509" t="n"/>
      <c r="M160" s="340" t="n"/>
      <c r="N160" s="340" t="n"/>
      <c r="O160" s="340" t="n"/>
      <c r="P160" s="672" t="n"/>
      <c r="Q160" s="673" t="n"/>
      <c r="R160" s="672" t="n"/>
      <c r="S160" s="672" t="n"/>
      <c r="T160" s="602" t="n"/>
      <c r="U160" s="340" t="n"/>
      <c r="V160" s="340" t="n"/>
      <c r="W160" s="340" t="n"/>
      <c r="X160" s="340" t="n"/>
      <c r="Y160" s="340" t="n"/>
      <c r="Z160" s="340" t="n"/>
      <c r="AA160" s="340" t="n"/>
      <c r="AB160" s="340" t="n"/>
      <c r="AC160" s="340" t="n"/>
      <c r="AD160" s="340" t="n"/>
      <c r="AE160" s="340" t="n"/>
      <c r="AF160" s="340" t="n"/>
      <c r="AG160" s="340" t="n"/>
      <c r="AH160" s="340" t="n"/>
      <c r="AI160" s="340" t="n"/>
      <c r="AJ160" s="340" t="n"/>
      <c r="AK160" s="340" t="n"/>
      <c r="AL160" s="340" t="n"/>
    </row>
    <row r="161" ht="14.4" customFormat="1" customHeight="1" s="950">
      <c r="A161" s="509" t="n"/>
      <c r="B161" s="509" t="n"/>
      <c r="C161" s="509" t="n"/>
      <c r="D161" s="509" t="n"/>
      <c r="E161" s="509" t="n"/>
      <c r="F161" s="509" t="n"/>
      <c r="G161" s="509" t="n"/>
      <c r="H161" s="509" t="n"/>
      <c r="I161" s="509" t="n"/>
      <c r="J161" s="509" t="n"/>
      <c r="M161" s="340" t="n"/>
      <c r="N161" s="340" t="n"/>
      <c r="O161" s="340" t="n"/>
      <c r="P161" s="672" t="n"/>
      <c r="Q161" s="673" t="n"/>
      <c r="R161" s="672" t="n"/>
      <c r="S161" s="674" t="n"/>
      <c r="T161" s="602" t="n"/>
      <c r="U161" s="340" t="n"/>
      <c r="V161" s="340" t="n"/>
      <c r="W161" s="340" t="n"/>
      <c r="X161" s="340" t="n"/>
      <c r="Y161" s="340" t="n"/>
      <c r="Z161" s="340" t="n"/>
      <c r="AA161" s="340" t="n"/>
      <c r="AB161" s="340" t="n"/>
      <c r="AC161" s="340" t="n"/>
      <c r="AD161" s="340" t="n"/>
      <c r="AE161" s="340" t="n"/>
      <c r="AF161" s="340" t="n"/>
      <c r="AG161" s="340" t="n"/>
      <c r="AH161" s="340" t="n"/>
      <c r="AI161" s="340" t="n"/>
      <c r="AJ161" s="340" t="n"/>
      <c r="AK161" s="340" t="n"/>
      <c r="AL161" s="340" t="n"/>
    </row>
    <row r="162" ht="14.4" customFormat="1" customHeight="1" s="950">
      <c r="A162" s="509" t="n"/>
      <c r="B162" s="509" t="n"/>
      <c r="C162" s="509" t="n"/>
      <c r="D162" s="509" t="n"/>
      <c r="E162" s="509" t="n"/>
      <c r="F162" s="509" t="n"/>
      <c r="G162" s="509" t="n"/>
      <c r="H162" s="509" t="n"/>
      <c r="I162" s="509" t="n"/>
      <c r="J162" s="509" t="n"/>
      <c r="M162" s="340" t="n"/>
      <c r="N162" s="340" t="n"/>
      <c r="O162" s="340" t="n"/>
      <c r="P162" s="672" t="n"/>
      <c r="Q162" s="673" t="n"/>
      <c r="R162" s="672" t="n"/>
      <c r="S162" s="674" t="n"/>
      <c r="T162" s="602" t="n"/>
      <c r="U162" s="340" t="n"/>
      <c r="V162" s="340" t="n"/>
      <c r="W162" s="340" t="n"/>
      <c r="X162" s="340" t="n"/>
      <c r="Y162" s="340" t="n"/>
      <c r="Z162" s="340" t="n"/>
      <c r="AA162" s="340" t="n"/>
      <c r="AB162" s="340" t="n"/>
      <c r="AC162" s="340" t="n"/>
      <c r="AD162" s="340" t="n"/>
      <c r="AE162" s="340" t="n"/>
      <c r="AF162" s="340" t="n"/>
      <c r="AG162" s="340" t="n"/>
      <c r="AH162" s="340" t="n"/>
      <c r="AI162" s="340" t="n"/>
      <c r="AJ162" s="340" t="n"/>
      <c r="AK162" s="340" t="n"/>
      <c r="AL162" s="340" t="n"/>
    </row>
    <row r="163" ht="14.4" customFormat="1" customHeight="1" s="950">
      <c r="A163" s="509" t="n"/>
      <c r="B163" s="509" t="n"/>
      <c r="C163" s="509" t="n"/>
      <c r="D163" s="509" t="n"/>
      <c r="E163" s="509" t="n"/>
      <c r="F163" s="509" t="n"/>
      <c r="G163" s="509" t="n"/>
      <c r="H163" s="509" t="n"/>
      <c r="I163" s="509" t="n"/>
      <c r="J163" s="509" t="n"/>
      <c r="M163" s="340" t="n"/>
      <c r="N163" s="596" t="n"/>
      <c r="O163" s="340" t="n"/>
      <c r="P163" s="672" t="n"/>
      <c r="Q163" s="673" t="n"/>
      <c r="R163" s="672" t="n"/>
      <c r="S163" s="674" t="n"/>
      <c r="T163" s="602" t="n"/>
      <c r="U163" s="340" t="n"/>
      <c r="V163" s="340" t="n"/>
      <c r="W163" s="340" t="n"/>
      <c r="X163" s="340" t="n"/>
      <c r="Y163" s="340" t="n"/>
      <c r="Z163" s="340" t="n"/>
      <c r="AA163" s="340" t="n"/>
      <c r="AB163" s="340" t="n"/>
      <c r="AC163" s="340" t="n"/>
      <c r="AD163" s="340" t="n"/>
      <c r="AE163" s="340" t="n"/>
      <c r="AF163" s="340" t="n"/>
      <c r="AG163" s="340" t="n"/>
      <c r="AH163" s="340" t="n"/>
      <c r="AI163" s="340" t="n"/>
      <c r="AJ163" s="340" t="n"/>
      <c r="AK163" s="340" t="n"/>
      <c r="AL163" s="340" t="n"/>
    </row>
    <row r="164" ht="14.4" customFormat="1" customHeight="1" s="950">
      <c r="A164" s="509" t="n"/>
      <c r="B164" s="509" t="n"/>
      <c r="C164" s="509" t="n"/>
      <c r="D164" s="509" t="n"/>
      <c r="E164" s="509" t="n"/>
      <c r="F164" s="509" t="n"/>
      <c r="G164" s="509" t="n"/>
      <c r="H164" s="509" t="n"/>
      <c r="I164" s="509" t="n"/>
      <c r="J164" s="509" t="n"/>
      <c r="K164" s="509" t="n"/>
      <c r="L164" s="509" t="n"/>
      <c r="M164" s="340" t="n"/>
      <c r="N164" s="340" t="n"/>
      <c r="O164" s="340" t="n"/>
      <c r="P164" s="672" t="n"/>
      <c r="Q164" s="673" t="n"/>
      <c r="R164" s="672" t="n"/>
      <c r="S164" s="674" t="n"/>
      <c r="T164" s="509" t="n"/>
      <c r="U164" s="340" t="n"/>
      <c r="V164" s="340" t="n"/>
      <c r="W164" s="340" t="n"/>
      <c r="X164" s="340" t="n"/>
      <c r="Y164" s="340" t="n"/>
      <c r="Z164" s="340" t="n"/>
      <c r="AA164" s="340" t="n"/>
      <c r="AB164" s="340" t="n"/>
      <c r="AC164" s="340" t="n"/>
      <c r="AD164" s="340" t="n"/>
      <c r="AE164" s="340" t="n"/>
      <c r="AF164" s="340" t="n"/>
      <c r="AG164" s="340" t="n"/>
      <c r="AH164" s="340" t="n"/>
      <c r="AI164" s="340" t="n"/>
      <c r="AJ164" s="340" t="n"/>
      <c r="AK164" s="340" t="n"/>
      <c r="AL164" s="340" t="n"/>
    </row>
    <row r="165" ht="14.4" customFormat="1" customHeight="1" s="950">
      <c r="A165" s="509" t="n"/>
      <c r="B165" s="509" t="n"/>
      <c r="C165" s="509" t="n"/>
      <c r="D165" s="509" t="n"/>
      <c r="E165" s="509" t="n"/>
      <c r="F165" s="509" t="n"/>
      <c r="G165" s="509" t="n"/>
      <c r="H165" s="509" t="n"/>
      <c r="I165" s="509" t="n"/>
      <c r="J165" s="509" t="n"/>
      <c r="K165" s="509" t="n"/>
      <c r="L165" s="509" t="n"/>
      <c r="M165" s="340" t="n"/>
      <c r="N165" s="340" t="n"/>
      <c r="O165" s="340" t="n"/>
      <c r="P165" s="672" t="n"/>
      <c r="Q165" s="673" t="n"/>
      <c r="R165" s="672" t="n"/>
      <c r="S165" s="672" t="n"/>
      <c r="T165" s="509" t="n"/>
      <c r="U165" s="340" t="n"/>
      <c r="V165" s="340" t="n"/>
      <c r="W165" s="340" t="n"/>
      <c r="X165" s="340" t="n"/>
      <c r="Y165" s="340" t="n"/>
      <c r="Z165" s="340" t="n"/>
      <c r="AA165" s="340" t="n"/>
      <c r="AB165" s="340" t="n"/>
      <c r="AC165" s="340" t="n"/>
      <c r="AD165" s="340" t="n"/>
      <c r="AE165" s="340" t="n"/>
      <c r="AF165" s="340" t="n"/>
      <c r="AG165" s="340" t="n"/>
      <c r="AH165" s="340" t="n"/>
      <c r="AI165" s="340" t="n"/>
      <c r="AJ165" s="340" t="n"/>
      <c r="AK165" s="340" t="n"/>
      <c r="AL165" s="340" t="n"/>
    </row>
    <row r="166" ht="14.4" customFormat="1" customHeight="1" s="950">
      <c r="A166" s="509" t="n"/>
      <c r="B166" s="509" t="n"/>
      <c r="C166" s="509" t="n"/>
      <c r="D166" s="509" t="n"/>
      <c r="E166" s="509" t="n"/>
      <c r="F166" s="509" t="n"/>
      <c r="G166" s="509" t="n"/>
      <c r="H166" s="509" t="n"/>
      <c r="I166" s="509" t="n"/>
      <c r="J166" s="509" t="n"/>
      <c r="M166" s="340" t="n"/>
      <c r="N166" s="340" t="n"/>
      <c r="O166" s="340" t="n"/>
      <c r="P166" s="672" t="n"/>
      <c r="Q166" s="673" t="n"/>
      <c r="R166" s="672" t="n"/>
      <c r="S166" s="984" t="n"/>
      <c r="T166" s="509" t="n"/>
      <c r="U166" s="340" t="n"/>
      <c r="V166" s="340" t="n"/>
      <c r="W166" s="340" t="n"/>
      <c r="X166" s="340" t="n"/>
      <c r="Y166" s="340" t="n"/>
      <c r="Z166" s="340" t="n"/>
      <c r="AA166" s="340" t="n"/>
      <c r="AB166" s="340" t="n"/>
      <c r="AC166" s="340" t="n"/>
      <c r="AD166" s="340" t="n"/>
      <c r="AE166" s="340" t="n"/>
      <c r="AF166" s="340" t="n"/>
      <c r="AG166" s="340" t="n"/>
      <c r="AH166" s="340" t="n"/>
      <c r="AI166" s="340" t="n"/>
      <c r="AJ166" s="340" t="n"/>
      <c r="AK166" s="340" t="n"/>
      <c r="AL166" s="340" t="n"/>
    </row>
    <row r="167" ht="14.4" customFormat="1" customHeight="1" s="950">
      <c r="A167" s="509" t="n"/>
      <c r="B167" s="509" t="n"/>
      <c r="C167" s="509" t="n"/>
      <c r="D167" s="509" t="n"/>
      <c r="E167" s="509" t="n"/>
      <c r="F167" s="509" t="n"/>
      <c r="G167" s="509" t="n"/>
      <c r="H167" s="509" t="n"/>
      <c r="I167" s="509" t="n"/>
      <c r="J167" s="509" t="n"/>
      <c r="K167" s="340" t="n"/>
      <c r="L167" s="340" t="n"/>
      <c r="M167" s="340" t="n"/>
      <c r="N167" s="340" t="n"/>
      <c r="O167" s="340" t="n"/>
      <c r="P167" s="672" t="n"/>
      <c r="Q167" s="673" t="n"/>
      <c r="R167" s="672" t="n"/>
      <c r="S167" s="984" t="n"/>
      <c r="T167" s="509" t="n"/>
      <c r="U167" s="340" t="n"/>
      <c r="V167" s="340" t="n"/>
      <c r="W167" s="340" t="n"/>
      <c r="X167" s="340" t="n"/>
      <c r="Y167" s="340" t="n"/>
      <c r="Z167" s="340" t="n"/>
      <c r="AA167" s="340" t="n"/>
      <c r="AB167" s="340" t="n"/>
      <c r="AC167" s="340" t="n"/>
      <c r="AD167" s="340" t="n"/>
      <c r="AE167" s="340" t="n"/>
      <c r="AF167" s="340" t="n"/>
      <c r="AG167" s="340" t="n"/>
      <c r="AH167" s="340" t="n"/>
      <c r="AI167" s="340" t="n"/>
      <c r="AJ167" s="340" t="n"/>
      <c r="AK167" s="340" t="n"/>
      <c r="AL167" s="340" t="n"/>
    </row>
    <row r="168" ht="14.4" customFormat="1" customHeight="1" s="950">
      <c r="A168" s="509" t="n"/>
      <c r="B168" s="509" t="n"/>
      <c r="C168" s="509" t="n"/>
      <c r="D168" s="509" t="n"/>
      <c r="E168" s="509" t="n"/>
      <c r="F168" s="509" t="n"/>
      <c r="G168" s="509" t="n"/>
      <c r="H168" s="509" t="n"/>
      <c r="I168" s="509" t="n"/>
      <c r="J168" s="509" t="n"/>
      <c r="K168" s="340" t="n"/>
      <c r="L168" s="340" t="n"/>
      <c r="M168" s="340" t="n"/>
      <c r="N168" s="340" t="n"/>
      <c r="O168" s="340" t="n"/>
      <c r="P168" s="163" t="n"/>
      <c r="Q168" s="675" t="n"/>
      <c r="R168" s="163" t="n"/>
      <c r="S168" s="675" t="n"/>
      <c r="T168" s="509" t="n"/>
      <c r="U168" s="340" t="n"/>
      <c r="V168" s="340" t="n"/>
      <c r="W168" s="340" t="n"/>
      <c r="X168" s="340" t="n"/>
      <c r="Y168" s="340" t="n"/>
      <c r="Z168" s="340" t="n"/>
      <c r="AA168" s="340" t="n"/>
      <c r="AB168" s="340" t="n"/>
      <c r="AC168" s="340" t="n"/>
      <c r="AD168" s="340" t="n"/>
      <c r="AE168" s="340" t="n"/>
      <c r="AF168" s="340" t="n"/>
      <c r="AG168" s="340" t="n"/>
      <c r="AH168" s="340" t="n"/>
      <c r="AI168" s="340" t="n"/>
      <c r="AJ168" s="340" t="n"/>
      <c r="AK168" s="340" t="n"/>
      <c r="AL168" s="340" t="n"/>
    </row>
    <row r="169" ht="14.4" customFormat="1" customHeight="1" s="950">
      <c r="A169" s="509" t="n"/>
      <c r="B169" s="509" t="n"/>
      <c r="C169" s="509" t="n"/>
      <c r="D169" s="509" t="n"/>
      <c r="E169" s="509" t="n"/>
      <c r="F169" s="509" t="n"/>
      <c r="G169" s="509" t="n"/>
      <c r="H169" s="509" t="n"/>
      <c r="I169" s="509" t="n"/>
      <c r="J169" s="509" t="n"/>
      <c r="K169" s="340" t="n"/>
      <c r="L169" s="340" t="n"/>
      <c r="M169" s="340" t="n"/>
      <c r="N169" s="340" t="n"/>
      <c r="O169" s="340" t="n"/>
      <c r="P169" s="163" t="n"/>
      <c r="Q169" s="602" t="n"/>
      <c r="R169" s="163" t="n"/>
      <c r="S169" s="602" t="n"/>
      <c r="T169" s="602" t="n"/>
      <c r="U169" s="340" t="n"/>
      <c r="V169" s="340" t="n"/>
      <c r="W169" s="340" t="n"/>
      <c r="X169" s="340" t="n"/>
      <c r="Y169" s="340" t="n"/>
      <c r="Z169" s="340" t="n"/>
      <c r="AA169" s="340" t="n"/>
      <c r="AB169" s="340" t="n"/>
      <c r="AC169" s="340" t="n"/>
      <c r="AD169" s="340" t="n"/>
      <c r="AE169" s="340" t="n"/>
      <c r="AF169" s="340" t="n"/>
      <c r="AG169" s="340" t="n"/>
      <c r="AH169" s="340" t="n"/>
      <c r="AI169" s="340" t="n"/>
      <c r="AJ169" s="340" t="n"/>
      <c r="AK169" s="340" t="n"/>
      <c r="AL169" s="340" t="n"/>
    </row>
    <row r="170" ht="14.4" customFormat="1" customHeight="1" s="950">
      <c r="A170" s="509" t="n"/>
      <c r="B170" s="509" t="n"/>
      <c r="C170" s="509" t="n"/>
      <c r="D170" s="509" t="n"/>
      <c r="E170" s="509" t="n"/>
      <c r="F170" s="509" t="n"/>
      <c r="G170" s="509" t="n"/>
      <c r="H170" s="509" t="n"/>
      <c r="I170" s="509" t="n"/>
      <c r="J170" s="509" t="n"/>
      <c r="K170" s="340" t="n"/>
      <c r="L170" s="340" t="n"/>
      <c r="M170" s="340" t="n"/>
      <c r="N170" s="340" t="n"/>
      <c r="O170" s="340" t="n"/>
      <c r="P170" s="340" t="n"/>
      <c r="Q170" s="340" t="n"/>
      <c r="R170" s="340" t="n"/>
      <c r="S170" s="340" t="n"/>
      <c r="T170" s="340" t="n"/>
      <c r="U170" s="340" t="n"/>
      <c r="V170" s="340" t="n"/>
      <c r="W170" s="340" t="n"/>
      <c r="X170" s="340" t="n"/>
      <c r="Y170" s="340" t="n"/>
      <c r="Z170" s="340" t="n"/>
      <c r="AA170" s="340" t="n"/>
      <c r="AB170" s="340" t="n"/>
      <c r="AC170" s="340" t="n"/>
      <c r="AD170" s="340" t="n"/>
      <c r="AE170" s="340" t="n"/>
      <c r="AF170" s="340" t="n"/>
      <c r="AG170" s="340" t="n"/>
      <c r="AH170" s="340" t="n"/>
      <c r="AI170" s="340" t="n"/>
      <c r="AJ170" s="340" t="n"/>
      <c r="AK170" s="340" t="n"/>
      <c r="AL170" s="340" t="n"/>
    </row>
    <row r="171" ht="14.4" customFormat="1" customHeight="1" s="950">
      <c r="A171" s="509" t="n"/>
      <c r="B171" s="509" t="n"/>
      <c r="C171" s="509" t="n"/>
      <c r="D171" s="509" t="n"/>
      <c r="E171" s="509" t="n"/>
      <c r="F171" s="509" t="n"/>
      <c r="G171" s="509" t="n"/>
      <c r="H171" s="509" t="n"/>
      <c r="I171" s="509" t="n"/>
      <c r="J171" s="509" t="n"/>
      <c r="K171" s="340" t="n"/>
      <c r="L171" s="340" t="n"/>
      <c r="M171" s="340" t="n"/>
      <c r="N171" s="340" t="n"/>
      <c r="O171" s="340" t="n"/>
      <c r="P171" s="669" t="n"/>
      <c r="Q171" s="669" t="n"/>
      <c r="R171" s="670" t="n"/>
      <c r="S171" s="671" t="n"/>
      <c r="T171" s="340" t="n"/>
      <c r="U171" s="340" t="n"/>
      <c r="V171" s="340" t="n"/>
      <c r="W171" s="340" t="n"/>
      <c r="X171" s="340" t="n"/>
      <c r="Y171" s="340" t="n"/>
      <c r="Z171" s="340" t="n"/>
      <c r="AA171" s="340" t="n"/>
      <c r="AB171" s="340" t="n"/>
      <c r="AC171" s="340" t="n"/>
      <c r="AD171" s="340" t="n"/>
      <c r="AE171" s="340" t="n"/>
      <c r="AF171" s="340" t="n"/>
      <c r="AG171" s="340" t="n"/>
      <c r="AH171" s="340" t="n"/>
      <c r="AI171" s="340" t="n"/>
      <c r="AJ171" s="340" t="n"/>
      <c r="AK171" s="340" t="n"/>
      <c r="AL171" s="340" t="n"/>
    </row>
    <row r="172" ht="14.4" customFormat="1" customHeight="1" s="950">
      <c r="A172" s="509" t="n"/>
      <c r="B172" s="509" t="n"/>
      <c r="C172" s="509" t="n"/>
      <c r="D172" s="509" t="n"/>
      <c r="E172" s="509" t="n"/>
      <c r="F172" s="509" t="n"/>
      <c r="G172" s="509" t="n"/>
      <c r="H172" s="509" t="n"/>
      <c r="I172" s="509" t="n"/>
      <c r="J172" s="509" t="n"/>
      <c r="K172" s="340" t="n"/>
      <c r="L172" s="340" t="n"/>
      <c r="M172" s="340" t="n"/>
      <c r="N172" s="340" t="n"/>
      <c r="O172" s="340" t="n"/>
      <c r="P172" s="130" t="n"/>
      <c r="Q172" s="130" t="n"/>
      <c r="R172" s="130" t="n"/>
      <c r="S172" s="130" t="n"/>
      <c r="T172" s="130" t="n"/>
      <c r="U172" s="340" t="n"/>
      <c r="V172" s="340" t="n"/>
      <c r="W172" s="340" t="n"/>
      <c r="X172" s="340" t="n"/>
      <c r="Y172" s="340" t="n"/>
      <c r="Z172" s="340" t="n"/>
      <c r="AA172" s="340" t="n"/>
      <c r="AB172" s="340" t="n"/>
      <c r="AC172" s="340" t="n"/>
      <c r="AD172" s="340" t="n"/>
      <c r="AE172" s="340" t="n"/>
      <c r="AF172" s="340" t="n"/>
      <c r="AG172" s="340" t="n"/>
      <c r="AH172" s="340" t="n"/>
      <c r="AI172" s="340" t="n"/>
      <c r="AJ172" s="340" t="n"/>
      <c r="AK172" s="340" t="n"/>
      <c r="AL172" s="340" t="n"/>
    </row>
    <row r="173" ht="14.4" customFormat="1" customHeight="1" s="950">
      <c r="A173" s="509" t="n"/>
      <c r="B173" s="509" t="n"/>
      <c r="C173" s="509" t="n"/>
      <c r="D173" s="509" t="n"/>
      <c r="E173" s="509" t="n"/>
      <c r="F173" s="509" t="n"/>
      <c r="G173" s="509" t="n"/>
      <c r="H173" s="509" t="n"/>
      <c r="I173" s="509" t="n"/>
      <c r="J173" s="509" t="n"/>
      <c r="K173" s="340" t="n"/>
      <c r="L173" s="340" t="n"/>
      <c r="M173" s="340" t="n"/>
      <c r="N173" s="340" t="n"/>
      <c r="O173" s="340" t="n"/>
      <c r="P173" s="672" t="n"/>
      <c r="Q173" s="673" t="n"/>
      <c r="R173" s="672" t="n"/>
      <c r="S173" s="672" t="n"/>
      <c r="T173" s="602" t="n"/>
      <c r="U173" s="340" t="n"/>
      <c r="V173" s="340" t="n"/>
      <c r="W173" s="340" t="n"/>
      <c r="X173" s="340" t="n"/>
      <c r="Y173" s="340" t="n"/>
      <c r="Z173" s="340" t="n"/>
      <c r="AA173" s="340" t="n"/>
      <c r="AB173" s="340" t="n"/>
      <c r="AC173" s="340" t="n"/>
      <c r="AD173" s="340" t="n"/>
      <c r="AE173" s="340" t="n"/>
      <c r="AF173" s="340" t="n"/>
      <c r="AG173" s="340" t="n"/>
      <c r="AH173" s="340" t="n"/>
      <c r="AI173" s="340" t="n"/>
      <c r="AJ173" s="340" t="n"/>
      <c r="AK173" s="340" t="n"/>
      <c r="AL173" s="340" t="n"/>
    </row>
    <row r="174" ht="14.4" customFormat="1" customHeight="1" s="950">
      <c r="A174" s="509" t="n"/>
      <c r="B174" s="509" t="n"/>
      <c r="C174" s="509" t="n"/>
      <c r="D174" s="509" t="n"/>
      <c r="E174" s="509" t="n"/>
      <c r="F174" s="509" t="n"/>
      <c r="G174" s="509" t="n"/>
      <c r="H174" s="509" t="n"/>
      <c r="I174" s="509" t="n"/>
      <c r="J174" s="509" t="n"/>
      <c r="K174" s="340" t="n"/>
      <c r="L174" s="340" t="n"/>
      <c r="M174" s="340" t="n"/>
      <c r="N174" s="340" t="n"/>
      <c r="O174" s="340" t="n"/>
      <c r="P174" s="672" t="n"/>
      <c r="Q174" s="673" t="n"/>
      <c r="R174" s="672" t="n"/>
      <c r="S174" s="672" t="n"/>
      <c r="T174" s="602" t="n"/>
      <c r="U174" s="340" t="n"/>
      <c r="V174" s="340" t="n"/>
      <c r="W174" s="340" t="n"/>
      <c r="X174" s="340" t="n"/>
      <c r="Y174" s="340" t="n"/>
      <c r="Z174" s="340" t="n"/>
      <c r="AA174" s="340" t="n"/>
      <c r="AB174" s="340" t="n"/>
      <c r="AC174" s="340" t="n"/>
      <c r="AD174" s="340" t="n"/>
      <c r="AE174" s="340" t="n"/>
      <c r="AF174" s="340" t="n"/>
      <c r="AG174" s="340" t="n"/>
      <c r="AH174" s="340" t="n"/>
      <c r="AI174" s="340" t="n"/>
      <c r="AJ174" s="340" t="n"/>
      <c r="AK174" s="340" t="n"/>
      <c r="AL174" s="340" t="n"/>
    </row>
    <row r="175" ht="14.4" customFormat="1" customHeight="1" s="950">
      <c r="A175" s="509" t="n"/>
      <c r="B175" s="509" t="n"/>
      <c r="C175" s="509" t="n"/>
      <c r="D175" s="509" t="n"/>
      <c r="E175" s="509" t="n"/>
      <c r="F175" s="509" t="n"/>
      <c r="G175" s="509" t="n"/>
      <c r="H175" s="509" t="n"/>
      <c r="I175" s="509" t="n"/>
      <c r="J175" s="509" t="n"/>
      <c r="K175" s="340" t="n"/>
      <c r="L175" s="340" t="n"/>
      <c r="M175" s="340" t="n"/>
      <c r="N175" s="340" t="n"/>
      <c r="O175" s="340" t="n"/>
      <c r="P175" s="672" t="n"/>
      <c r="Q175" s="673" t="n"/>
      <c r="R175" s="672" t="n"/>
      <c r="S175" s="674" t="n"/>
      <c r="T175" s="602" t="n"/>
      <c r="U175" s="340" t="n"/>
      <c r="V175" s="340" t="n"/>
      <c r="W175" s="340" t="n"/>
      <c r="X175" s="340" t="n"/>
      <c r="Y175" s="340" t="n"/>
      <c r="Z175" s="340" t="n"/>
      <c r="AA175" s="340" t="n"/>
      <c r="AB175" s="340" t="n"/>
      <c r="AC175" s="340" t="n"/>
      <c r="AD175" s="340" t="n"/>
      <c r="AE175" s="340" t="n"/>
      <c r="AF175" s="340" t="n"/>
      <c r="AG175" s="340" t="n"/>
      <c r="AH175" s="340" t="n"/>
      <c r="AI175" s="340" t="n"/>
      <c r="AJ175" s="340" t="n"/>
      <c r="AK175" s="340" t="n"/>
      <c r="AL175" s="340" t="n"/>
    </row>
    <row r="176" ht="14.4" customFormat="1" customHeight="1" s="950">
      <c r="A176" s="509" t="n"/>
      <c r="B176" s="509" t="n"/>
      <c r="C176" s="509" t="n"/>
      <c r="D176" s="509" t="n"/>
      <c r="E176" s="509" t="n"/>
      <c r="F176" s="509" t="n"/>
      <c r="G176" s="509" t="n"/>
      <c r="H176" s="509" t="n"/>
      <c r="I176" s="509" t="n"/>
      <c r="J176" s="509" t="n"/>
      <c r="K176" s="340" t="n"/>
      <c r="L176" s="340" t="n"/>
      <c r="M176" s="340" t="n"/>
      <c r="N176" s="340" t="n"/>
      <c r="O176" s="340" t="n"/>
      <c r="P176" s="672" t="n"/>
      <c r="Q176" s="673" t="n"/>
      <c r="R176" s="672" t="n"/>
      <c r="S176" s="674" t="n"/>
      <c r="T176" s="602" t="n"/>
      <c r="U176" s="340" t="n"/>
      <c r="V176" s="340" t="n"/>
      <c r="W176" s="340" t="n"/>
      <c r="X176" s="340" t="n"/>
      <c r="Y176" s="340" t="n"/>
      <c r="Z176" s="340" t="n"/>
      <c r="AA176" s="340" t="n"/>
      <c r="AB176" s="340" t="n"/>
      <c r="AC176" s="340" t="n"/>
      <c r="AD176" s="340" t="n"/>
      <c r="AE176" s="340" t="n"/>
      <c r="AF176" s="340" t="n"/>
      <c r="AG176" s="340" t="n"/>
      <c r="AH176" s="340" t="n"/>
      <c r="AI176" s="340" t="n"/>
      <c r="AJ176" s="340" t="n"/>
      <c r="AK176" s="340" t="n"/>
      <c r="AL176" s="340" t="n"/>
    </row>
    <row r="177" ht="14.4" customFormat="1" customHeight="1" s="950">
      <c r="A177" s="509" t="n"/>
      <c r="B177" s="509" t="n"/>
      <c r="C177" s="509" t="n"/>
      <c r="D177" s="509" t="n"/>
      <c r="E177" s="509" t="n"/>
      <c r="F177" s="509" t="n"/>
      <c r="G177" s="509" t="n"/>
      <c r="H177" s="509" t="n"/>
      <c r="I177" s="509" t="n"/>
      <c r="J177" s="509" t="n"/>
      <c r="K177" s="340" t="n"/>
      <c r="L177" s="340" t="n"/>
      <c r="M177" s="340" t="n"/>
      <c r="N177" s="340" t="n"/>
      <c r="O177" s="340" t="n"/>
      <c r="P177" s="672" t="n"/>
      <c r="Q177" s="673" t="n"/>
      <c r="R177" s="672" t="n"/>
      <c r="S177" s="674" t="n"/>
      <c r="T177" s="509" t="n"/>
      <c r="U177" s="340" t="n"/>
      <c r="V177" s="340" t="n"/>
      <c r="W177" s="340" t="n"/>
      <c r="X177" s="340" t="n"/>
      <c r="Y177" s="340" t="n"/>
      <c r="Z177" s="340" t="n"/>
      <c r="AA177" s="340" t="n"/>
      <c r="AB177" s="340" t="n"/>
      <c r="AC177" s="340" t="n"/>
      <c r="AD177" s="340" t="n"/>
      <c r="AE177" s="340" t="n"/>
      <c r="AF177" s="340" t="n"/>
      <c r="AG177" s="340" t="n"/>
      <c r="AH177" s="340" t="n"/>
      <c r="AI177" s="340" t="n"/>
      <c r="AJ177" s="340" t="n"/>
      <c r="AK177" s="340" t="n"/>
      <c r="AL177" s="340" t="n"/>
    </row>
    <row r="178" ht="14.4" customFormat="1" customHeight="1" s="950">
      <c r="A178" s="509" t="n"/>
      <c r="B178" s="509" t="n"/>
      <c r="C178" s="509" t="n"/>
      <c r="D178" s="509" t="n"/>
      <c r="E178" s="509" t="n"/>
      <c r="F178" s="509" t="n"/>
      <c r="G178" s="509" t="n"/>
      <c r="H178" s="509" t="n"/>
      <c r="I178" s="509" t="n"/>
      <c r="J178" s="509" t="n"/>
      <c r="K178" s="340" t="n"/>
      <c r="L178" s="340" t="n"/>
      <c r="M178" s="340" t="n"/>
      <c r="N178" s="340" t="n"/>
      <c r="O178" s="340" t="n"/>
      <c r="P178" s="672" t="n"/>
      <c r="Q178" s="673" t="n"/>
      <c r="R178" s="672" t="n"/>
      <c r="S178" s="672" t="n"/>
      <c r="T178" s="509" t="n"/>
      <c r="U178" s="340" t="n"/>
      <c r="V178" s="340" t="n"/>
      <c r="W178" s="340" t="n"/>
      <c r="X178" s="340" t="n"/>
      <c r="Y178" s="340" t="n"/>
      <c r="Z178" s="340" t="n"/>
      <c r="AA178" s="340" t="n"/>
      <c r="AB178" s="340" t="n"/>
      <c r="AC178" s="340" t="n"/>
      <c r="AD178" s="340" t="n"/>
      <c r="AE178" s="340" t="n"/>
      <c r="AF178" s="340" t="n"/>
      <c r="AG178" s="340" t="n"/>
      <c r="AH178" s="340" t="n"/>
      <c r="AI178" s="340" t="n"/>
      <c r="AJ178" s="340" t="n"/>
      <c r="AK178" s="340" t="n"/>
      <c r="AL178" s="340" t="n"/>
    </row>
    <row r="179" ht="12.75" customFormat="1" customHeight="1" s="950">
      <c r="A179" s="509" t="n"/>
      <c r="B179" s="509" t="n"/>
      <c r="C179" s="509" t="n"/>
      <c r="D179" s="509" t="n"/>
      <c r="E179" s="509" t="n"/>
      <c r="F179" s="509" t="n"/>
      <c r="G179" s="509" t="n"/>
      <c r="H179" s="509" t="n"/>
      <c r="I179" s="509" t="n"/>
      <c r="J179" s="509" t="n"/>
      <c r="K179" s="340" t="n"/>
      <c r="L179" s="340" t="n"/>
      <c r="M179" s="340" t="n"/>
      <c r="N179" s="340" t="n"/>
      <c r="O179" s="340" t="n"/>
      <c r="P179" s="672" t="n"/>
      <c r="Q179" s="673" t="n"/>
      <c r="R179" s="672" t="n"/>
      <c r="S179" s="984" t="n"/>
      <c r="T179" s="509" t="n"/>
      <c r="U179" s="340" t="n"/>
      <c r="V179" s="340" t="n"/>
      <c r="W179" s="340" t="n"/>
      <c r="X179" s="340" t="n"/>
      <c r="Y179" s="340" t="n"/>
      <c r="Z179" s="340" t="n"/>
      <c r="AA179" s="340" t="n"/>
      <c r="AB179" s="340" t="n"/>
      <c r="AC179" s="340" t="n"/>
      <c r="AD179" s="340" t="n"/>
      <c r="AE179" s="340" t="n"/>
      <c r="AF179" s="340" t="n"/>
      <c r="AG179" s="340" t="n"/>
      <c r="AH179" s="340" t="n"/>
      <c r="AI179" s="340" t="n"/>
      <c r="AJ179" s="340" t="n"/>
      <c r="AK179" s="340" t="n"/>
      <c r="AL179" s="340" t="n"/>
    </row>
    <row r="180" ht="12.75" customFormat="1" customHeight="1" s="950">
      <c r="A180" s="509" t="n"/>
      <c r="B180" s="509" t="n"/>
      <c r="C180" s="509" t="n"/>
      <c r="D180" s="509" t="n"/>
      <c r="E180" s="509" t="n"/>
      <c r="F180" s="509" t="n"/>
      <c r="G180" s="509" t="n"/>
      <c r="H180" s="509" t="n"/>
      <c r="I180" s="509" t="n"/>
      <c r="J180" s="509" t="n"/>
      <c r="K180" s="340" t="n"/>
      <c r="L180" s="340" t="n"/>
      <c r="M180" s="340" t="n"/>
      <c r="N180" s="340" t="n"/>
      <c r="O180" s="340" t="n"/>
      <c r="P180" s="672" t="n"/>
      <c r="Q180" s="673" t="n"/>
      <c r="R180" s="672" t="n"/>
      <c r="S180" s="984" t="n"/>
      <c r="T180" s="509" t="n"/>
      <c r="U180" s="340" t="n"/>
      <c r="V180" s="340" t="n"/>
      <c r="W180" s="340" t="n"/>
      <c r="X180" s="340" t="n"/>
      <c r="Y180" s="340" t="n"/>
      <c r="Z180" s="340" t="n"/>
      <c r="AA180" s="340" t="n"/>
      <c r="AB180" s="340" t="n"/>
      <c r="AC180" s="340" t="n"/>
      <c r="AD180" s="340" t="n"/>
      <c r="AE180" s="340" t="n"/>
      <c r="AF180" s="340" t="n"/>
      <c r="AG180" s="340" t="n"/>
      <c r="AH180" s="340" t="n"/>
      <c r="AI180" s="340" t="n"/>
      <c r="AJ180" s="340" t="n"/>
      <c r="AK180" s="340" t="n"/>
      <c r="AL180" s="340" t="n"/>
    </row>
    <row r="181" ht="12.75" customHeight="1">
      <c r="K181" s="340" t="n"/>
      <c r="L181" s="340" t="n"/>
      <c r="M181" s="340" t="n"/>
      <c r="N181" s="340" t="n"/>
      <c r="O181" s="340" t="n"/>
      <c r="P181" s="163" t="n"/>
      <c r="Q181" s="675" t="n"/>
      <c r="R181" s="163" t="n"/>
      <c r="S181" s="675" t="n"/>
      <c r="T181" s="509" t="n"/>
      <c r="U181" s="340" t="n"/>
      <c r="V181" s="340" t="n"/>
      <c r="W181" s="340" t="n"/>
      <c r="X181" s="340" t="n"/>
      <c r="Y181" s="340" t="n"/>
      <c r="Z181" s="340" t="n"/>
      <c r="AA181" s="340" t="n"/>
      <c r="AB181" s="340" t="n"/>
      <c r="AC181" s="340" t="n"/>
      <c r="AD181" s="340" t="n"/>
      <c r="AE181" s="340" t="n"/>
      <c r="AF181" s="340" t="n"/>
      <c r="AG181" s="340" t="n"/>
      <c r="AH181" s="340" t="n"/>
      <c r="AI181" s="340" t="n"/>
      <c r="AJ181" s="340" t="n"/>
      <c r="AK181" s="340" t="n"/>
      <c r="AL181" s="340" t="n"/>
    </row>
    <row r="182" ht="12.75" customHeight="1">
      <c r="K182" s="340" t="n"/>
      <c r="L182" s="340" t="n"/>
      <c r="M182" s="340" t="n"/>
      <c r="N182" s="340" t="n"/>
      <c r="O182" s="340" t="n"/>
      <c r="P182" s="163" t="n"/>
      <c r="Q182" s="602" t="n"/>
      <c r="R182" s="163" t="n"/>
      <c r="S182" s="602" t="n"/>
      <c r="T182" s="602" t="n"/>
      <c r="U182" s="340" t="n"/>
      <c r="V182" s="340" t="n"/>
      <c r="W182" s="340" t="n"/>
      <c r="X182" s="340" t="n"/>
      <c r="Y182" s="340" t="n"/>
      <c r="Z182" s="340" t="n"/>
      <c r="AA182" s="340" t="n"/>
      <c r="AB182" s="340" t="n"/>
      <c r="AC182" s="340" t="n"/>
      <c r="AD182" s="340" t="n"/>
      <c r="AE182" s="340" t="n"/>
      <c r="AF182" s="340" t="n"/>
      <c r="AG182" s="340" t="n"/>
      <c r="AH182" s="340" t="n"/>
      <c r="AI182" s="340" t="n"/>
      <c r="AJ182" s="340" t="n"/>
      <c r="AK182" s="340" t="n"/>
      <c r="AL182" s="340" t="n"/>
    </row>
    <row r="183" ht="12.75" customHeight="1">
      <c r="K183" s="340" t="n"/>
      <c r="L183" s="340" t="n"/>
      <c r="M183" s="340" t="n"/>
      <c r="N183" s="340" t="n"/>
      <c r="O183" s="340" t="n"/>
      <c r="P183" s="340" t="n"/>
      <c r="Q183" s="340" t="n"/>
      <c r="R183" s="340" t="n"/>
      <c r="S183" s="340" t="n"/>
      <c r="T183" s="340" t="n"/>
      <c r="U183" s="340" t="n"/>
      <c r="V183" s="340" t="n"/>
      <c r="W183" s="340" t="n"/>
      <c r="X183" s="340" t="n"/>
      <c r="Y183" s="340" t="n"/>
      <c r="Z183" s="340" t="n"/>
      <c r="AA183" s="340" t="n"/>
      <c r="AB183" s="340" t="n"/>
      <c r="AC183" s="340" t="n"/>
      <c r="AD183" s="340" t="n"/>
      <c r="AE183" s="340" t="n"/>
      <c r="AF183" s="340" t="n"/>
      <c r="AG183" s="340" t="n"/>
      <c r="AH183" s="340" t="n"/>
      <c r="AI183" s="340" t="n"/>
      <c r="AJ183" s="340" t="n"/>
      <c r="AK183" s="340" t="n"/>
      <c r="AL183" s="340" t="n"/>
    </row>
    <row r="184" ht="12.75" customHeight="1">
      <c r="K184" s="340" t="n"/>
      <c r="L184" s="340" t="n"/>
      <c r="M184" s="340" t="n"/>
      <c r="N184" s="340" t="n"/>
      <c r="O184" s="340" t="n"/>
      <c r="P184" s="340" t="n"/>
      <c r="Q184" s="340" t="n"/>
      <c r="R184" s="340" t="n"/>
      <c r="S184" s="340" t="n"/>
      <c r="T184" s="340" t="n"/>
      <c r="U184" s="340" t="n"/>
      <c r="V184" s="340" t="n"/>
      <c r="W184" s="340" t="n"/>
      <c r="X184" s="340" t="n"/>
      <c r="Y184" s="340" t="n"/>
      <c r="Z184" s="340" t="n"/>
      <c r="AA184" s="340" t="n"/>
      <c r="AB184" s="340" t="n"/>
      <c r="AC184" s="340" t="n"/>
      <c r="AD184" s="340" t="n"/>
      <c r="AE184" s="340" t="n"/>
      <c r="AF184" s="340" t="n"/>
      <c r="AG184" s="340" t="n"/>
      <c r="AH184" s="340" t="n"/>
      <c r="AI184" s="340" t="n"/>
      <c r="AJ184" s="340" t="n"/>
      <c r="AK184" s="340" t="n"/>
      <c r="AL184" s="340" t="n"/>
    </row>
    <row r="185" ht="12.75" customHeight="1">
      <c r="K185" s="340" t="n"/>
      <c r="L185" s="340" t="n"/>
      <c r="M185" s="340" t="n"/>
      <c r="N185" s="340" t="n"/>
      <c r="O185" s="340" t="n"/>
      <c r="P185" s="340" t="n"/>
      <c r="Q185" s="340" t="n"/>
      <c r="R185" s="340" t="n"/>
      <c r="S185" s="340" t="n"/>
      <c r="T185" s="340" t="n"/>
      <c r="U185" s="340" t="n"/>
      <c r="V185" s="340" t="n"/>
      <c r="W185" s="340" t="n"/>
      <c r="X185" s="340" t="n"/>
      <c r="Y185" s="340" t="n"/>
      <c r="Z185" s="340" t="n"/>
      <c r="AA185" s="340" t="n"/>
      <c r="AB185" s="340" t="n"/>
      <c r="AC185" s="340" t="n"/>
      <c r="AD185" s="340" t="n"/>
      <c r="AE185" s="340" t="n"/>
      <c r="AF185" s="340" t="n"/>
      <c r="AG185" s="340" t="n"/>
      <c r="AH185" s="340" t="n"/>
      <c r="AI185" s="340" t="n"/>
      <c r="AJ185" s="340" t="n"/>
      <c r="AK185" s="340" t="n"/>
      <c r="AL185" s="340" t="n"/>
    </row>
    <row r="186" ht="12.75" customHeight="1">
      <c r="K186" s="340" t="n"/>
      <c r="L186" s="340" t="n"/>
      <c r="M186" s="340" t="n"/>
      <c r="N186" s="340" t="n"/>
      <c r="O186" s="340" t="n"/>
      <c r="P186" s="340" t="n"/>
      <c r="Q186" s="340" t="n"/>
      <c r="R186" s="340" t="n"/>
      <c r="S186" s="340" t="n"/>
      <c r="T186" s="340" t="n"/>
      <c r="U186" s="340" t="n"/>
      <c r="V186" s="340" t="n"/>
      <c r="W186" s="340" t="n"/>
      <c r="X186" s="340" t="n"/>
      <c r="Y186" s="340" t="n"/>
      <c r="Z186" s="340" t="n"/>
      <c r="AA186" s="340" t="n"/>
      <c r="AB186" s="340" t="n"/>
      <c r="AC186" s="340" t="n"/>
      <c r="AD186" s="340" t="n"/>
      <c r="AE186" s="340" t="n"/>
      <c r="AF186" s="340" t="n"/>
      <c r="AG186" s="340" t="n"/>
      <c r="AH186" s="340" t="n"/>
      <c r="AI186" s="340" t="n"/>
      <c r="AJ186" s="340" t="n"/>
      <c r="AK186" s="340" t="n"/>
      <c r="AL186" s="340" t="n"/>
    </row>
    <row r="187" ht="12.75" customHeight="1">
      <c r="K187" s="340" t="n"/>
      <c r="L187" s="340" t="n"/>
      <c r="M187" s="340" t="n"/>
      <c r="N187" s="340" t="n"/>
      <c r="O187" s="340" t="n"/>
      <c r="P187" s="340" t="n"/>
      <c r="Q187" s="340" t="n"/>
      <c r="R187" s="340" t="n"/>
      <c r="S187" s="340" t="n"/>
      <c r="T187" s="340" t="n"/>
      <c r="U187" s="340" t="n"/>
      <c r="V187" s="340" t="n"/>
      <c r="W187" s="340" t="n"/>
      <c r="X187" s="340" t="n"/>
      <c r="Y187" s="340" t="n"/>
      <c r="Z187" s="340" t="n"/>
      <c r="AA187" s="340" t="n"/>
      <c r="AB187" s="340" t="n"/>
      <c r="AC187" s="340" t="n"/>
      <c r="AD187" s="340" t="n"/>
      <c r="AE187" s="340" t="n"/>
      <c r="AF187" s="340" t="n"/>
      <c r="AG187" s="340" t="n"/>
      <c r="AH187" s="340" t="n"/>
      <c r="AI187" s="340" t="n"/>
      <c r="AJ187" s="340" t="n"/>
      <c r="AK187" s="340" t="n"/>
      <c r="AL187" s="340" t="n"/>
    </row>
    <row r="188" ht="12.75" customHeight="1">
      <c r="K188" s="340" t="n"/>
      <c r="L188" s="340" t="n"/>
      <c r="M188" s="340" t="n"/>
      <c r="N188" s="340" t="n"/>
      <c r="O188" s="340" t="n"/>
      <c r="P188" s="340" t="n"/>
      <c r="Q188" s="340" t="n"/>
      <c r="R188" s="340" t="n"/>
      <c r="S188" s="340" t="n"/>
      <c r="T188" s="340" t="n"/>
      <c r="U188" s="340" t="n"/>
      <c r="V188" s="340" t="n"/>
      <c r="W188" s="340" t="n"/>
      <c r="X188" s="340" t="n"/>
      <c r="Y188" s="340" t="n"/>
      <c r="Z188" s="340" t="n"/>
      <c r="AA188" s="340" t="n"/>
      <c r="AB188" s="340" t="n"/>
      <c r="AC188" s="340" t="n"/>
      <c r="AD188" s="340" t="n"/>
      <c r="AE188" s="340" t="n"/>
      <c r="AF188" s="340" t="n"/>
      <c r="AG188" s="340" t="n"/>
      <c r="AH188" s="340" t="n"/>
      <c r="AI188" s="340" t="n"/>
      <c r="AJ188" s="340" t="n"/>
      <c r="AK188" s="340" t="n"/>
      <c r="AL188" s="340" t="n"/>
    </row>
    <row r="189" ht="12.75" customHeight="1">
      <c r="K189" s="340" t="n"/>
      <c r="L189" s="340" t="n"/>
      <c r="M189" s="340" t="n"/>
      <c r="N189" s="340" t="n"/>
      <c r="O189" s="340" t="n"/>
      <c r="P189" s="340" t="n"/>
      <c r="Q189" s="340" t="n"/>
      <c r="R189" s="340" t="n"/>
      <c r="S189" s="340" t="n"/>
      <c r="T189" s="340" t="n"/>
      <c r="U189" s="340" t="n"/>
      <c r="V189" s="340" t="n"/>
      <c r="W189" s="340" t="n"/>
      <c r="X189" s="340" t="n"/>
      <c r="Y189" s="340" t="n"/>
      <c r="Z189" s="340" t="n"/>
      <c r="AA189" s="340" t="n"/>
      <c r="AB189" s="340" t="n"/>
      <c r="AC189" s="340" t="n"/>
      <c r="AD189" s="340" t="n"/>
      <c r="AE189" s="340" t="n"/>
      <c r="AF189" s="340" t="n"/>
      <c r="AG189" s="340" t="n"/>
      <c r="AH189" s="340" t="n"/>
      <c r="AI189" s="340" t="n"/>
      <c r="AJ189" s="340" t="n"/>
      <c r="AK189" s="340" t="n"/>
      <c r="AL189" s="340" t="n"/>
    </row>
    <row r="190" ht="12.75" customHeight="1">
      <c r="K190" s="340" t="n"/>
      <c r="L190" s="340" t="n"/>
      <c r="M190" s="340" t="n"/>
      <c r="N190" s="340" t="n"/>
      <c r="O190" s="340" t="n"/>
      <c r="P190" s="340" t="n"/>
      <c r="Q190" s="340" t="n"/>
      <c r="R190" s="340" t="n"/>
      <c r="S190" s="340" t="n"/>
      <c r="T190" s="340" t="n"/>
      <c r="U190" s="340" t="n"/>
      <c r="V190" s="340" t="n"/>
      <c r="W190" s="340" t="n"/>
      <c r="X190" s="340" t="n"/>
      <c r="Y190" s="340" t="n"/>
      <c r="Z190" s="340" t="n"/>
      <c r="AA190" s="340" t="n"/>
      <c r="AB190" s="340" t="n"/>
      <c r="AC190" s="340" t="n"/>
      <c r="AD190" s="340" t="n"/>
      <c r="AE190" s="340" t="n"/>
      <c r="AF190" s="340" t="n"/>
      <c r="AG190" s="340" t="n"/>
      <c r="AH190" s="340" t="n"/>
      <c r="AI190" s="340" t="n"/>
      <c r="AJ190" s="340" t="n"/>
      <c r="AK190" s="340" t="n"/>
      <c r="AL190" s="340" t="n"/>
    </row>
    <row r="191" ht="12.75" customHeight="1">
      <c r="K191" s="340" t="n"/>
      <c r="L191" s="340" t="n"/>
      <c r="M191" s="340" t="n"/>
      <c r="N191" s="340" t="n"/>
      <c r="O191" s="340" t="n"/>
      <c r="P191" s="340" t="n"/>
      <c r="Q191" s="340" t="n"/>
      <c r="R191" s="340" t="n"/>
      <c r="S191" s="340" t="n"/>
      <c r="T191" s="340" t="n"/>
      <c r="U191" s="340" t="n"/>
      <c r="V191" s="340" t="n"/>
      <c r="W191" s="340" t="n"/>
      <c r="X191" s="340" t="n"/>
      <c r="Y191" s="340" t="n"/>
      <c r="Z191" s="340" t="n"/>
      <c r="AA191" s="340" t="n"/>
      <c r="AB191" s="340" t="n"/>
      <c r="AC191" s="340" t="n"/>
      <c r="AD191" s="340" t="n"/>
      <c r="AE191" s="340" t="n"/>
      <c r="AF191" s="340" t="n"/>
      <c r="AG191" s="340" t="n"/>
      <c r="AH191" s="340" t="n"/>
      <c r="AI191" s="340" t="n"/>
      <c r="AJ191" s="340" t="n"/>
      <c r="AK191" s="340" t="n"/>
      <c r="AL191" s="340" t="n"/>
    </row>
    <row r="192" ht="12.75" customHeight="1">
      <c r="K192" s="340" t="n"/>
      <c r="L192" s="340" t="n"/>
      <c r="M192" s="340" t="n"/>
      <c r="N192" s="340" t="n"/>
      <c r="O192" s="340" t="n"/>
      <c r="P192" s="340" t="n"/>
      <c r="Q192" s="340" t="n"/>
      <c r="R192" s="340" t="n"/>
      <c r="S192" s="340" t="n"/>
      <c r="T192" s="340" t="n"/>
      <c r="U192" s="340" t="n"/>
      <c r="V192" s="340" t="n"/>
      <c r="W192" s="340" t="n"/>
      <c r="X192" s="340" t="n"/>
      <c r="Y192" s="340" t="n"/>
      <c r="Z192" s="340" t="n"/>
      <c r="AA192" s="340" t="n"/>
      <c r="AB192" s="340" t="n"/>
      <c r="AC192" s="340" t="n"/>
      <c r="AD192" s="340" t="n"/>
      <c r="AE192" s="340" t="n"/>
      <c r="AF192" s="340" t="n"/>
      <c r="AG192" s="340" t="n"/>
      <c r="AH192" s="340" t="n"/>
      <c r="AI192" s="340" t="n"/>
      <c r="AJ192" s="340" t="n"/>
      <c r="AK192" s="340" t="n"/>
      <c r="AL192" s="340" t="n"/>
    </row>
    <row r="193" ht="12.75" customHeight="1">
      <c r="K193" s="340" t="n"/>
      <c r="L193" s="340" t="n"/>
      <c r="M193" s="340" t="n"/>
      <c r="N193" s="340" t="n"/>
      <c r="O193" s="340" t="n"/>
      <c r="P193" s="340" t="n"/>
      <c r="Q193" s="340" t="n"/>
      <c r="R193" s="340" t="n"/>
      <c r="S193" s="340" t="n"/>
      <c r="T193" s="340" t="n"/>
      <c r="U193" s="340" t="n"/>
      <c r="V193" s="340" t="n"/>
      <c r="W193" s="340" t="n"/>
      <c r="X193" s="340" t="n"/>
      <c r="Y193" s="340" t="n"/>
      <c r="Z193" s="340" t="n"/>
      <c r="AA193" s="340" t="n"/>
      <c r="AB193" s="340" t="n"/>
      <c r="AC193" s="340" t="n"/>
      <c r="AD193" s="340" t="n"/>
      <c r="AE193" s="340" t="n"/>
      <c r="AF193" s="340" t="n"/>
      <c r="AG193" s="340" t="n"/>
      <c r="AH193" s="340" t="n"/>
      <c r="AI193" s="340" t="n"/>
      <c r="AJ193" s="340" t="n"/>
      <c r="AK193" s="340" t="n"/>
      <c r="AL193" s="340" t="n"/>
    </row>
    <row r="194" ht="12.75" customHeight="1">
      <c r="K194" s="340" t="n"/>
      <c r="L194" s="340" t="n"/>
      <c r="M194" s="340" t="n"/>
      <c r="N194" s="340" t="n"/>
      <c r="O194" s="340" t="n"/>
      <c r="P194" s="340" t="n"/>
      <c r="Q194" s="340" t="n"/>
      <c r="R194" s="340" t="n"/>
      <c r="S194" s="340" t="n"/>
      <c r="T194" s="340" t="n"/>
      <c r="U194" s="340" t="n"/>
      <c r="V194" s="340" t="n"/>
      <c r="W194" s="340" t="n"/>
      <c r="X194" s="340" t="n"/>
      <c r="Y194" s="340" t="n"/>
      <c r="Z194" s="340" t="n"/>
      <c r="AA194" s="340" t="n"/>
      <c r="AB194" s="340" t="n"/>
      <c r="AC194" s="340" t="n"/>
      <c r="AD194" s="340" t="n"/>
      <c r="AE194" s="340" t="n"/>
      <c r="AF194" s="340" t="n"/>
      <c r="AG194" s="340" t="n"/>
      <c r="AH194" s="340" t="n"/>
      <c r="AI194" s="340" t="n"/>
      <c r="AJ194" s="340" t="n"/>
      <c r="AK194" s="340" t="n"/>
      <c r="AL194" s="340" t="n"/>
    </row>
    <row r="195" ht="12.75" customHeight="1">
      <c r="K195" s="340" t="n"/>
      <c r="L195" s="340" t="n"/>
      <c r="M195" s="340" t="n"/>
      <c r="N195" s="340" t="n"/>
      <c r="O195" s="340" t="n"/>
      <c r="P195" s="340" t="n"/>
      <c r="Q195" s="340" t="n"/>
      <c r="R195" s="340" t="n"/>
      <c r="S195" s="340" t="n"/>
      <c r="T195" s="340" t="n"/>
      <c r="U195" s="340" t="n"/>
      <c r="V195" s="340" t="n"/>
      <c r="W195" s="340" t="n"/>
      <c r="X195" s="340" t="n"/>
      <c r="Y195" s="340" t="n"/>
      <c r="Z195" s="340" t="n"/>
      <c r="AA195" s="340" t="n"/>
      <c r="AB195" s="340" t="n"/>
      <c r="AC195" s="340" t="n"/>
      <c r="AD195" s="340" t="n"/>
      <c r="AE195" s="340" t="n"/>
      <c r="AF195" s="340" t="n"/>
      <c r="AG195" s="340" t="n"/>
      <c r="AH195" s="340" t="n"/>
      <c r="AI195" s="340" t="n"/>
      <c r="AJ195" s="340" t="n"/>
      <c r="AK195" s="340" t="n"/>
      <c r="AL195" s="340" t="n"/>
    </row>
    <row r="196" ht="12.75" customHeight="1">
      <c r="K196" s="340" t="n"/>
      <c r="L196" s="340" t="n"/>
      <c r="M196" s="340" t="n"/>
      <c r="N196" s="340" t="n"/>
      <c r="O196" s="340" t="n"/>
      <c r="P196" s="340" t="n"/>
      <c r="Q196" s="340" t="n"/>
      <c r="R196" s="340" t="n"/>
      <c r="S196" s="340" t="n"/>
      <c r="T196" s="340" t="n"/>
      <c r="U196" s="340" t="n"/>
      <c r="V196" s="340" t="n"/>
      <c r="W196" s="340" t="n"/>
      <c r="X196" s="340" t="n"/>
      <c r="Y196" s="340" t="n"/>
      <c r="Z196" s="340" t="n"/>
      <c r="AA196" s="340" t="n"/>
      <c r="AB196" s="340" t="n"/>
      <c r="AC196" s="340" t="n"/>
      <c r="AD196" s="340" t="n"/>
      <c r="AE196" s="340" t="n"/>
      <c r="AF196" s="340" t="n"/>
      <c r="AG196" s="340" t="n"/>
      <c r="AH196" s="340" t="n"/>
      <c r="AI196" s="340" t="n"/>
      <c r="AJ196" s="340" t="n"/>
      <c r="AK196" s="340" t="n"/>
      <c r="AL196" s="340" t="n"/>
    </row>
    <row r="197" ht="12.75" customHeight="1">
      <c r="K197" s="340" t="n"/>
      <c r="L197" s="340" t="n"/>
      <c r="M197" s="340" t="n"/>
      <c r="N197" s="340" t="n"/>
      <c r="O197" s="340" t="n"/>
      <c r="P197" s="340" t="n"/>
      <c r="Q197" s="340" t="n"/>
      <c r="R197" s="340" t="n"/>
      <c r="S197" s="340" t="n"/>
      <c r="T197" s="340" t="n"/>
      <c r="U197" s="340" t="n"/>
      <c r="V197" s="340" t="n"/>
      <c r="W197" s="340" t="n"/>
      <c r="X197" s="340" t="n"/>
      <c r="Y197" s="340" t="n"/>
      <c r="Z197" s="340" t="n"/>
      <c r="AA197" s="340" t="n"/>
      <c r="AB197" s="340" t="n"/>
      <c r="AC197" s="340" t="n"/>
      <c r="AD197" s="340" t="n"/>
      <c r="AE197" s="340" t="n"/>
      <c r="AF197" s="340" t="n"/>
      <c r="AG197" s="340" t="n"/>
      <c r="AH197" s="340" t="n"/>
      <c r="AI197" s="340" t="n"/>
      <c r="AJ197" s="340" t="n"/>
      <c r="AK197" s="340" t="n"/>
      <c r="AL197" s="340" t="n"/>
    </row>
    <row r="198" ht="12.75" customHeight="1">
      <c r="K198" s="340" t="n"/>
      <c r="L198" s="340" t="n"/>
      <c r="M198" s="340" t="n"/>
      <c r="N198" s="340" t="n"/>
      <c r="O198" s="340" t="n"/>
      <c r="P198" s="340" t="n"/>
      <c r="Q198" s="340" t="n"/>
      <c r="R198" s="340" t="n"/>
      <c r="S198" s="340" t="n"/>
      <c r="T198" s="340" t="n"/>
      <c r="U198" s="340" t="n"/>
      <c r="V198" s="340" t="n"/>
      <c r="W198" s="340" t="n"/>
      <c r="X198" s="340" t="n"/>
      <c r="Y198" s="340" t="n"/>
      <c r="Z198" s="340" t="n"/>
      <c r="AA198" s="340" t="n"/>
      <c r="AB198" s="340" t="n"/>
      <c r="AC198" s="340" t="n"/>
      <c r="AD198" s="340" t="n"/>
      <c r="AE198" s="340" t="n"/>
      <c r="AF198" s="340" t="n"/>
      <c r="AG198" s="340" t="n"/>
      <c r="AH198" s="340" t="n"/>
      <c r="AI198" s="340" t="n"/>
      <c r="AJ198" s="340" t="n"/>
      <c r="AK198" s="340" t="n"/>
      <c r="AL198" s="340" t="n"/>
    </row>
    <row r="199" ht="12.75" customHeight="1">
      <c r="K199" s="340" t="n"/>
      <c r="L199" s="340" t="n"/>
      <c r="M199" s="340" t="n"/>
      <c r="N199" s="340" t="n"/>
      <c r="O199" s="340" t="n"/>
      <c r="P199" s="340" t="n"/>
      <c r="Q199" s="340" t="n"/>
      <c r="R199" s="340" t="n"/>
      <c r="S199" s="340" t="n"/>
      <c r="T199" s="340" t="n"/>
      <c r="U199" s="340" t="n"/>
      <c r="V199" s="340" t="n"/>
      <c r="W199" s="340" t="n"/>
      <c r="X199" s="340" t="n"/>
      <c r="Y199" s="340" t="n"/>
      <c r="Z199" s="340" t="n"/>
      <c r="AA199" s="340" t="n"/>
      <c r="AB199" s="340" t="n"/>
      <c r="AC199" s="340" t="n"/>
      <c r="AD199" s="340" t="n"/>
      <c r="AE199" s="340" t="n"/>
      <c r="AF199" s="340" t="n"/>
      <c r="AG199" s="340" t="n"/>
      <c r="AH199" s="340" t="n"/>
      <c r="AI199" s="340" t="n"/>
      <c r="AJ199" s="340" t="n"/>
      <c r="AK199" s="340" t="n"/>
      <c r="AL199" s="340" t="n"/>
    </row>
    <row r="200" ht="12.75" customHeight="1">
      <c r="K200" s="340" t="n"/>
      <c r="L200" s="340" t="n"/>
      <c r="M200" s="340" t="n"/>
      <c r="N200" s="340" t="n"/>
      <c r="O200" s="340" t="n"/>
      <c r="P200" s="340" t="n"/>
      <c r="Q200" s="340" t="n"/>
      <c r="R200" s="340" t="n"/>
      <c r="S200" s="340" t="n"/>
      <c r="T200" s="340" t="n"/>
      <c r="U200" s="340" t="n"/>
      <c r="V200" s="340" t="n"/>
      <c r="W200" s="340" t="n"/>
      <c r="X200" s="340" t="n"/>
      <c r="Y200" s="340" t="n"/>
      <c r="Z200" s="340" t="n"/>
      <c r="AA200" s="340" t="n"/>
      <c r="AB200" s="340" t="n"/>
      <c r="AC200" s="340" t="n"/>
      <c r="AD200" s="340" t="n"/>
      <c r="AE200" s="340" t="n"/>
      <c r="AF200" s="340" t="n"/>
      <c r="AG200" s="340" t="n"/>
      <c r="AH200" s="340" t="n"/>
      <c r="AI200" s="340" t="n"/>
      <c r="AJ200" s="340" t="n"/>
      <c r="AK200" s="340" t="n"/>
      <c r="AL200" s="340" t="n"/>
    </row>
    <row r="201" ht="12.75" customHeight="1">
      <c r="K201" s="340" t="n"/>
      <c r="L201" s="340" t="n"/>
      <c r="M201" s="340" t="n"/>
      <c r="N201" s="340" t="n"/>
      <c r="O201" s="340" t="n"/>
      <c r="P201" s="340" t="n"/>
      <c r="Q201" s="340" t="n"/>
      <c r="R201" s="340" t="n"/>
      <c r="S201" s="340" t="n"/>
      <c r="T201" s="340" t="n"/>
      <c r="U201" s="340" t="n"/>
      <c r="V201" s="340" t="n"/>
      <c r="W201" s="340" t="n"/>
      <c r="X201" s="340" t="n"/>
      <c r="Y201" s="340" t="n"/>
      <c r="Z201" s="340" t="n"/>
      <c r="AA201" s="340" t="n"/>
      <c r="AB201" s="340" t="n"/>
      <c r="AC201" s="340" t="n"/>
      <c r="AD201" s="340" t="n"/>
      <c r="AE201" s="340" t="n"/>
      <c r="AF201" s="340" t="n"/>
      <c r="AG201" s="340" t="n"/>
      <c r="AH201" s="340" t="n"/>
      <c r="AI201" s="340" t="n"/>
      <c r="AJ201" s="340" t="n"/>
      <c r="AK201" s="340" t="n"/>
      <c r="AL201" s="340" t="n"/>
    </row>
    <row r="202" ht="12.75" customHeight="1">
      <c r="K202" s="340" t="n"/>
      <c r="L202" s="340" t="n"/>
      <c r="M202" s="340" t="n"/>
      <c r="N202" s="340" t="n"/>
      <c r="O202" s="340" t="n"/>
      <c r="P202" s="340" t="n"/>
      <c r="Q202" s="340" t="n"/>
      <c r="R202" s="340" t="n"/>
      <c r="S202" s="340" t="n"/>
      <c r="T202" s="340" t="n"/>
      <c r="U202" s="340" t="n"/>
      <c r="V202" s="340" t="n"/>
      <c r="W202" s="340" t="n"/>
      <c r="X202" s="340" t="n"/>
      <c r="Y202" s="340" t="n"/>
      <c r="Z202" s="340" t="n"/>
      <c r="AA202" s="340" t="n"/>
      <c r="AB202" s="340" t="n"/>
      <c r="AC202" s="340" t="n"/>
      <c r="AD202" s="340" t="n"/>
      <c r="AE202" s="340" t="n"/>
      <c r="AF202" s="340" t="n"/>
      <c r="AG202" s="340" t="n"/>
      <c r="AH202" s="340" t="n"/>
      <c r="AI202" s="340" t="n"/>
      <c r="AJ202" s="340" t="n"/>
      <c r="AK202" s="340" t="n"/>
      <c r="AL202" s="340" t="n"/>
    </row>
    <row r="203" ht="12.75" customHeight="1">
      <c r="K203" s="340" t="n"/>
      <c r="L203" s="340" t="n"/>
      <c r="M203" s="340" t="n"/>
      <c r="N203" s="340" t="n"/>
      <c r="O203" s="340" t="n"/>
      <c r="P203" s="340" t="n"/>
      <c r="Q203" s="340" t="n"/>
      <c r="R203" s="340" t="n"/>
      <c r="S203" s="340" t="n"/>
      <c r="T203" s="340" t="n"/>
      <c r="U203" s="340" t="n"/>
      <c r="V203" s="340" t="n"/>
      <c r="W203" s="340" t="n"/>
      <c r="X203" s="340" t="n"/>
      <c r="Y203" s="340" t="n"/>
      <c r="Z203" s="340" t="n"/>
      <c r="AA203" s="340" t="n"/>
      <c r="AB203" s="340" t="n"/>
      <c r="AC203" s="340" t="n"/>
      <c r="AD203" s="340" t="n"/>
      <c r="AE203" s="340" t="n"/>
      <c r="AF203" s="340" t="n"/>
      <c r="AG203" s="340" t="n"/>
      <c r="AH203" s="340" t="n"/>
      <c r="AI203" s="340" t="n"/>
      <c r="AJ203" s="340" t="n"/>
      <c r="AK203" s="340" t="n"/>
      <c r="AL203" s="340" t="n"/>
    </row>
    <row r="204" ht="12.75" customHeight="1">
      <c r="K204" s="340" t="n"/>
      <c r="L204" s="340" t="n"/>
      <c r="M204" s="340" t="n"/>
      <c r="N204" s="340" t="n"/>
      <c r="O204" s="340" t="n"/>
      <c r="P204" s="340" t="n"/>
      <c r="Q204" s="340" t="n"/>
      <c r="R204" s="340" t="n"/>
      <c r="S204" s="340" t="n"/>
      <c r="T204" s="340" t="n"/>
      <c r="U204" s="340" t="n"/>
      <c r="V204" s="340" t="n"/>
      <c r="W204" s="340" t="n"/>
      <c r="X204" s="340" t="n"/>
      <c r="Y204" s="340" t="n"/>
      <c r="Z204" s="340" t="n"/>
      <c r="AA204" s="340" t="n"/>
      <c r="AB204" s="340" t="n"/>
      <c r="AC204" s="340" t="n"/>
      <c r="AD204" s="340" t="n"/>
      <c r="AE204" s="340" t="n"/>
      <c r="AF204" s="340" t="n"/>
      <c r="AG204" s="340" t="n"/>
      <c r="AH204" s="340" t="n"/>
      <c r="AI204" s="340" t="n"/>
      <c r="AJ204" s="340" t="n"/>
      <c r="AK204" s="340" t="n"/>
      <c r="AL204" s="340" t="n"/>
    </row>
    <row r="205" ht="12.75" customHeight="1">
      <c r="K205" s="340" t="n"/>
      <c r="L205" s="340" t="n"/>
      <c r="M205" s="340" t="n"/>
      <c r="N205" s="340" t="n"/>
      <c r="O205" s="340" t="n"/>
      <c r="P205" s="340" t="n"/>
      <c r="Q205" s="340" t="n"/>
      <c r="R205" s="340" t="n"/>
      <c r="S205" s="340" t="n"/>
      <c r="T205" s="340" t="n"/>
      <c r="U205" s="340" t="n"/>
      <c r="V205" s="340" t="n"/>
      <c r="W205" s="340" t="n"/>
      <c r="X205" s="340" t="n"/>
      <c r="Y205" s="340" t="n"/>
      <c r="Z205" s="340" t="n"/>
      <c r="AA205" s="340" t="n"/>
      <c r="AB205" s="340" t="n"/>
      <c r="AC205" s="340" t="n"/>
      <c r="AD205" s="340" t="n"/>
      <c r="AE205" s="340" t="n"/>
      <c r="AF205" s="340" t="n"/>
      <c r="AG205" s="340" t="n"/>
      <c r="AH205" s="340" t="n"/>
      <c r="AI205" s="340" t="n"/>
      <c r="AJ205" s="340" t="n"/>
      <c r="AK205" s="340" t="n"/>
      <c r="AL205" s="340" t="n"/>
    </row>
    <row r="206" ht="12.75" customHeight="1">
      <c r="K206" s="340" t="n"/>
      <c r="L206" s="340" t="n"/>
      <c r="M206" s="340" t="n"/>
      <c r="N206" s="340" t="n"/>
      <c r="O206" s="340" t="n"/>
      <c r="P206" s="340" t="n"/>
      <c r="Q206" s="340" t="n"/>
      <c r="R206" s="340" t="n"/>
      <c r="S206" s="340" t="n"/>
      <c r="T206" s="340" t="n"/>
      <c r="U206" s="340" t="n"/>
      <c r="V206" s="340" t="n"/>
      <c r="W206" s="340" t="n"/>
      <c r="X206" s="340" t="n"/>
      <c r="Y206" s="340" t="n"/>
      <c r="Z206" s="340" t="n"/>
      <c r="AA206" s="340" t="n"/>
      <c r="AB206" s="340" t="n"/>
      <c r="AC206" s="340" t="n"/>
      <c r="AD206" s="340" t="n"/>
      <c r="AE206" s="340" t="n"/>
      <c r="AF206" s="340" t="n"/>
      <c r="AG206" s="340" t="n"/>
      <c r="AH206" s="340" t="n"/>
      <c r="AI206" s="340" t="n"/>
      <c r="AJ206" s="340" t="n"/>
      <c r="AK206" s="340" t="n"/>
      <c r="AL206" s="340" t="n"/>
    </row>
    <row r="207" ht="12.75" customHeight="1">
      <c r="K207" s="340" t="n"/>
      <c r="L207" s="340" t="n"/>
      <c r="M207" s="340" t="n"/>
      <c r="N207" s="340" t="n"/>
      <c r="O207" s="340" t="n"/>
      <c r="P207" s="340" t="n"/>
      <c r="Q207" s="340" t="n"/>
      <c r="R207" s="340" t="n"/>
      <c r="S207" s="340" t="n"/>
      <c r="T207" s="340" t="n"/>
      <c r="U207" s="340" t="n"/>
      <c r="V207" s="340" t="n"/>
      <c r="W207" s="340" t="n"/>
      <c r="X207" s="340" t="n"/>
      <c r="Y207" s="340" t="n"/>
      <c r="Z207" s="340" t="n"/>
      <c r="AA207" s="340" t="n"/>
      <c r="AB207" s="340" t="n"/>
      <c r="AC207" s="340" t="n"/>
      <c r="AD207" s="340" t="n"/>
      <c r="AE207" s="340" t="n"/>
      <c r="AF207" s="340" t="n"/>
      <c r="AG207" s="340" t="n"/>
      <c r="AH207" s="340" t="n"/>
      <c r="AI207" s="340" t="n"/>
      <c r="AJ207" s="340" t="n"/>
      <c r="AK207" s="340" t="n"/>
      <c r="AL207" s="340" t="n"/>
    </row>
    <row r="208" ht="12.75" customHeight="1">
      <c r="K208" s="340" t="n"/>
      <c r="L208" s="340" t="n"/>
      <c r="M208" s="340" t="n"/>
      <c r="N208" s="340" t="n"/>
      <c r="O208" s="340" t="n"/>
      <c r="P208" s="340" t="n"/>
      <c r="Q208" s="340" t="n"/>
      <c r="R208" s="340" t="n"/>
      <c r="S208" s="340" t="n"/>
      <c r="T208" s="340" t="n"/>
      <c r="U208" s="340" t="n"/>
      <c r="V208" s="340" t="n"/>
      <c r="W208" s="340" t="n"/>
      <c r="X208" s="340" t="n"/>
      <c r="Y208" s="340" t="n"/>
      <c r="Z208" s="340" t="n"/>
      <c r="AA208" s="340" t="n"/>
      <c r="AB208" s="340" t="n"/>
      <c r="AC208" s="340" t="n"/>
      <c r="AD208" s="340" t="n"/>
      <c r="AE208" s="340" t="n"/>
      <c r="AF208" s="340" t="n"/>
      <c r="AG208" s="340" t="n"/>
      <c r="AH208" s="340" t="n"/>
      <c r="AI208" s="340" t="n"/>
      <c r="AJ208" s="340" t="n"/>
      <c r="AK208" s="340" t="n"/>
      <c r="AL208" s="340" t="n"/>
    </row>
    <row r="209" ht="12.75" customHeight="1">
      <c r="K209" s="340" t="n"/>
      <c r="L209" s="340" t="n"/>
      <c r="M209" s="340" t="n"/>
      <c r="N209" s="340" t="n"/>
      <c r="O209" s="340" t="n"/>
      <c r="P209" s="340" t="n"/>
      <c r="Q209" s="340" t="n"/>
      <c r="R209" s="340" t="n"/>
      <c r="S209" s="340" t="n"/>
      <c r="T209" s="340" t="n"/>
      <c r="U209" s="340" t="n"/>
      <c r="V209" s="340" t="n"/>
      <c r="W209" s="340" t="n"/>
      <c r="X209" s="340" t="n"/>
      <c r="Y209" s="340" t="n"/>
      <c r="Z209" s="340" t="n"/>
      <c r="AA209" s="340" t="n"/>
      <c r="AB209" s="340" t="n"/>
      <c r="AC209" s="340" t="n"/>
      <c r="AD209" s="340" t="n"/>
      <c r="AE209" s="340" t="n"/>
      <c r="AF209" s="340" t="n"/>
      <c r="AG209" s="340" t="n"/>
      <c r="AH209" s="340" t="n"/>
      <c r="AI209" s="340" t="n"/>
      <c r="AJ209" s="340" t="n"/>
      <c r="AK209" s="340" t="n"/>
      <c r="AL209" s="340" t="n"/>
    </row>
    <row r="210" ht="12.75" customHeight="1">
      <c r="K210" s="340" t="n"/>
      <c r="L210" s="340" t="n"/>
      <c r="M210" s="340" t="n"/>
      <c r="N210" s="340" t="n"/>
      <c r="O210" s="340" t="n"/>
      <c r="P210" s="340" t="n"/>
      <c r="Q210" s="340" t="n"/>
      <c r="R210" s="340" t="n"/>
      <c r="S210" s="340" t="n"/>
      <c r="T210" s="340" t="n"/>
      <c r="U210" s="340" t="n"/>
      <c r="V210" s="340" t="n"/>
      <c r="W210" s="340" t="n"/>
      <c r="X210" s="340" t="n"/>
      <c r="Y210" s="340" t="n"/>
      <c r="Z210" s="340" t="n"/>
      <c r="AA210" s="340" t="n"/>
      <c r="AB210" s="340" t="n"/>
      <c r="AC210" s="340" t="n"/>
      <c r="AD210" s="340" t="n"/>
      <c r="AE210" s="340" t="n"/>
      <c r="AF210" s="340" t="n"/>
      <c r="AG210" s="340" t="n"/>
      <c r="AH210" s="340" t="n"/>
      <c r="AI210" s="340" t="n"/>
      <c r="AJ210" s="340" t="n"/>
      <c r="AK210" s="340" t="n"/>
      <c r="AL210" s="340" t="n"/>
    </row>
    <row r="211" ht="12.75" customHeight="1">
      <c r="K211" s="340" t="n"/>
      <c r="L211" s="340" t="n"/>
      <c r="M211" s="340" t="n"/>
      <c r="N211" s="340" t="n"/>
      <c r="O211" s="340" t="n"/>
      <c r="P211" s="340" t="n"/>
      <c r="Q211" s="340" t="n"/>
      <c r="R211" s="340" t="n"/>
      <c r="S211" s="340" t="n"/>
      <c r="T211" s="340" t="n"/>
      <c r="U211" s="340" t="n"/>
      <c r="V211" s="340" t="n"/>
      <c r="W211" s="340" t="n"/>
      <c r="X211" s="340" t="n"/>
      <c r="Y211" s="340" t="n"/>
      <c r="Z211" s="340" t="n"/>
      <c r="AA211" s="340" t="n"/>
      <c r="AB211" s="340" t="n"/>
      <c r="AC211" s="340" t="n"/>
      <c r="AD211" s="340" t="n"/>
      <c r="AE211" s="340" t="n"/>
      <c r="AF211" s="340" t="n"/>
      <c r="AG211" s="340" t="n"/>
      <c r="AH211" s="340" t="n"/>
      <c r="AI211" s="340" t="n"/>
      <c r="AJ211" s="340" t="n"/>
      <c r="AK211" s="340" t="n"/>
      <c r="AL211" s="340" t="n"/>
    </row>
    <row r="212" ht="12.75" customHeight="1">
      <c r="K212" s="340" t="n"/>
      <c r="L212" s="340" t="n"/>
      <c r="M212" s="340" t="n"/>
      <c r="N212" s="340" t="n"/>
      <c r="O212" s="340" t="n"/>
      <c r="P212" s="340" t="n"/>
      <c r="Q212" s="340" t="n"/>
      <c r="R212" s="340" t="n"/>
      <c r="S212" s="340" t="n"/>
      <c r="T212" s="340" t="n"/>
      <c r="U212" s="340" t="n"/>
      <c r="V212" s="340" t="n"/>
      <c r="W212" s="340" t="n"/>
      <c r="X212" s="340" t="n"/>
      <c r="Y212" s="340" t="n"/>
      <c r="Z212" s="340" t="n"/>
      <c r="AA212" s="340" t="n"/>
      <c r="AB212" s="340" t="n"/>
      <c r="AC212" s="340" t="n"/>
      <c r="AD212" s="340" t="n"/>
      <c r="AE212" s="340" t="n"/>
      <c r="AF212" s="340" t="n"/>
      <c r="AG212" s="340" t="n"/>
      <c r="AH212" s="340" t="n"/>
      <c r="AI212" s="340" t="n"/>
      <c r="AJ212" s="340" t="n"/>
      <c r="AK212" s="340" t="n"/>
      <c r="AL212" s="340" t="n"/>
    </row>
    <row r="213" ht="12.75" customHeight="1">
      <c r="K213" s="340" t="n"/>
      <c r="L213" s="340" t="n"/>
      <c r="M213" s="340" t="n"/>
      <c r="N213" s="340" t="n"/>
      <c r="O213" s="340" t="n"/>
      <c r="P213" s="340" t="n"/>
      <c r="Q213" s="340" t="n"/>
      <c r="R213" s="340" t="n"/>
      <c r="S213" s="340" t="n"/>
      <c r="T213" s="340" t="n"/>
      <c r="U213" s="340" t="n"/>
      <c r="V213" s="340" t="n"/>
      <c r="W213" s="340" t="n"/>
      <c r="X213" s="340" t="n"/>
      <c r="Y213" s="340" t="n"/>
      <c r="Z213" s="340" t="n"/>
      <c r="AA213" s="340" t="n"/>
      <c r="AB213" s="340" t="n"/>
      <c r="AC213" s="340" t="n"/>
      <c r="AD213" s="340" t="n"/>
      <c r="AE213" s="340" t="n"/>
      <c r="AF213" s="340" t="n"/>
      <c r="AG213" s="340" t="n"/>
      <c r="AH213" s="340" t="n"/>
      <c r="AI213" s="340" t="n"/>
      <c r="AJ213" s="340" t="n"/>
      <c r="AK213" s="340" t="n"/>
      <c r="AL213" s="340" t="n"/>
    </row>
    <row r="214" ht="12.75" customHeight="1">
      <c r="K214" s="340" t="n"/>
      <c r="L214" s="340" t="n"/>
      <c r="M214" s="340" t="n"/>
      <c r="N214" s="340" t="n"/>
      <c r="O214" s="340" t="n"/>
      <c r="P214" s="340" t="n"/>
      <c r="Q214" s="340" t="n"/>
      <c r="R214" s="340" t="n"/>
      <c r="S214" s="340" t="n"/>
      <c r="T214" s="340" t="n"/>
      <c r="U214" s="340" t="n"/>
      <c r="V214" s="340" t="n"/>
      <c r="W214" s="340" t="n"/>
      <c r="X214" s="340" t="n"/>
      <c r="Y214" s="340" t="n"/>
      <c r="Z214" s="340" t="n"/>
      <c r="AA214" s="340" t="n"/>
      <c r="AB214" s="340" t="n"/>
      <c r="AC214" s="340" t="n"/>
      <c r="AD214" s="340" t="n"/>
      <c r="AE214" s="340" t="n"/>
      <c r="AF214" s="340" t="n"/>
      <c r="AG214" s="340" t="n"/>
      <c r="AH214" s="340" t="n"/>
      <c r="AI214" s="340" t="n"/>
      <c r="AJ214" s="340" t="n"/>
      <c r="AK214" s="340" t="n"/>
      <c r="AL214" s="340" t="n"/>
    </row>
    <row r="215" ht="12.75" customHeight="1">
      <c r="K215" s="340" t="n"/>
      <c r="L215" s="340" t="n"/>
      <c r="M215" s="340" t="n"/>
      <c r="N215" s="340" t="n"/>
      <c r="O215" s="340" t="n"/>
      <c r="P215" s="340" t="n"/>
      <c r="Q215" s="340" t="n"/>
      <c r="R215" s="340" t="n"/>
      <c r="S215" s="340" t="n"/>
      <c r="T215" s="340" t="n"/>
      <c r="U215" s="340" t="n"/>
      <c r="V215" s="340" t="n"/>
      <c r="W215" s="340" t="n"/>
      <c r="X215" s="340" t="n"/>
      <c r="Y215" s="340" t="n"/>
      <c r="Z215" s="340" t="n"/>
      <c r="AA215" s="340" t="n"/>
      <c r="AB215" s="340" t="n"/>
      <c r="AC215" s="340" t="n"/>
      <c r="AD215" s="340" t="n"/>
      <c r="AE215" s="340" t="n"/>
      <c r="AF215" s="340" t="n"/>
      <c r="AG215" s="340" t="n"/>
      <c r="AH215" s="340" t="n"/>
      <c r="AI215" s="340" t="n"/>
      <c r="AJ215" s="340" t="n"/>
      <c r="AK215" s="340" t="n"/>
      <c r="AL215" s="340" t="n"/>
    </row>
    <row r="216" ht="12.75" customHeight="1">
      <c r="K216" s="340" t="n"/>
      <c r="L216" s="340" t="n"/>
      <c r="M216" s="340" t="n"/>
      <c r="N216" s="340" t="n"/>
      <c r="O216" s="340" t="n"/>
      <c r="P216" s="340" t="n"/>
      <c r="Q216" s="340" t="n"/>
      <c r="R216" s="340" t="n"/>
      <c r="S216" s="340" t="n"/>
      <c r="T216" s="340" t="n"/>
      <c r="U216" s="340" t="n"/>
      <c r="V216" s="340" t="n"/>
      <c r="W216" s="340" t="n"/>
      <c r="X216" s="340" t="n"/>
      <c r="Y216" s="340" t="n"/>
      <c r="Z216" s="340" t="n"/>
      <c r="AA216" s="340" t="n"/>
      <c r="AB216" s="340" t="n"/>
      <c r="AC216" s="340" t="n"/>
      <c r="AD216" s="340" t="n"/>
      <c r="AE216" s="340" t="n"/>
      <c r="AF216" s="340" t="n"/>
      <c r="AG216" s="340" t="n"/>
      <c r="AH216" s="340" t="n"/>
      <c r="AI216" s="340" t="n"/>
      <c r="AJ216" s="340" t="n"/>
      <c r="AK216" s="340" t="n"/>
      <c r="AL216" s="340" t="n"/>
    </row>
    <row r="217" ht="12.75" customHeight="1">
      <c r="K217" s="340" t="n"/>
      <c r="L217" s="340" t="n"/>
      <c r="M217" s="340" t="n"/>
      <c r="N217" s="340" t="n"/>
      <c r="O217" s="340" t="n"/>
      <c r="P217" s="340" t="n"/>
      <c r="Q217" s="340" t="n"/>
      <c r="R217" s="340" t="n"/>
      <c r="S217" s="340" t="n"/>
      <c r="T217" s="340" t="n"/>
      <c r="U217" s="340" t="n"/>
      <c r="V217" s="340" t="n"/>
      <c r="W217" s="340" t="n"/>
      <c r="X217" s="340" t="n"/>
      <c r="Y217" s="340" t="n"/>
      <c r="Z217" s="340" t="n"/>
      <c r="AA217" s="340" t="n"/>
      <c r="AB217" s="340" t="n"/>
      <c r="AC217" s="340" t="n"/>
      <c r="AD217" s="340" t="n"/>
      <c r="AE217" s="340" t="n"/>
      <c r="AF217" s="340" t="n"/>
      <c r="AG217" s="340" t="n"/>
      <c r="AH217" s="340" t="n"/>
      <c r="AI217" s="340" t="n"/>
      <c r="AJ217" s="340" t="n"/>
      <c r="AK217" s="340" t="n"/>
      <c r="AL217" s="340" t="n"/>
    </row>
    <row r="218" ht="12.75" customHeight="1">
      <c r="K218" s="340" t="n"/>
      <c r="L218" s="340" t="n"/>
      <c r="M218" s="340" t="n"/>
      <c r="N218" s="340" t="n"/>
      <c r="O218" s="340" t="n"/>
      <c r="P218" s="340" t="n"/>
      <c r="Q218" s="340" t="n"/>
      <c r="R218" s="340" t="n"/>
      <c r="S218" s="340" t="n"/>
      <c r="T218" s="340" t="n"/>
      <c r="U218" s="340" t="n"/>
      <c r="V218" s="340" t="n"/>
      <c r="W218" s="340" t="n"/>
      <c r="X218" s="340" t="n"/>
      <c r="Y218" s="340" t="n"/>
      <c r="Z218" s="340" t="n"/>
      <c r="AA218" s="340" t="n"/>
      <c r="AB218" s="340" t="n"/>
      <c r="AC218" s="340" t="n"/>
      <c r="AD218" s="340" t="n"/>
      <c r="AE218" s="340" t="n"/>
      <c r="AF218" s="340" t="n"/>
      <c r="AG218" s="340" t="n"/>
      <c r="AH218" s="340" t="n"/>
      <c r="AI218" s="340" t="n"/>
      <c r="AJ218" s="340" t="n"/>
      <c r="AK218" s="340" t="n"/>
      <c r="AL218" s="340" t="n"/>
    </row>
    <row r="219" ht="12.75" customHeight="1">
      <c r="K219" s="340" t="n"/>
      <c r="L219" s="340" t="n"/>
      <c r="M219" s="340" t="n"/>
      <c r="N219" s="340" t="n"/>
      <c r="O219" s="340" t="n"/>
      <c r="P219" s="340" t="n"/>
      <c r="Q219" s="340" t="n"/>
      <c r="R219" s="340" t="n"/>
      <c r="S219" s="340" t="n"/>
      <c r="T219" s="340" t="n"/>
      <c r="U219" s="340" t="n"/>
      <c r="V219" s="340" t="n"/>
      <c r="W219" s="340" t="n"/>
      <c r="X219" s="340" t="n"/>
      <c r="Y219" s="340" t="n"/>
      <c r="Z219" s="340" t="n"/>
      <c r="AA219" s="340" t="n"/>
      <c r="AB219" s="340" t="n"/>
      <c r="AC219" s="340" t="n"/>
      <c r="AD219" s="340" t="n"/>
      <c r="AE219" s="340" t="n"/>
      <c r="AF219" s="340" t="n"/>
      <c r="AG219" s="340" t="n"/>
      <c r="AH219" s="340" t="n"/>
      <c r="AI219" s="340" t="n"/>
      <c r="AJ219" s="340" t="n"/>
      <c r="AK219" s="340" t="n"/>
      <c r="AL219" s="340" t="n"/>
    </row>
    <row r="220" ht="12.75" customHeight="1">
      <c r="K220" s="340" t="n"/>
      <c r="L220" s="340" t="n"/>
      <c r="M220" s="340" t="n"/>
      <c r="N220" s="340" t="n"/>
      <c r="O220" s="340" t="n"/>
      <c r="P220" s="340" t="n"/>
      <c r="Q220" s="340" t="n"/>
      <c r="R220" s="340" t="n"/>
      <c r="S220" s="340" t="n"/>
      <c r="T220" s="340" t="n"/>
      <c r="U220" s="340" t="n"/>
      <c r="V220" s="340" t="n"/>
      <c r="W220" s="340" t="n"/>
      <c r="X220" s="340" t="n"/>
      <c r="Y220" s="340" t="n"/>
      <c r="Z220" s="340" t="n"/>
      <c r="AA220" s="340" t="n"/>
      <c r="AB220" s="340" t="n"/>
      <c r="AC220" s="340" t="n"/>
      <c r="AD220" s="340" t="n"/>
      <c r="AE220" s="340" t="n"/>
      <c r="AF220" s="340" t="n"/>
      <c r="AG220" s="340" t="n"/>
      <c r="AH220" s="340" t="n"/>
      <c r="AI220" s="340" t="n"/>
      <c r="AJ220" s="340" t="n"/>
      <c r="AK220" s="340" t="n"/>
      <c r="AL220" s="340" t="n"/>
    </row>
    <row r="221" ht="12.75" customHeight="1">
      <c r="K221" s="340" t="n"/>
      <c r="L221" s="340" t="n"/>
      <c r="M221" s="340" t="n"/>
      <c r="N221" s="340" t="n"/>
      <c r="O221" s="340" t="n"/>
      <c r="P221" s="340" t="n"/>
      <c r="Q221" s="340" t="n"/>
      <c r="R221" s="340" t="n"/>
      <c r="S221" s="340" t="n"/>
      <c r="T221" s="340" t="n"/>
      <c r="U221" s="340" t="n"/>
      <c r="V221" s="340" t="n"/>
      <c r="W221" s="340" t="n"/>
      <c r="X221" s="340" t="n"/>
      <c r="Y221" s="340" t="n"/>
      <c r="Z221" s="340" t="n"/>
      <c r="AA221" s="340" t="n"/>
      <c r="AB221" s="340" t="n"/>
      <c r="AC221" s="340" t="n"/>
      <c r="AD221" s="340" t="n"/>
      <c r="AE221" s="340" t="n"/>
      <c r="AF221" s="340" t="n"/>
      <c r="AG221" s="340" t="n"/>
      <c r="AH221" s="340" t="n"/>
      <c r="AI221" s="340" t="n"/>
      <c r="AJ221" s="340" t="n"/>
      <c r="AK221" s="340" t="n"/>
      <c r="AL221" s="340" t="n"/>
    </row>
    <row r="222" ht="12.75" customHeight="1">
      <c r="K222" s="340" t="n"/>
      <c r="L222" s="340" t="n"/>
      <c r="M222" s="340" t="n"/>
      <c r="N222" s="340" t="n"/>
      <c r="O222" s="340" t="n"/>
      <c r="P222" s="340" t="n"/>
      <c r="Q222" s="340" t="n"/>
      <c r="R222" s="340" t="n"/>
      <c r="S222" s="340" t="n"/>
      <c r="T222" s="340" t="n"/>
      <c r="U222" s="340" t="n"/>
      <c r="V222" s="340" t="n"/>
      <c r="W222" s="340" t="n"/>
      <c r="X222" s="340" t="n"/>
      <c r="Y222" s="340" t="n"/>
      <c r="Z222" s="340" t="n"/>
      <c r="AA222" s="340" t="n"/>
      <c r="AB222" s="340" t="n"/>
      <c r="AC222" s="340" t="n"/>
      <c r="AD222" s="340" t="n"/>
      <c r="AE222" s="340" t="n"/>
      <c r="AF222" s="340" t="n"/>
      <c r="AG222" s="340" t="n"/>
      <c r="AH222" s="340" t="n"/>
      <c r="AI222" s="340" t="n"/>
      <c r="AJ222" s="340" t="n"/>
      <c r="AK222" s="340" t="n"/>
      <c r="AL222" s="340" t="n"/>
    </row>
    <row r="223" ht="12.75" customHeight="1">
      <c r="K223" s="340" t="n"/>
      <c r="L223" s="340" t="n"/>
      <c r="M223" s="340" t="n"/>
      <c r="N223" s="340" t="n"/>
      <c r="O223" s="340" t="n"/>
      <c r="P223" s="340" t="n"/>
      <c r="Q223" s="340" t="n"/>
      <c r="R223" s="340" t="n"/>
      <c r="S223" s="340" t="n"/>
      <c r="T223" s="340" t="n"/>
      <c r="U223" s="340" t="n"/>
      <c r="V223" s="340" t="n"/>
      <c r="W223" s="340" t="n"/>
      <c r="X223" s="340" t="n"/>
      <c r="Y223" s="340" t="n"/>
      <c r="Z223" s="340" t="n"/>
      <c r="AA223" s="340" t="n"/>
      <c r="AB223" s="340" t="n"/>
      <c r="AC223" s="340" t="n"/>
      <c r="AD223" s="340" t="n"/>
      <c r="AE223" s="340" t="n"/>
      <c r="AF223" s="340" t="n"/>
      <c r="AG223" s="340" t="n"/>
      <c r="AH223" s="340" t="n"/>
      <c r="AI223" s="340" t="n"/>
      <c r="AJ223" s="340" t="n"/>
      <c r="AK223" s="340" t="n"/>
      <c r="AL223" s="340" t="n"/>
    </row>
    <row r="224" ht="12.75" customHeight="1">
      <c r="K224" s="340" t="n"/>
      <c r="L224" s="340" t="n"/>
      <c r="M224" s="340" t="n"/>
      <c r="N224" s="340" t="n"/>
      <c r="O224" s="340" t="n"/>
      <c r="P224" s="340" t="n"/>
      <c r="Q224" s="340" t="n"/>
      <c r="R224" s="340" t="n"/>
      <c r="S224" s="340" t="n"/>
      <c r="T224" s="340" t="n"/>
      <c r="U224" s="340" t="n"/>
      <c r="V224" s="340" t="n"/>
      <c r="W224" s="340" t="n"/>
      <c r="X224" s="340" t="n"/>
      <c r="Y224" s="340" t="n"/>
      <c r="Z224" s="340" t="n"/>
      <c r="AA224" s="340" t="n"/>
      <c r="AB224" s="340" t="n"/>
      <c r="AC224" s="340" t="n"/>
      <c r="AD224" s="340" t="n"/>
      <c r="AE224" s="340" t="n"/>
      <c r="AF224" s="340" t="n"/>
      <c r="AG224" s="340" t="n"/>
      <c r="AH224" s="340" t="n"/>
      <c r="AI224" s="340" t="n"/>
      <c r="AJ224" s="340" t="n"/>
      <c r="AK224" s="340" t="n"/>
      <c r="AL224" s="340" t="n"/>
    </row>
    <row r="225" ht="12.75" customHeight="1">
      <c r="K225" s="340" t="n"/>
      <c r="L225" s="340" t="n"/>
      <c r="M225" s="340" t="n"/>
      <c r="N225" s="340" t="n"/>
      <c r="O225" s="340" t="n"/>
      <c r="P225" s="340" t="n"/>
      <c r="Q225" s="340" t="n"/>
      <c r="R225" s="340" t="n"/>
      <c r="S225" s="340" t="n"/>
      <c r="T225" s="340" t="n"/>
      <c r="U225" s="340" t="n"/>
      <c r="V225" s="340" t="n"/>
      <c r="W225" s="340" t="n"/>
      <c r="X225" s="340" t="n"/>
      <c r="Y225" s="340" t="n"/>
      <c r="Z225" s="340" t="n"/>
      <c r="AA225" s="340" t="n"/>
      <c r="AB225" s="340" t="n"/>
      <c r="AC225" s="340" t="n"/>
      <c r="AD225" s="340" t="n"/>
      <c r="AE225" s="340" t="n"/>
      <c r="AF225" s="340" t="n"/>
      <c r="AG225" s="340" t="n"/>
      <c r="AH225" s="340" t="n"/>
      <c r="AI225" s="340" t="n"/>
      <c r="AJ225" s="340" t="n"/>
      <c r="AK225" s="340" t="n"/>
      <c r="AL225" s="340" t="n"/>
    </row>
    <row r="226" ht="12.75" customHeight="1">
      <c r="K226" s="340" t="n"/>
      <c r="L226" s="340" t="n"/>
      <c r="M226" s="340" t="n"/>
      <c r="N226" s="340" t="n"/>
      <c r="O226" s="340" t="n"/>
      <c r="P226" s="340" t="n"/>
      <c r="Q226" s="340" t="n"/>
      <c r="R226" s="340" t="n"/>
      <c r="S226" s="340" t="n"/>
      <c r="T226" s="340" t="n"/>
      <c r="U226" s="340" t="n"/>
      <c r="V226" s="340" t="n"/>
      <c r="W226" s="340" t="n"/>
      <c r="X226" s="340" t="n"/>
      <c r="Y226" s="340" t="n"/>
      <c r="Z226" s="340" t="n"/>
      <c r="AA226" s="340" t="n"/>
      <c r="AB226" s="340" t="n"/>
      <c r="AC226" s="340" t="n"/>
      <c r="AD226" s="340" t="n"/>
      <c r="AE226" s="340" t="n"/>
      <c r="AF226" s="340" t="n"/>
      <c r="AG226" s="340" t="n"/>
      <c r="AH226" s="340" t="n"/>
      <c r="AI226" s="340" t="n"/>
      <c r="AJ226" s="340" t="n"/>
      <c r="AK226" s="340" t="n"/>
      <c r="AL226" s="340" t="n"/>
    </row>
    <row r="227" ht="12.75" customHeight="1">
      <c r="K227" s="340" t="n"/>
      <c r="L227" s="340" t="n"/>
      <c r="M227" s="340" t="n"/>
      <c r="N227" s="340" t="n"/>
      <c r="O227" s="340" t="n"/>
      <c r="P227" s="340" t="n"/>
      <c r="Q227" s="340" t="n"/>
      <c r="R227" s="340" t="n"/>
      <c r="S227" s="340" t="n"/>
      <c r="T227" s="340" t="n"/>
      <c r="U227" s="340" t="n"/>
      <c r="V227" s="340" t="n"/>
      <c r="W227" s="340" t="n"/>
      <c r="X227" s="340" t="n"/>
      <c r="Y227" s="340" t="n"/>
      <c r="Z227" s="340" t="n"/>
      <c r="AA227" s="340" t="n"/>
      <c r="AB227" s="340" t="n"/>
      <c r="AC227" s="340" t="n"/>
      <c r="AD227" s="340" t="n"/>
      <c r="AE227" s="340" t="n"/>
      <c r="AF227" s="340" t="n"/>
      <c r="AG227" s="340" t="n"/>
      <c r="AH227" s="340" t="n"/>
      <c r="AI227" s="340" t="n"/>
      <c r="AJ227" s="340" t="n"/>
      <c r="AK227" s="340" t="n"/>
      <c r="AL227" s="340" t="n"/>
    </row>
    <row r="228" ht="12.75" customHeight="1">
      <c r="K228" s="340" t="n"/>
      <c r="L228" s="340" t="n"/>
      <c r="M228" s="340" t="n"/>
      <c r="N228" s="340" t="n"/>
      <c r="O228" s="340" t="n"/>
      <c r="P228" s="340" t="n"/>
      <c r="Q228" s="340" t="n"/>
      <c r="R228" s="340" t="n"/>
      <c r="S228" s="340" t="n"/>
      <c r="T228" s="340" t="n"/>
      <c r="U228" s="340" t="n"/>
      <c r="V228" s="340" t="n"/>
      <c r="W228" s="340" t="n"/>
      <c r="X228" s="340" t="n"/>
      <c r="Y228" s="340" t="n"/>
      <c r="Z228" s="340" t="n"/>
      <c r="AA228" s="340" t="n"/>
      <c r="AB228" s="340" t="n"/>
      <c r="AC228" s="340" t="n"/>
      <c r="AD228" s="340" t="n"/>
      <c r="AE228" s="340" t="n"/>
      <c r="AF228" s="340" t="n"/>
      <c r="AG228" s="340" t="n"/>
      <c r="AH228" s="340" t="n"/>
      <c r="AI228" s="340" t="n"/>
      <c r="AJ228" s="340" t="n"/>
      <c r="AK228" s="340" t="n"/>
      <c r="AL228" s="340" t="n"/>
    </row>
    <row r="229" ht="12.75" customHeight="1">
      <c r="K229" s="340" t="n"/>
      <c r="L229" s="340" t="n"/>
      <c r="M229" s="340" t="n"/>
      <c r="N229" s="340" t="n"/>
      <c r="O229" s="340" t="n"/>
      <c r="P229" s="340" t="n"/>
      <c r="Q229" s="340" t="n"/>
      <c r="R229" s="340" t="n"/>
      <c r="S229" s="340" t="n"/>
      <c r="T229" s="340" t="n"/>
      <c r="U229" s="340" t="n"/>
      <c r="V229" s="340" t="n"/>
      <c r="W229" s="340" t="n"/>
      <c r="X229" s="340" t="n"/>
      <c r="Y229" s="340" t="n"/>
      <c r="Z229" s="340" t="n"/>
      <c r="AA229" s="340" t="n"/>
      <c r="AB229" s="340" t="n"/>
      <c r="AC229" s="340" t="n"/>
      <c r="AD229" s="340" t="n"/>
      <c r="AE229" s="340" t="n"/>
      <c r="AF229" s="340" t="n"/>
      <c r="AG229" s="340" t="n"/>
      <c r="AH229" s="340" t="n"/>
      <c r="AI229" s="340" t="n"/>
      <c r="AJ229" s="340" t="n"/>
      <c r="AK229" s="340" t="n"/>
      <c r="AL229" s="340" t="n"/>
    </row>
    <row r="230" ht="12.75" customHeight="1">
      <c r="K230" s="340" t="n"/>
      <c r="L230" s="340" t="n"/>
      <c r="M230" s="340" t="n"/>
      <c r="N230" s="340" t="n"/>
      <c r="O230" s="340" t="n"/>
      <c r="P230" s="340" t="n"/>
      <c r="Q230" s="340" t="n"/>
      <c r="R230" s="340" t="n"/>
      <c r="S230" s="340" t="n"/>
      <c r="T230" s="340" t="n"/>
      <c r="U230" s="340" t="n"/>
      <c r="V230" s="340" t="n"/>
      <c r="W230" s="340" t="n"/>
      <c r="X230" s="340" t="n"/>
      <c r="Y230" s="340" t="n"/>
      <c r="Z230" s="340" t="n"/>
      <c r="AA230" s="340" t="n"/>
      <c r="AB230" s="340" t="n"/>
      <c r="AC230" s="340" t="n"/>
      <c r="AD230" s="340" t="n"/>
      <c r="AE230" s="340" t="n"/>
      <c r="AF230" s="340" t="n"/>
      <c r="AG230" s="340" t="n"/>
      <c r="AH230" s="340" t="n"/>
      <c r="AI230" s="340" t="n"/>
      <c r="AJ230" s="340" t="n"/>
      <c r="AK230" s="340" t="n"/>
      <c r="AL230" s="340" t="n"/>
    </row>
    <row r="231" ht="12.75" customHeight="1">
      <c r="K231" s="340" t="n"/>
      <c r="L231" s="340" t="n"/>
      <c r="M231" s="340" t="n"/>
      <c r="N231" s="340" t="n"/>
      <c r="O231" s="340" t="n"/>
      <c r="P231" s="340" t="n"/>
      <c r="Q231" s="340" t="n"/>
      <c r="R231" s="340" t="n"/>
      <c r="S231" s="340" t="n"/>
      <c r="T231" s="340" t="n"/>
      <c r="U231" s="340" t="n"/>
      <c r="V231" s="340" t="n"/>
      <c r="W231" s="340" t="n"/>
      <c r="X231" s="340" t="n"/>
      <c r="Y231" s="340" t="n"/>
      <c r="Z231" s="340" t="n"/>
      <c r="AA231" s="340" t="n"/>
      <c r="AB231" s="340" t="n"/>
      <c r="AC231" s="340" t="n"/>
      <c r="AD231" s="340" t="n"/>
      <c r="AE231" s="340" t="n"/>
      <c r="AF231" s="340" t="n"/>
      <c r="AG231" s="340" t="n"/>
      <c r="AH231" s="340" t="n"/>
      <c r="AI231" s="340" t="n"/>
      <c r="AJ231" s="340" t="n"/>
      <c r="AK231" s="340" t="n"/>
      <c r="AL231" s="340" t="n"/>
    </row>
    <row r="232" ht="12.75" customHeight="1">
      <c r="K232" s="340" t="n"/>
      <c r="L232" s="340" t="n"/>
      <c r="M232" s="340" t="n"/>
      <c r="N232" s="340" t="n"/>
      <c r="O232" s="340" t="n"/>
      <c r="P232" s="340" t="n"/>
      <c r="Q232" s="340" t="n"/>
      <c r="R232" s="340" t="n"/>
      <c r="S232" s="340" t="n"/>
      <c r="T232" s="340" t="n"/>
      <c r="U232" s="340" t="n"/>
      <c r="V232" s="340" t="n"/>
      <c r="W232" s="340" t="n"/>
      <c r="X232" s="340" t="n"/>
      <c r="Y232" s="340" t="n"/>
      <c r="Z232" s="340" t="n"/>
      <c r="AA232" s="340" t="n"/>
      <c r="AB232" s="340" t="n"/>
      <c r="AC232" s="340" t="n"/>
      <c r="AD232" s="340" t="n"/>
      <c r="AE232" s="340" t="n"/>
      <c r="AF232" s="340" t="n"/>
      <c r="AG232" s="340" t="n"/>
      <c r="AH232" s="340" t="n"/>
      <c r="AI232" s="340" t="n"/>
      <c r="AJ232" s="340" t="n"/>
      <c r="AK232" s="340" t="n"/>
      <c r="AL232" s="340" t="n"/>
    </row>
    <row r="233" ht="12.75" customHeight="1">
      <c r="K233" s="340" t="n"/>
      <c r="L233" s="340" t="n"/>
      <c r="M233" s="340" t="n"/>
      <c r="N233" s="340" t="n"/>
      <c r="O233" s="340" t="n"/>
      <c r="P233" s="340" t="n"/>
      <c r="Q233" s="340" t="n"/>
      <c r="R233" s="340" t="n"/>
      <c r="S233" s="340" t="n"/>
      <c r="T233" s="340" t="n"/>
      <c r="U233" s="340" t="n"/>
      <c r="V233" s="340" t="n"/>
      <c r="W233" s="340" t="n"/>
      <c r="X233" s="340" t="n"/>
      <c r="Y233" s="340" t="n"/>
      <c r="Z233" s="340" t="n"/>
      <c r="AA233" s="340" t="n"/>
      <c r="AB233" s="340" t="n"/>
      <c r="AC233" s="340" t="n"/>
      <c r="AD233" s="340" t="n"/>
      <c r="AE233" s="340" t="n"/>
      <c r="AF233" s="340" t="n"/>
      <c r="AG233" s="340" t="n"/>
      <c r="AH233" s="340" t="n"/>
      <c r="AI233" s="340" t="n"/>
      <c r="AJ233" s="340" t="n"/>
      <c r="AK233" s="340" t="n"/>
      <c r="AL233" s="340" t="n"/>
    </row>
    <row r="234" ht="12.75" customHeight="1">
      <c r="K234" s="340" t="n"/>
      <c r="L234" s="340" t="n"/>
      <c r="M234" s="340" t="n"/>
      <c r="N234" s="340" t="n"/>
      <c r="O234" s="340" t="n"/>
      <c r="P234" s="340" t="n"/>
      <c r="Q234" s="340" t="n"/>
      <c r="R234" s="340" t="n"/>
      <c r="S234" s="340" t="n"/>
      <c r="T234" s="340" t="n"/>
      <c r="U234" s="340" t="n"/>
      <c r="V234" s="340" t="n"/>
      <c r="W234" s="340" t="n"/>
      <c r="X234" s="340" t="n"/>
      <c r="Y234" s="340" t="n"/>
      <c r="Z234" s="340" t="n"/>
      <c r="AA234" s="340" t="n"/>
      <c r="AB234" s="340" t="n"/>
      <c r="AC234" s="340" t="n"/>
      <c r="AD234" s="340" t="n"/>
      <c r="AE234" s="340" t="n"/>
      <c r="AF234" s="340" t="n"/>
      <c r="AG234" s="340" t="n"/>
      <c r="AH234" s="340" t="n"/>
      <c r="AI234" s="340" t="n"/>
      <c r="AJ234" s="340" t="n"/>
      <c r="AK234" s="340" t="n"/>
      <c r="AL234" s="340" t="n"/>
    </row>
    <row r="235" ht="12.75" customHeight="1">
      <c r="K235" s="340" t="n"/>
      <c r="L235" s="340" t="n"/>
      <c r="M235" s="340" t="n"/>
      <c r="N235" s="340" t="n"/>
      <c r="O235" s="340" t="n"/>
      <c r="P235" s="340" t="n"/>
      <c r="Q235" s="340" t="n"/>
      <c r="R235" s="340" t="n"/>
      <c r="S235" s="340" t="n"/>
      <c r="T235" s="340" t="n"/>
      <c r="U235" s="340" t="n"/>
      <c r="V235" s="340" t="n"/>
      <c r="W235" s="340" t="n"/>
      <c r="X235" s="340" t="n"/>
      <c r="Y235" s="340" t="n"/>
      <c r="Z235" s="340" t="n"/>
      <c r="AA235" s="340" t="n"/>
      <c r="AB235" s="340" t="n"/>
      <c r="AC235" s="340" t="n"/>
      <c r="AD235" s="340" t="n"/>
      <c r="AE235" s="340" t="n"/>
      <c r="AF235" s="340" t="n"/>
      <c r="AG235" s="340" t="n"/>
      <c r="AH235" s="340" t="n"/>
      <c r="AI235" s="340" t="n"/>
      <c r="AJ235" s="340" t="n"/>
      <c r="AK235" s="340" t="n"/>
      <c r="AL235" s="340" t="n"/>
    </row>
    <row r="236" ht="12.75" customHeight="1">
      <c r="K236" s="340" t="n"/>
      <c r="L236" s="340" t="n"/>
      <c r="M236" s="340" t="n"/>
      <c r="N236" s="340" t="n"/>
      <c r="O236" s="340" t="n"/>
      <c r="P236" s="340" t="n"/>
      <c r="Q236" s="340" t="n"/>
      <c r="R236" s="340" t="n"/>
      <c r="S236" s="340" t="n"/>
      <c r="T236" s="340" t="n"/>
      <c r="U236" s="340" t="n"/>
      <c r="V236" s="340" t="n"/>
      <c r="W236" s="340" t="n"/>
      <c r="X236" s="340" t="n"/>
      <c r="Y236" s="340" t="n"/>
      <c r="Z236" s="340" t="n"/>
      <c r="AA236" s="340" t="n"/>
      <c r="AB236" s="340" t="n"/>
      <c r="AC236" s="340" t="n"/>
      <c r="AD236" s="340" t="n"/>
      <c r="AE236" s="340" t="n"/>
      <c r="AF236" s="340" t="n"/>
      <c r="AG236" s="340" t="n"/>
      <c r="AH236" s="340" t="n"/>
      <c r="AI236" s="340" t="n"/>
      <c r="AJ236" s="340" t="n"/>
      <c r="AK236" s="340" t="n"/>
      <c r="AL236" s="340" t="n"/>
    </row>
    <row r="237" ht="12.75" customHeight="1">
      <c r="K237" s="340" t="n"/>
      <c r="L237" s="340" t="n"/>
      <c r="M237" s="340" t="n"/>
      <c r="N237" s="340" t="n"/>
      <c r="O237" s="340" t="n"/>
      <c r="P237" s="340" t="n"/>
      <c r="Q237" s="340" t="n"/>
      <c r="R237" s="340" t="n"/>
      <c r="S237" s="340" t="n"/>
      <c r="T237" s="340" t="n"/>
      <c r="U237" s="340" t="n"/>
      <c r="V237" s="340" t="n"/>
      <c r="W237" s="340" t="n"/>
      <c r="X237" s="340" t="n"/>
      <c r="Y237" s="340" t="n"/>
      <c r="Z237" s="340" t="n"/>
      <c r="AA237" s="340" t="n"/>
      <c r="AB237" s="340" t="n"/>
      <c r="AC237" s="340" t="n"/>
      <c r="AD237" s="340" t="n"/>
      <c r="AE237" s="340" t="n"/>
      <c r="AF237" s="340" t="n"/>
      <c r="AG237" s="340" t="n"/>
      <c r="AH237" s="340" t="n"/>
      <c r="AI237" s="340" t="n"/>
      <c r="AJ237" s="340" t="n"/>
      <c r="AK237" s="340" t="n"/>
      <c r="AL237" s="340" t="n"/>
    </row>
    <row r="238" ht="12.75" customHeight="1">
      <c r="K238" s="340" t="n"/>
      <c r="L238" s="340" t="n"/>
      <c r="M238" s="340" t="n"/>
      <c r="N238" s="340" t="n"/>
      <c r="O238" s="340" t="n"/>
      <c r="P238" s="340" t="n"/>
      <c r="Q238" s="340" t="n"/>
      <c r="R238" s="340" t="n"/>
      <c r="S238" s="340" t="n"/>
      <c r="T238" s="340" t="n"/>
      <c r="U238" s="340" t="n"/>
      <c r="V238" s="340" t="n"/>
      <c r="W238" s="340" t="n"/>
      <c r="X238" s="340" t="n"/>
      <c r="Y238" s="340" t="n"/>
      <c r="Z238" s="340" t="n"/>
      <c r="AA238" s="340" t="n"/>
      <c r="AB238" s="340" t="n"/>
      <c r="AC238" s="340" t="n"/>
      <c r="AD238" s="340" t="n"/>
      <c r="AE238" s="340" t="n"/>
      <c r="AF238" s="340" t="n"/>
      <c r="AG238" s="340" t="n"/>
      <c r="AH238" s="340" t="n"/>
      <c r="AI238" s="340" t="n"/>
      <c r="AJ238" s="340" t="n"/>
      <c r="AK238" s="340" t="n"/>
      <c r="AL238" s="340" t="n"/>
    </row>
    <row r="239" ht="12.75" customHeight="1">
      <c r="K239" s="340" t="n"/>
      <c r="L239" s="340" t="n"/>
      <c r="M239" s="340" t="n"/>
      <c r="N239" s="340" t="n"/>
      <c r="O239" s="340" t="n"/>
      <c r="P239" s="340" t="n"/>
      <c r="Q239" s="340" t="n"/>
      <c r="R239" s="340" t="n"/>
      <c r="S239" s="340" t="n"/>
      <c r="T239" s="340" t="n"/>
      <c r="U239" s="340" t="n"/>
      <c r="V239" s="340" t="n"/>
      <c r="W239" s="340" t="n"/>
      <c r="X239" s="340" t="n"/>
      <c r="Y239" s="340" t="n"/>
      <c r="Z239" s="340" t="n"/>
      <c r="AA239" s="340" t="n"/>
      <c r="AB239" s="340" t="n"/>
      <c r="AC239" s="340" t="n"/>
      <c r="AD239" s="340" t="n"/>
      <c r="AE239" s="340" t="n"/>
      <c r="AF239" s="340" t="n"/>
      <c r="AG239" s="340" t="n"/>
      <c r="AH239" s="340" t="n"/>
      <c r="AI239" s="340" t="n"/>
      <c r="AJ239" s="340" t="n"/>
      <c r="AK239" s="340" t="n"/>
      <c r="AL239" s="340" t="n"/>
    </row>
    <row r="240" ht="12.75" customHeight="1">
      <c r="K240" s="340" t="n"/>
      <c r="L240" s="340" t="n"/>
      <c r="M240" s="340" t="n"/>
      <c r="N240" s="340" t="n"/>
      <c r="O240" s="340" t="n"/>
      <c r="P240" s="340" t="n"/>
      <c r="Q240" s="340" t="n"/>
      <c r="R240" s="340" t="n"/>
      <c r="S240" s="340" t="n"/>
      <c r="T240" s="340" t="n"/>
      <c r="U240" s="340" t="n"/>
      <c r="V240" s="340" t="n"/>
      <c r="W240" s="340" t="n"/>
      <c r="X240" s="340" t="n"/>
      <c r="Y240" s="340" t="n"/>
      <c r="Z240" s="340" t="n"/>
      <c r="AA240" s="340" t="n"/>
      <c r="AB240" s="340" t="n"/>
      <c r="AC240" s="340" t="n"/>
      <c r="AD240" s="340" t="n"/>
      <c r="AE240" s="340" t="n"/>
      <c r="AF240" s="340" t="n"/>
      <c r="AG240" s="340" t="n"/>
      <c r="AH240" s="340" t="n"/>
      <c r="AI240" s="340" t="n"/>
      <c r="AJ240" s="340" t="n"/>
      <c r="AK240" s="340" t="n"/>
      <c r="AL240" s="340" t="n"/>
    </row>
    <row r="241" ht="12.75" customHeight="1">
      <c r="K241" s="340" t="n"/>
      <c r="L241" s="340" t="n"/>
      <c r="M241" s="340" t="n"/>
      <c r="N241" s="340" t="n"/>
      <c r="O241" s="340" t="n"/>
      <c r="P241" s="340" t="n"/>
      <c r="Q241" s="340" t="n"/>
      <c r="R241" s="340" t="n"/>
      <c r="S241" s="340" t="n"/>
      <c r="T241" s="340" t="n"/>
      <c r="U241" s="340" t="n"/>
      <c r="V241" s="340" t="n"/>
      <c r="W241" s="340" t="n"/>
      <c r="X241" s="340" t="n"/>
      <c r="Y241" s="340" t="n"/>
      <c r="Z241" s="340" t="n"/>
      <c r="AA241" s="340" t="n"/>
      <c r="AB241" s="340" t="n"/>
      <c r="AC241" s="340" t="n"/>
      <c r="AD241" s="340" t="n"/>
      <c r="AE241" s="340" t="n"/>
      <c r="AF241" s="340" t="n"/>
      <c r="AG241" s="340" t="n"/>
      <c r="AH241" s="340" t="n"/>
      <c r="AI241" s="340" t="n"/>
      <c r="AJ241" s="340" t="n"/>
      <c r="AK241" s="340" t="n"/>
      <c r="AL241" s="340" t="n"/>
    </row>
    <row r="242" ht="12.75" customHeight="1">
      <c r="K242" s="340" t="n"/>
      <c r="L242" s="340" t="n"/>
      <c r="M242" s="340" t="n"/>
      <c r="N242" s="340" t="n"/>
      <c r="O242" s="340" t="n"/>
      <c r="P242" s="340" t="n"/>
      <c r="Q242" s="340" t="n"/>
      <c r="R242" s="340" t="n"/>
      <c r="S242" s="340" t="n"/>
      <c r="T242" s="340" t="n"/>
      <c r="U242" s="340" t="n"/>
      <c r="V242" s="340" t="n"/>
      <c r="W242" s="340" t="n"/>
      <c r="X242" s="340" t="n"/>
      <c r="Y242" s="340" t="n"/>
      <c r="Z242" s="340" t="n"/>
      <c r="AA242" s="340" t="n"/>
      <c r="AB242" s="340" t="n"/>
      <c r="AC242" s="340" t="n"/>
      <c r="AD242" s="340" t="n"/>
      <c r="AE242" s="340" t="n"/>
      <c r="AF242" s="340" t="n"/>
      <c r="AG242" s="340" t="n"/>
      <c r="AH242" s="340" t="n"/>
      <c r="AI242" s="340" t="n"/>
      <c r="AJ242" s="340" t="n"/>
      <c r="AK242" s="340" t="n"/>
      <c r="AL242" s="340" t="n"/>
    </row>
    <row r="243" ht="12.75" customHeight="1">
      <c r="K243" s="340" t="n"/>
      <c r="L243" s="340" t="n"/>
      <c r="M243" s="340" t="n"/>
      <c r="N243" s="340" t="n"/>
      <c r="O243" s="340" t="n"/>
      <c r="P243" s="340" t="n"/>
      <c r="Q243" s="340" t="n"/>
      <c r="R243" s="340" t="n"/>
      <c r="S243" s="340" t="n"/>
      <c r="T243" s="340" t="n"/>
      <c r="U243" s="340" t="n"/>
      <c r="V243" s="340" t="n"/>
      <c r="W243" s="340" t="n"/>
      <c r="X243" s="340" t="n"/>
      <c r="Y243" s="340" t="n"/>
      <c r="Z243" s="340" t="n"/>
      <c r="AA243" s="340" t="n"/>
      <c r="AB243" s="340" t="n"/>
      <c r="AC243" s="340" t="n"/>
      <c r="AD243" s="340" t="n"/>
      <c r="AE243" s="340" t="n"/>
      <c r="AF243" s="340" t="n"/>
      <c r="AG243" s="340" t="n"/>
      <c r="AH243" s="340" t="n"/>
      <c r="AI243" s="340" t="n"/>
      <c r="AJ243" s="340" t="n"/>
      <c r="AK243" s="340" t="n"/>
      <c r="AL243" s="340" t="n"/>
    </row>
    <row r="244" ht="12.75" customHeight="1">
      <c r="K244" s="340" t="n"/>
      <c r="L244" s="340" t="n"/>
      <c r="M244" s="340" t="n"/>
      <c r="N244" s="340" t="n"/>
      <c r="O244" s="340" t="n"/>
      <c r="P244" s="340" t="n"/>
      <c r="Q244" s="340" t="n"/>
      <c r="R244" s="340" t="n"/>
      <c r="S244" s="340" t="n"/>
      <c r="T244" s="340" t="n"/>
      <c r="U244" s="340" t="n"/>
      <c r="V244" s="340" t="n"/>
      <c r="W244" s="340" t="n"/>
      <c r="X244" s="340" t="n"/>
      <c r="Y244" s="340" t="n"/>
      <c r="Z244" s="340" t="n"/>
      <c r="AA244" s="340" t="n"/>
      <c r="AB244" s="340" t="n"/>
      <c r="AC244" s="340" t="n"/>
      <c r="AD244" s="340" t="n"/>
      <c r="AE244" s="340" t="n"/>
      <c r="AF244" s="340" t="n"/>
      <c r="AG244" s="340" t="n"/>
      <c r="AH244" s="340" t="n"/>
      <c r="AI244" s="340" t="n"/>
      <c r="AJ244" s="340" t="n"/>
      <c r="AK244" s="340" t="n"/>
      <c r="AL244" s="340" t="n"/>
    </row>
    <row r="245" ht="12.75" customHeight="1">
      <c r="K245" s="340" t="n"/>
      <c r="L245" s="340" t="n"/>
      <c r="M245" s="340" t="n"/>
      <c r="N245" s="340" t="n"/>
      <c r="O245" s="340" t="n"/>
      <c r="P245" s="340" t="n"/>
      <c r="Q245" s="340" t="n"/>
      <c r="R245" s="340" t="n"/>
      <c r="S245" s="340" t="n"/>
      <c r="T245" s="340" t="n"/>
      <c r="U245" s="340" t="n"/>
      <c r="V245" s="340" t="n"/>
      <c r="W245" s="340" t="n"/>
      <c r="X245" s="340" t="n"/>
      <c r="Y245" s="340" t="n"/>
      <c r="Z245" s="340" t="n"/>
      <c r="AA245" s="340" t="n"/>
      <c r="AB245" s="340" t="n"/>
      <c r="AC245" s="340" t="n"/>
      <c r="AD245" s="340" t="n"/>
      <c r="AE245" s="340" t="n"/>
      <c r="AF245" s="340" t="n"/>
      <c r="AG245" s="340" t="n"/>
      <c r="AH245" s="340" t="n"/>
      <c r="AI245" s="340" t="n"/>
      <c r="AJ245" s="340" t="n"/>
      <c r="AK245" s="340" t="n"/>
      <c r="AL245" s="340" t="n"/>
    </row>
    <row r="246" ht="12.75" customHeight="1">
      <c r="K246" s="340" t="n"/>
      <c r="L246" s="340" t="n"/>
      <c r="M246" s="340" t="n"/>
      <c r="N246" s="340" t="n"/>
      <c r="O246" s="340" t="n"/>
      <c r="P246" s="340" t="n"/>
      <c r="Q246" s="340" t="n"/>
      <c r="R246" s="340" t="n"/>
      <c r="S246" s="340" t="n"/>
      <c r="T246" s="340" t="n"/>
      <c r="U246" s="340" t="n"/>
      <c r="V246" s="340" t="n"/>
      <c r="W246" s="340" t="n"/>
      <c r="X246" s="340" t="n"/>
      <c r="Y246" s="340" t="n"/>
      <c r="Z246" s="340" t="n"/>
      <c r="AA246" s="340" t="n"/>
      <c r="AB246" s="340" t="n"/>
      <c r="AC246" s="340" t="n"/>
      <c r="AD246" s="340" t="n"/>
      <c r="AE246" s="340" t="n"/>
      <c r="AF246" s="340" t="n"/>
      <c r="AG246" s="340" t="n"/>
      <c r="AH246" s="340" t="n"/>
      <c r="AI246" s="340" t="n"/>
      <c r="AJ246" s="340" t="n"/>
      <c r="AK246" s="340" t="n"/>
      <c r="AL246" s="340" t="n"/>
    </row>
    <row r="247" ht="12.75" customHeight="1">
      <c r="K247" s="340" t="n"/>
      <c r="L247" s="340" t="n"/>
      <c r="M247" s="340" t="n"/>
      <c r="N247" s="340" t="n"/>
      <c r="O247" s="340" t="n"/>
      <c r="P247" s="340" t="n"/>
      <c r="Q247" s="340" t="n"/>
      <c r="R247" s="340" t="n"/>
      <c r="S247" s="340" t="n"/>
      <c r="T247" s="340" t="n"/>
      <c r="U247" s="340" t="n"/>
      <c r="V247" s="340" t="n"/>
      <c r="W247" s="340" t="n"/>
      <c r="X247" s="340" t="n"/>
      <c r="Y247" s="340" t="n"/>
      <c r="Z247" s="340" t="n"/>
      <c r="AA247" s="340" t="n"/>
      <c r="AB247" s="340" t="n"/>
      <c r="AC247" s="340" t="n"/>
      <c r="AD247" s="340" t="n"/>
      <c r="AE247" s="340" t="n"/>
      <c r="AF247" s="340" t="n"/>
      <c r="AG247" s="340" t="n"/>
      <c r="AH247" s="340" t="n"/>
      <c r="AI247" s="340" t="n"/>
      <c r="AJ247" s="340" t="n"/>
      <c r="AK247" s="340" t="n"/>
      <c r="AL247" s="340" t="n"/>
    </row>
    <row r="248" ht="12.75" customHeight="1">
      <c r="K248" s="340" t="n"/>
      <c r="L248" s="340" t="n"/>
      <c r="M248" s="340" t="n"/>
      <c r="N248" s="340" t="n"/>
      <c r="O248" s="340" t="n"/>
      <c r="P248" s="340" t="n"/>
      <c r="Q248" s="340" t="n"/>
      <c r="R248" s="340" t="n"/>
      <c r="S248" s="340" t="n"/>
      <c r="T248" s="340" t="n"/>
      <c r="U248" s="340" t="n"/>
      <c r="V248" s="340" t="n"/>
      <c r="W248" s="340" t="n"/>
      <c r="X248" s="340" t="n"/>
      <c r="Y248" s="340" t="n"/>
      <c r="Z248" s="340" t="n"/>
      <c r="AA248" s="340" t="n"/>
      <c r="AB248" s="340" t="n"/>
      <c r="AC248" s="340" t="n"/>
      <c r="AD248" s="340" t="n"/>
      <c r="AE248" s="340" t="n"/>
      <c r="AF248" s="340" t="n"/>
      <c r="AG248" s="340" t="n"/>
      <c r="AH248" s="340" t="n"/>
      <c r="AI248" s="340" t="n"/>
      <c r="AJ248" s="340" t="n"/>
      <c r="AK248" s="340" t="n"/>
      <c r="AL248" s="340" t="n"/>
    </row>
    <row r="249" ht="12.75" customHeight="1">
      <c r="K249" s="340" t="n"/>
      <c r="L249" s="340" t="n"/>
      <c r="M249" s="340" t="n"/>
      <c r="N249" s="340" t="n"/>
      <c r="O249" s="340" t="n"/>
      <c r="P249" s="340" t="n"/>
      <c r="Q249" s="340" t="n"/>
      <c r="R249" s="340" t="n"/>
      <c r="S249" s="340" t="n"/>
      <c r="T249" s="340" t="n"/>
      <c r="U249" s="340" t="n"/>
      <c r="V249" s="340" t="n"/>
      <c r="W249" s="340" t="n"/>
      <c r="X249" s="340" t="n"/>
      <c r="Y249" s="340" t="n"/>
      <c r="Z249" s="340" t="n"/>
      <c r="AA249" s="340" t="n"/>
      <c r="AB249" s="340" t="n"/>
      <c r="AC249" s="340" t="n"/>
      <c r="AD249" s="340" t="n"/>
      <c r="AE249" s="340" t="n"/>
      <c r="AF249" s="340" t="n"/>
      <c r="AG249" s="340" t="n"/>
      <c r="AH249" s="340" t="n"/>
      <c r="AI249" s="340" t="n"/>
      <c r="AJ249" s="340" t="n"/>
      <c r="AK249" s="340" t="n"/>
      <c r="AL249" s="340" t="n"/>
    </row>
    <row r="250" ht="12.75" customHeight="1">
      <c r="K250" s="340" t="n"/>
      <c r="L250" s="340" t="n"/>
      <c r="M250" s="340" t="n"/>
      <c r="N250" s="340" t="n"/>
      <c r="O250" s="340" t="n"/>
      <c r="P250" s="340" t="n"/>
      <c r="Q250" s="340" t="n"/>
      <c r="R250" s="340" t="n"/>
      <c r="S250" s="340" t="n"/>
      <c r="T250" s="340" t="n"/>
      <c r="U250" s="340" t="n"/>
      <c r="V250" s="340" t="n"/>
      <c r="W250" s="340" t="n"/>
      <c r="X250" s="340" t="n"/>
      <c r="Y250" s="340" t="n"/>
      <c r="Z250" s="340" t="n"/>
      <c r="AA250" s="340" t="n"/>
      <c r="AB250" s="340" t="n"/>
      <c r="AC250" s="340" t="n"/>
      <c r="AD250" s="340" t="n"/>
      <c r="AE250" s="340" t="n"/>
      <c r="AF250" s="340" t="n"/>
      <c r="AG250" s="340" t="n"/>
      <c r="AH250" s="340" t="n"/>
      <c r="AI250" s="340" t="n"/>
      <c r="AJ250" s="340" t="n"/>
      <c r="AK250" s="340" t="n"/>
      <c r="AL250" s="340" t="n"/>
    </row>
    <row r="251" ht="12.75" customHeight="1">
      <c r="K251" s="340" t="n"/>
      <c r="L251" s="340" t="n"/>
      <c r="M251" s="340" t="n"/>
      <c r="N251" s="340" t="n"/>
      <c r="O251" s="340" t="n"/>
      <c r="P251" s="340" t="n"/>
      <c r="Q251" s="340" t="n"/>
      <c r="R251" s="340" t="n"/>
      <c r="S251" s="340" t="n"/>
      <c r="T251" s="340" t="n"/>
      <c r="U251" s="340" t="n"/>
      <c r="V251" s="340" t="n"/>
      <c r="W251" s="340" t="n"/>
      <c r="X251" s="340" t="n"/>
      <c r="Y251" s="340" t="n"/>
      <c r="Z251" s="340" t="n"/>
      <c r="AA251" s="340" t="n"/>
      <c r="AB251" s="340" t="n"/>
      <c r="AC251" s="340" t="n"/>
      <c r="AD251" s="340" t="n"/>
      <c r="AE251" s="340" t="n"/>
      <c r="AF251" s="340" t="n"/>
      <c r="AG251" s="340" t="n"/>
      <c r="AH251" s="340" t="n"/>
      <c r="AI251" s="340" t="n"/>
      <c r="AJ251" s="340" t="n"/>
      <c r="AK251" s="340" t="n"/>
      <c r="AL251" s="340" t="n"/>
    </row>
    <row r="252" ht="12.75" customHeight="1">
      <c r="K252" s="340" t="n"/>
      <c r="L252" s="340" t="n"/>
      <c r="M252" s="340" t="n"/>
      <c r="N252" s="340" t="n"/>
      <c r="O252" s="340" t="n"/>
      <c r="P252" s="340" t="n"/>
      <c r="Q252" s="340" t="n"/>
      <c r="R252" s="340" t="n"/>
      <c r="S252" s="340" t="n"/>
      <c r="T252" s="340" t="n"/>
      <c r="U252" s="340" t="n"/>
      <c r="V252" s="340" t="n"/>
      <c r="W252" s="340" t="n"/>
      <c r="X252" s="340" t="n"/>
      <c r="Y252" s="340" t="n"/>
      <c r="Z252" s="340" t="n"/>
      <c r="AA252" s="340" t="n"/>
      <c r="AB252" s="340" t="n"/>
      <c r="AC252" s="340" t="n"/>
      <c r="AD252" s="340" t="n"/>
      <c r="AE252" s="340" t="n"/>
      <c r="AF252" s="340" t="n"/>
      <c r="AG252" s="340" t="n"/>
      <c r="AH252" s="340" t="n"/>
      <c r="AI252" s="340" t="n"/>
      <c r="AJ252" s="340" t="n"/>
      <c r="AK252" s="340" t="n"/>
      <c r="AL252" s="340" t="n"/>
    </row>
    <row r="253" ht="12.75" customHeight="1">
      <c r="K253" s="340" t="n"/>
      <c r="L253" s="340" t="n"/>
      <c r="M253" s="340" t="n"/>
      <c r="N253" s="340" t="n"/>
      <c r="O253" s="340" t="n"/>
      <c r="P253" s="340" t="n"/>
      <c r="Q253" s="340" t="n"/>
      <c r="R253" s="340" t="n"/>
      <c r="S253" s="340" t="n"/>
      <c r="T253" s="340" t="n"/>
      <c r="U253" s="340" t="n"/>
      <c r="V253" s="340" t="n"/>
      <c r="W253" s="340" t="n"/>
      <c r="X253" s="340" t="n"/>
      <c r="Y253" s="340" t="n"/>
      <c r="Z253" s="340" t="n"/>
      <c r="AA253" s="340" t="n"/>
      <c r="AB253" s="340" t="n"/>
      <c r="AC253" s="340" t="n"/>
      <c r="AD253" s="340" t="n"/>
      <c r="AE253" s="340" t="n"/>
      <c r="AF253" s="340" t="n"/>
      <c r="AG253" s="340" t="n"/>
      <c r="AH253" s="340" t="n"/>
      <c r="AI253" s="340" t="n"/>
      <c r="AJ253" s="340" t="n"/>
      <c r="AK253" s="340" t="n"/>
      <c r="AL253" s="340" t="n"/>
    </row>
    <row r="254" ht="12.75" customHeight="1">
      <c r="K254" s="340" t="n"/>
      <c r="L254" s="340" t="n"/>
      <c r="M254" s="340" t="n"/>
      <c r="N254" s="340" t="n"/>
      <c r="O254" s="340" t="n"/>
      <c r="P254" s="340" t="n"/>
      <c r="Q254" s="340" t="n"/>
      <c r="R254" s="340" t="n"/>
      <c r="S254" s="340" t="n"/>
      <c r="T254" s="340" t="n"/>
      <c r="U254" s="340" t="n"/>
      <c r="V254" s="340" t="n"/>
      <c r="W254" s="340" t="n"/>
      <c r="X254" s="340" t="n"/>
      <c r="Y254" s="340" t="n"/>
      <c r="Z254" s="340" t="n"/>
      <c r="AA254" s="340" t="n"/>
      <c r="AB254" s="340" t="n"/>
      <c r="AC254" s="340" t="n"/>
      <c r="AD254" s="340" t="n"/>
      <c r="AE254" s="340" t="n"/>
      <c r="AF254" s="340" t="n"/>
      <c r="AG254" s="340" t="n"/>
      <c r="AH254" s="340" t="n"/>
      <c r="AI254" s="340" t="n"/>
      <c r="AJ254" s="340" t="n"/>
      <c r="AK254" s="340" t="n"/>
      <c r="AL254" s="340" t="n"/>
    </row>
    <row r="255" ht="12.75" customHeight="1">
      <c r="K255" s="340" t="n"/>
      <c r="L255" s="340" t="n"/>
      <c r="M255" s="340" t="n"/>
      <c r="N255" s="340" t="n"/>
      <c r="O255" s="340" t="n"/>
      <c r="P255" s="340" t="n"/>
      <c r="Q255" s="340" t="n"/>
      <c r="R255" s="340" t="n"/>
      <c r="S255" s="340" t="n"/>
      <c r="T255" s="340" t="n"/>
      <c r="U255" s="340" t="n"/>
      <c r="V255" s="340" t="n"/>
      <c r="W255" s="340" t="n"/>
      <c r="X255" s="340" t="n"/>
      <c r="Y255" s="340" t="n"/>
      <c r="Z255" s="340" t="n"/>
      <c r="AA255" s="340" t="n"/>
      <c r="AB255" s="340" t="n"/>
      <c r="AC255" s="340" t="n"/>
      <c r="AD255" s="340" t="n"/>
      <c r="AE255" s="340" t="n"/>
      <c r="AF255" s="340" t="n"/>
      <c r="AG255" s="340" t="n"/>
      <c r="AH255" s="340" t="n"/>
      <c r="AI255" s="340" t="n"/>
      <c r="AJ255" s="340" t="n"/>
      <c r="AK255" s="340" t="n"/>
      <c r="AL255" s="340" t="n"/>
    </row>
    <row r="256" ht="12.75" customHeight="1">
      <c r="K256" s="340" t="n"/>
      <c r="L256" s="340" t="n"/>
      <c r="M256" s="340" t="n"/>
      <c r="N256" s="340" t="n"/>
      <c r="O256" s="340" t="n"/>
      <c r="P256" s="340" t="n"/>
      <c r="Q256" s="340" t="n"/>
      <c r="R256" s="340" t="n"/>
      <c r="S256" s="340" t="n"/>
      <c r="T256" s="340" t="n"/>
      <c r="U256" s="340" t="n"/>
      <c r="V256" s="340" t="n"/>
      <c r="W256" s="340" t="n"/>
      <c r="X256" s="340" t="n"/>
      <c r="Y256" s="340" t="n"/>
      <c r="Z256" s="340" t="n"/>
      <c r="AA256" s="340" t="n"/>
      <c r="AB256" s="340" t="n"/>
      <c r="AC256" s="340" t="n"/>
      <c r="AD256" s="340" t="n"/>
      <c r="AE256" s="340" t="n"/>
      <c r="AF256" s="340" t="n"/>
      <c r="AG256" s="340" t="n"/>
      <c r="AH256" s="340" t="n"/>
      <c r="AI256" s="340" t="n"/>
      <c r="AJ256" s="340" t="n"/>
      <c r="AK256" s="340" t="n"/>
      <c r="AL256" s="340" t="n"/>
    </row>
    <row r="257" ht="12.75" customHeight="1">
      <c r="K257" s="340" t="n"/>
      <c r="L257" s="340" t="n"/>
      <c r="M257" s="340" t="n"/>
      <c r="N257" s="340" t="n"/>
      <c r="O257" s="340" t="n"/>
      <c r="P257" s="340" t="n"/>
      <c r="Q257" s="340" t="n"/>
      <c r="R257" s="340" t="n"/>
      <c r="S257" s="340" t="n"/>
      <c r="T257" s="340" t="n"/>
      <c r="U257" s="340" t="n"/>
      <c r="V257" s="340" t="n"/>
      <c r="W257" s="340" t="n"/>
      <c r="X257" s="340" t="n"/>
      <c r="Y257" s="340" t="n"/>
      <c r="Z257" s="340" t="n"/>
      <c r="AA257" s="340" t="n"/>
      <c r="AB257" s="340" t="n"/>
      <c r="AC257" s="340" t="n"/>
      <c r="AD257" s="340" t="n"/>
      <c r="AE257" s="340" t="n"/>
      <c r="AF257" s="340" t="n"/>
      <c r="AG257" s="340" t="n"/>
      <c r="AH257" s="340" t="n"/>
      <c r="AI257" s="340" t="n"/>
      <c r="AJ257" s="340" t="n"/>
      <c r="AK257" s="340" t="n"/>
      <c r="AL257" s="340" t="n"/>
    </row>
    <row r="258" ht="12.75" customHeight="1">
      <c r="K258" s="340" t="n"/>
      <c r="L258" s="340" t="n"/>
      <c r="M258" s="340" t="n"/>
      <c r="N258" s="340" t="n"/>
      <c r="O258" s="340" t="n"/>
      <c r="P258" s="340" t="n"/>
      <c r="Q258" s="340" t="n"/>
      <c r="R258" s="340" t="n"/>
      <c r="S258" s="340" t="n"/>
      <c r="T258" s="340" t="n"/>
      <c r="U258" s="340" t="n"/>
      <c r="V258" s="340" t="n"/>
      <c r="W258" s="340" t="n"/>
      <c r="X258" s="340" t="n"/>
      <c r="Y258" s="340" t="n"/>
      <c r="Z258" s="340" t="n"/>
      <c r="AA258" s="340" t="n"/>
      <c r="AB258" s="340" t="n"/>
      <c r="AC258" s="340" t="n"/>
      <c r="AD258" s="340" t="n"/>
      <c r="AE258" s="340" t="n"/>
      <c r="AF258" s="340" t="n"/>
      <c r="AG258" s="340" t="n"/>
      <c r="AH258" s="340" t="n"/>
      <c r="AI258" s="340" t="n"/>
      <c r="AJ258" s="340" t="n"/>
      <c r="AK258" s="340" t="n"/>
      <c r="AL258" s="340" t="n"/>
    </row>
    <row r="259" ht="12.75" customHeight="1">
      <c r="K259" s="340" t="n"/>
      <c r="L259" s="340" t="n"/>
      <c r="M259" s="340" t="n"/>
      <c r="N259" s="340" t="n"/>
      <c r="O259" s="340" t="n"/>
      <c r="P259" s="340" t="n"/>
      <c r="Q259" s="340" t="n"/>
      <c r="R259" s="340" t="n"/>
      <c r="S259" s="340" t="n"/>
      <c r="T259" s="340" t="n"/>
      <c r="U259" s="340" t="n"/>
      <c r="V259" s="340" t="n"/>
      <c r="W259" s="340" t="n"/>
      <c r="X259" s="340" t="n"/>
      <c r="Y259" s="340" t="n"/>
      <c r="Z259" s="340" t="n"/>
      <c r="AA259" s="340" t="n"/>
      <c r="AB259" s="340" t="n"/>
      <c r="AC259" s="340" t="n"/>
      <c r="AD259" s="340" t="n"/>
      <c r="AE259" s="340" t="n"/>
      <c r="AF259" s="340" t="n"/>
      <c r="AG259" s="340" t="n"/>
      <c r="AH259" s="340" t="n"/>
      <c r="AI259" s="340" t="n"/>
      <c r="AJ259" s="340" t="n"/>
      <c r="AK259" s="340" t="n"/>
      <c r="AL259" s="340" t="n"/>
    </row>
    <row r="260" ht="12.75" customHeight="1">
      <c r="K260" s="340" t="n"/>
      <c r="L260" s="340" t="n"/>
      <c r="M260" s="340" t="n"/>
      <c r="N260" s="340" t="n"/>
      <c r="O260" s="340" t="n"/>
      <c r="P260" s="340" t="n"/>
      <c r="Q260" s="340" t="n"/>
      <c r="R260" s="340" t="n"/>
      <c r="S260" s="340" t="n"/>
      <c r="T260" s="340" t="n"/>
      <c r="U260" s="340" t="n"/>
      <c r="V260" s="340" t="n"/>
      <c r="W260" s="340" t="n"/>
      <c r="X260" s="340" t="n"/>
      <c r="Y260" s="340" t="n"/>
      <c r="Z260" s="340" t="n"/>
      <c r="AA260" s="340" t="n"/>
      <c r="AB260" s="340" t="n"/>
      <c r="AC260" s="340" t="n"/>
      <c r="AD260" s="340" t="n"/>
      <c r="AE260" s="340" t="n"/>
      <c r="AF260" s="340" t="n"/>
      <c r="AG260" s="340" t="n"/>
      <c r="AH260" s="340" t="n"/>
      <c r="AI260" s="340" t="n"/>
      <c r="AJ260" s="340" t="n"/>
      <c r="AK260" s="340" t="n"/>
      <c r="AL260" s="340" t="n"/>
    </row>
    <row r="261" ht="12.75" customHeight="1">
      <c r="K261" s="340" t="n"/>
      <c r="L261" s="340" t="n"/>
      <c r="M261" s="340" t="n"/>
      <c r="N261" s="340" t="n"/>
      <c r="O261" s="340" t="n"/>
      <c r="P261" s="340" t="n"/>
      <c r="Q261" s="340" t="n"/>
      <c r="R261" s="340" t="n"/>
      <c r="S261" s="340" t="n"/>
      <c r="T261" s="340" t="n"/>
      <c r="U261" s="340" t="n"/>
      <c r="V261" s="340" t="n"/>
      <c r="W261" s="340" t="n"/>
      <c r="X261" s="340" t="n"/>
      <c r="Y261" s="340" t="n"/>
      <c r="Z261" s="340" t="n"/>
      <c r="AA261" s="340" t="n"/>
      <c r="AB261" s="340" t="n"/>
      <c r="AC261" s="340" t="n"/>
      <c r="AD261" s="340" t="n"/>
      <c r="AE261" s="340" t="n"/>
      <c r="AF261" s="340" t="n"/>
      <c r="AG261" s="340" t="n"/>
      <c r="AH261" s="340" t="n"/>
      <c r="AI261" s="340" t="n"/>
      <c r="AJ261" s="340" t="n"/>
      <c r="AK261" s="340" t="n"/>
      <c r="AL261" s="340" t="n"/>
    </row>
    <row r="262" ht="12.75" customHeight="1">
      <c r="K262" s="340" t="n"/>
      <c r="L262" s="340" t="n"/>
      <c r="M262" s="340" t="n"/>
      <c r="N262" s="340" t="n"/>
      <c r="O262" s="340" t="n"/>
      <c r="P262" s="340" t="n"/>
      <c r="Q262" s="340" t="n"/>
      <c r="R262" s="340" t="n"/>
      <c r="S262" s="340" t="n"/>
      <c r="T262" s="340" t="n"/>
      <c r="U262" s="340" t="n"/>
      <c r="V262" s="340" t="n"/>
      <c r="W262" s="340" t="n"/>
      <c r="X262" s="340" t="n"/>
      <c r="Y262" s="340" t="n"/>
      <c r="Z262" s="340" t="n"/>
      <c r="AA262" s="340" t="n"/>
      <c r="AB262" s="340" t="n"/>
      <c r="AC262" s="340" t="n"/>
      <c r="AD262" s="340" t="n"/>
      <c r="AE262" s="340" t="n"/>
      <c r="AF262" s="340" t="n"/>
      <c r="AG262" s="340" t="n"/>
      <c r="AH262" s="340" t="n"/>
      <c r="AI262" s="340" t="n"/>
      <c r="AJ262" s="340" t="n"/>
      <c r="AK262" s="340" t="n"/>
      <c r="AL262" s="340" t="n"/>
    </row>
    <row r="263" ht="12.75" customHeight="1">
      <c r="K263" s="340" t="n"/>
      <c r="L263" s="340" t="n"/>
      <c r="M263" s="340" t="n"/>
      <c r="N263" s="340" t="n"/>
      <c r="O263" s="340" t="n"/>
      <c r="P263" s="340" t="n"/>
      <c r="Q263" s="340" t="n"/>
      <c r="R263" s="340" t="n"/>
      <c r="S263" s="340" t="n"/>
      <c r="T263" s="340" t="n"/>
      <c r="U263" s="340" t="n"/>
      <c r="V263" s="340" t="n"/>
      <c r="W263" s="340" t="n"/>
      <c r="X263" s="340" t="n"/>
      <c r="Y263" s="340" t="n"/>
      <c r="Z263" s="340" t="n"/>
      <c r="AA263" s="340" t="n"/>
      <c r="AB263" s="340" t="n"/>
      <c r="AC263" s="340" t="n"/>
      <c r="AD263" s="340" t="n"/>
      <c r="AE263" s="340" t="n"/>
      <c r="AF263" s="340" t="n"/>
      <c r="AG263" s="340" t="n"/>
      <c r="AH263" s="340" t="n"/>
      <c r="AI263" s="340" t="n"/>
      <c r="AJ263" s="340" t="n"/>
      <c r="AK263" s="340" t="n"/>
      <c r="AL263" s="340" t="n"/>
    </row>
    <row r="264" ht="12.75" customHeight="1">
      <c r="K264" s="340" t="n"/>
      <c r="L264" s="340" t="n"/>
      <c r="M264" s="340" t="n"/>
      <c r="N264" s="340" t="n"/>
      <c r="O264" s="340" t="n"/>
      <c r="P264" s="340" t="n"/>
      <c r="Q264" s="340" t="n"/>
      <c r="R264" s="340" t="n"/>
      <c r="S264" s="340" t="n"/>
      <c r="T264" s="340" t="n"/>
      <c r="U264" s="340" t="n"/>
      <c r="V264" s="340" t="n"/>
      <c r="W264" s="340" t="n"/>
      <c r="X264" s="340" t="n"/>
      <c r="Y264" s="340" t="n"/>
      <c r="Z264" s="340" t="n"/>
      <c r="AA264" s="340" t="n"/>
      <c r="AB264" s="340" t="n"/>
      <c r="AC264" s="340" t="n"/>
      <c r="AD264" s="340" t="n"/>
      <c r="AE264" s="340" t="n"/>
      <c r="AF264" s="340" t="n"/>
      <c r="AG264" s="340" t="n"/>
      <c r="AH264" s="340" t="n"/>
      <c r="AI264" s="340" t="n"/>
      <c r="AJ264" s="340" t="n"/>
      <c r="AK264" s="340" t="n"/>
      <c r="AL264" s="340" t="n"/>
    </row>
    <row r="265" ht="12.75" customHeight="1">
      <c r="K265" s="340" t="n"/>
      <c r="L265" s="340" t="n"/>
      <c r="M265" s="340" t="n"/>
      <c r="N265" s="340" t="n"/>
      <c r="O265" s="340" t="n"/>
      <c r="P265" s="340" t="n"/>
      <c r="Q265" s="340" t="n"/>
      <c r="R265" s="340" t="n"/>
      <c r="S265" s="340" t="n"/>
      <c r="T265" s="340" t="n"/>
      <c r="U265" s="340" t="n"/>
      <c r="V265" s="340" t="n"/>
      <c r="W265" s="340" t="n"/>
      <c r="X265" s="340" t="n"/>
      <c r="Y265" s="340" t="n"/>
      <c r="Z265" s="340" t="n"/>
      <c r="AA265" s="340" t="n"/>
      <c r="AB265" s="340" t="n"/>
      <c r="AC265" s="340" t="n"/>
      <c r="AD265" s="340" t="n"/>
      <c r="AE265" s="340" t="n"/>
      <c r="AF265" s="340" t="n"/>
      <c r="AG265" s="340" t="n"/>
      <c r="AH265" s="340" t="n"/>
      <c r="AI265" s="340" t="n"/>
      <c r="AJ265" s="340" t="n"/>
      <c r="AK265" s="340" t="n"/>
      <c r="AL265" s="340" t="n"/>
    </row>
    <row r="266" ht="12.75" customHeight="1">
      <c r="K266" s="340" t="n"/>
      <c r="L266" s="340" t="n"/>
      <c r="M266" s="340" t="n"/>
      <c r="N266" s="340" t="n"/>
      <c r="O266" s="340" t="n"/>
      <c r="P266" s="340" t="n"/>
      <c r="Q266" s="340" t="n"/>
      <c r="R266" s="340" t="n"/>
      <c r="S266" s="340" t="n"/>
      <c r="T266" s="340" t="n"/>
      <c r="U266" s="340" t="n"/>
      <c r="V266" s="340" t="n"/>
      <c r="W266" s="340" t="n"/>
      <c r="X266" s="340" t="n"/>
      <c r="Y266" s="340" t="n"/>
      <c r="Z266" s="340" t="n"/>
      <c r="AA266" s="340" t="n"/>
      <c r="AB266" s="340" t="n"/>
      <c r="AC266" s="340" t="n"/>
      <c r="AD266" s="340" t="n"/>
      <c r="AE266" s="340" t="n"/>
      <c r="AF266" s="340" t="n"/>
      <c r="AG266" s="340" t="n"/>
      <c r="AH266" s="340" t="n"/>
      <c r="AI266" s="340" t="n"/>
      <c r="AJ266" s="340" t="n"/>
      <c r="AK266" s="340" t="n"/>
      <c r="AL266" s="340" t="n"/>
    </row>
    <row r="267" ht="12.75" customHeight="1">
      <c r="K267" s="340" t="n"/>
      <c r="L267" s="340" t="n"/>
      <c r="M267" s="340" t="n"/>
      <c r="N267" s="340" t="n"/>
      <c r="O267" s="340" t="n"/>
      <c r="P267" s="340" t="n"/>
      <c r="Q267" s="340" t="n"/>
      <c r="R267" s="340" t="n"/>
      <c r="S267" s="340" t="n"/>
      <c r="T267" s="340" t="n"/>
      <c r="U267" s="340" t="n"/>
      <c r="V267" s="340" t="n"/>
      <c r="W267" s="340" t="n"/>
      <c r="X267" s="340" t="n"/>
      <c r="Y267" s="340" t="n"/>
      <c r="Z267" s="340" t="n"/>
      <c r="AA267" s="340" t="n"/>
      <c r="AB267" s="340" t="n"/>
      <c r="AC267" s="340" t="n"/>
      <c r="AD267" s="340" t="n"/>
      <c r="AE267" s="340" t="n"/>
      <c r="AF267" s="340" t="n"/>
      <c r="AG267" s="340" t="n"/>
      <c r="AH267" s="340" t="n"/>
      <c r="AI267" s="340" t="n"/>
      <c r="AJ267" s="340" t="n"/>
      <c r="AK267" s="340" t="n"/>
      <c r="AL267" s="340" t="n"/>
    </row>
    <row r="268" ht="12.75" customHeight="1">
      <c r="K268" s="340" t="n"/>
      <c r="L268" s="340" t="n"/>
      <c r="M268" s="340" t="n"/>
      <c r="N268" s="340" t="n"/>
      <c r="O268" s="340" t="n"/>
      <c r="P268" s="340" t="n"/>
      <c r="Q268" s="340" t="n"/>
      <c r="R268" s="340" t="n"/>
      <c r="S268" s="340" t="n"/>
      <c r="T268" s="340" t="n"/>
      <c r="U268" s="340" t="n"/>
      <c r="V268" s="340" t="n"/>
      <c r="W268" s="340" t="n"/>
      <c r="X268" s="340" t="n"/>
      <c r="Y268" s="340" t="n"/>
      <c r="Z268" s="340" t="n"/>
      <c r="AA268" s="340" t="n"/>
      <c r="AB268" s="340" t="n"/>
      <c r="AC268" s="340" t="n"/>
      <c r="AD268" s="340" t="n"/>
      <c r="AE268" s="340" t="n"/>
      <c r="AF268" s="340" t="n"/>
      <c r="AG268" s="340" t="n"/>
      <c r="AH268" s="340" t="n"/>
      <c r="AI268" s="340" t="n"/>
      <c r="AJ268" s="340" t="n"/>
      <c r="AK268" s="340" t="n"/>
      <c r="AL268" s="340" t="n"/>
    </row>
    <row r="269" ht="12.75" customHeight="1">
      <c r="K269" s="340" t="n"/>
      <c r="L269" s="340" t="n"/>
      <c r="M269" s="340" t="n"/>
      <c r="N269" s="340" t="n"/>
      <c r="O269" s="340" t="n"/>
      <c r="P269" s="340" t="n"/>
      <c r="Q269" s="340" t="n"/>
      <c r="R269" s="340" t="n"/>
      <c r="S269" s="340" t="n"/>
      <c r="T269" s="340" t="n"/>
      <c r="U269" s="340" t="n"/>
      <c r="V269" s="340" t="n"/>
      <c r="W269" s="340" t="n"/>
      <c r="X269" s="340" t="n"/>
      <c r="Y269" s="340" t="n"/>
      <c r="Z269" s="340" t="n"/>
      <c r="AA269" s="340" t="n"/>
      <c r="AB269" s="340" t="n"/>
      <c r="AC269" s="340" t="n"/>
      <c r="AD269" s="340" t="n"/>
      <c r="AE269" s="340" t="n"/>
      <c r="AF269" s="340" t="n"/>
      <c r="AG269" s="340" t="n"/>
      <c r="AH269" s="340" t="n"/>
      <c r="AI269" s="340" t="n"/>
      <c r="AJ269" s="340" t="n"/>
      <c r="AK269" s="340" t="n"/>
      <c r="AL269" s="340" t="n"/>
    </row>
    <row r="270" ht="12.75" customHeight="1">
      <c r="K270" s="340" t="n"/>
      <c r="L270" s="340" t="n"/>
      <c r="M270" s="340" t="n"/>
      <c r="N270" s="340" t="n"/>
      <c r="O270" s="340" t="n"/>
      <c r="P270" s="340" t="n"/>
      <c r="Q270" s="340" t="n"/>
      <c r="R270" s="340" t="n"/>
      <c r="S270" s="340" t="n"/>
      <c r="T270" s="340" t="n"/>
      <c r="U270" s="340" t="n"/>
      <c r="V270" s="340" t="n"/>
      <c r="W270" s="340" t="n"/>
      <c r="X270" s="340" t="n"/>
      <c r="Y270" s="340" t="n"/>
      <c r="Z270" s="340" t="n"/>
      <c r="AA270" s="340" t="n"/>
      <c r="AB270" s="340" t="n"/>
      <c r="AC270" s="340" t="n"/>
      <c r="AD270" s="340" t="n"/>
      <c r="AE270" s="340" t="n"/>
      <c r="AF270" s="340" t="n"/>
      <c r="AG270" s="340" t="n"/>
      <c r="AH270" s="340" t="n"/>
      <c r="AI270" s="340" t="n"/>
      <c r="AJ270" s="340" t="n"/>
      <c r="AK270" s="340" t="n"/>
      <c r="AL270" s="340" t="n"/>
    </row>
    <row r="271" ht="12.75" customHeight="1">
      <c r="K271" s="340" t="n"/>
      <c r="L271" s="340" t="n"/>
      <c r="M271" s="340" t="n"/>
      <c r="N271" s="340" t="n"/>
      <c r="O271" s="340" t="n"/>
      <c r="P271" s="340" t="n"/>
      <c r="Q271" s="340" t="n"/>
      <c r="R271" s="340" t="n"/>
      <c r="S271" s="340" t="n"/>
      <c r="T271" s="340" t="n"/>
      <c r="U271" s="340" t="n"/>
      <c r="V271" s="340" t="n"/>
      <c r="W271" s="340" t="n"/>
      <c r="X271" s="340" t="n"/>
      <c r="Y271" s="340" t="n"/>
      <c r="Z271" s="340" t="n"/>
      <c r="AA271" s="340" t="n"/>
      <c r="AB271" s="340" t="n"/>
      <c r="AC271" s="340" t="n"/>
      <c r="AD271" s="340" t="n"/>
      <c r="AE271" s="340" t="n"/>
      <c r="AF271" s="340" t="n"/>
      <c r="AG271" s="340" t="n"/>
      <c r="AH271" s="340" t="n"/>
      <c r="AI271" s="340" t="n"/>
      <c r="AJ271" s="340" t="n"/>
      <c r="AK271" s="340" t="n"/>
      <c r="AL271" s="340" t="n"/>
    </row>
    <row r="272" ht="12.75" customHeight="1">
      <c r="K272" s="340" t="n"/>
      <c r="L272" s="340" t="n"/>
      <c r="M272" s="340" t="n"/>
      <c r="N272" s="340" t="n"/>
      <c r="O272" s="340" t="n"/>
      <c r="P272" s="340" t="n"/>
      <c r="Q272" s="340" t="n"/>
      <c r="R272" s="340" t="n"/>
      <c r="S272" s="340" t="n"/>
      <c r="T272" s="340" t="n"/>
      <c r="U272" s="340" t="n"/>
      <c r="V272" s="340" t="n"/>
      <c r="W272" s="340" t="n"/>
      <c r="X272" s="340" t="n"/>
      <c r="Y272" s="340" t="n"/>
      <c r="Z272" s="340" t="n"/>
      <c r="AA272" s="340" t="n"/>
      <c r="AB272" s="340" t="n"/>
      <c r="AC272" s="340" t="n"/>
      <c r="AD272" s="340" t="n"/>
      <c r="AE272" s="340" t="n"/>
      <c r="AF272" s="340" t="n"/>
      <c r="AG272" s="340" t="n"/>
      <c r="AH272" s="340" t="n"/>
      <c r="AI272" s="340" t="n"/>
      <c r="AJ272" s="340" t="n"/>
      <c r="AK272" s="340" t="n"/>
      <c r="AL272" s="340" t="n"/>
    </row>
    <row r="273" ht="12.75" customHeight="1">
      <c r="K273" s="340" t="n"/>
      <c r="L273" s="340" t="n"/>
      <c r="M273" s="340" t="n"/>
      <c r="N273" s="340" t="n"/>
      <c r="O273" s="340" t="n"/>
      <c r="P273" s="340" t="n"/>
      <c r="Q273" s="340" t="n"/>
      <c r="R273" s="340" t="n"/>
      <c r="S273" s="340" t="n"/>
      <c r="T273" s="340" t="n"/>
      <c r="U273" s="340" t="n"/>
      <c r="V273" s="340" t="n"/>
      <c r="W273" s="340" t="n"/>
      <c r="X273" s="340" t="n"/>
      <c r="Y273" s="340" t="n"/>
      <c r="Z273" s="340" t="n"/>
      <c r="AA273" s="340" t="n"/>
      <c r="AB273" s="340" t="n"/>
      <c r="AC273" s="340" t="n"/>
      <c r="AD273" s="340" t="n"/>
      <c r="AE273" s="340" t="n"/>
      <c r="AF273" s="340" t="n"/>
      <c r="AG273" s="340" t="n"/>
      <c r="AH273" s="340" t="n"/>
      <c r="AI273" s="340" t="n"/>
      <c r="AJ273" s="340" t="n"/>
      <c r="AK273" s="340" t="n"/>
      <c r="AL273" s="340" t="n"/>
    </row>
    <row r="274" ht="12.75" customHeight="1">
      <c r="K274" s="340" t="n"/>
      <c r="L274" s="340" t="n"/>
      <c r="M274" s="340" t="n"/>
      <c r="N274" s="340" t="n"/>
      <c r="O274" s="340" t="n"/>
      <c r="P274" s="340" t="n"/>
      <c r="Q274" s="340" t="n"/>
      <c r="R274" s="340" t="n"/>
      <c r="S274" s="340" t="n"/>
      <c r="T274" s="340" t="n"/>
      <c r="U274" s="340" t="n"/>
      <c r="V274" s="340" t="n"/>
      <c r="W274" s="340" t="n"/>
      <c r="X274" s="340" t="n"/>
      <c r="Y274" s="340" t="n"/>
      <c r="Z274" s="340" t="n"/>
      <c r="AA274" s="340" t="n"/>
      <c r="AB274" s="340" t="n"/>
      <c r="AC274" s="340" t="n"/>
      <c r="AD274" s="340" t="n"/>
      <c r="AE274" s="340" t="n"/>
      <c r="AF274" s="340" t="n"/>
      <c r="AG274" s="340" t="n"/>
      <c r="AH274" s="340" t="n"/>
      <c r="AI274" s="340" t="n"/>
      <c r="AJ274" s="340" t="n"/>
      <c r="AK274" s="340" t="n"/>
      <c r="AL274" s="340" t="n"/>
    </row>
    <row r="275" ht="12.75" customHeight="1">
      <c r="K275" s="340" t="n"/>
      <c r="L275" s="340" t="n"/>
      <c r="M275" s="340" t="n"/>
      <c r="N275" s="340" t="n"/>
      <c r="O275" s="340" t="n"/>
      <c r="P275" s="340" t="n"/>
      <c r="Q275" s="340" t="n"/>
      <c r="R275" s="340" t="n"/>
      <c r="S275" s="340" t="n"/>
      <c r="T275" s="340" t="n"/>
      <c r="U275" s="340" t="n"/>
      <c r="V275" s="340" t="n"/>
      <c r="W275" s="340" t="n"/>
      <c r="X275" s="340" t="n"/>
      <c r="Y275" s="340" t="n"/>
      <c r="Z275" s="340" t="n"/>
      <c r="AA275" s="340" t="n"/>
      <c r="AB275" s="340" t="n"/>
      <c r="AC275" s="340" t="n"/>
      <c r="AD275" s="340" t="n"/>
      <c r="AE275" s="340" t="n"/>
      <c r="AF275" s="340" t="n"/>
      <c r="AG275" s="340" t="n"/>
      <c r="AH275" s="340" t="n"/>
      <c r="AI275" s="340" t="n"/>
      <c r="AJ275" s="340" t="n"/>
      <c r="AK275" s="340" t="n"/>
      <c r="AL275" s="340" t="n"/>
    </row>
    <row r="276" ht="12.75" customHeight="1">
      <c r="K276" s="340" t="n"/>
      <c r="L276" s="340" t="n"/>
      <c r="M276" s="340" t="n"/>
      <c r="N276" s="340" t="n"/>
      <c r="O276" s="340" t="n"/>
      <c r="P276" s="340" t="n"/>
      <c r="Q276" s="340" t="n"/>
      <c r="R276" s="340" t="n"/>
      <c r="S276" s="340" t="n"/>
      <c r="T276" s="340" t="n"/>
      <c r="U276" s="340" t="n"/>
      <c r="V276" s="340" t="n"/>
      <c r="W276" s="340" t="n"/>
      <c r="X276" s="340" t="n"/>
      <c r="Y276" s="340" t="n"/>
      <c r="Z276" s="340" t="n"/>
      <c r="AA276" s="340" t="n"/>
      <c r="AB276" s="340" t="n"/>
      <c r="AC276" s="340" t="n"/>
      <c r="AD276" s="340" t="n"/>
      <c r="AE276" s="340" t="n"/>
      <c r="AF276" s="340" t="n"/>
      <c r="AG276" s="340" t="n"/>
      <c r="AH276" s="340" t="n"/>
      <c r="AI276" s="340" t="n"/>
      <c r="AJ276" s="340" t="n"/>
      <c r="AK276" s="340" t="n"/>
      <c r="AL276" s="340" t="n"/>
    </row>
    <row r="277" ht="12.75" customHeight="1">
      <c r="K277" s="340" t="n"/>
      <c r="L277" s="340" t="n"/>
      <c r="M277" s="340" t="n"/>
      <c r="N277" s="340" t="n"/>
      <c r="O277" s="340" t="n"/>
      <c r="P277" s="340" t="n"/>
      <c r="Q277" s="340" t="n"/>
      <c r="R277" s="340" t="n"/>
      <c r="S277" s="340" t="n"/>
      <c r="T277" s="340" t="n"/>
      <c r="U277" s="340" t="n"/>
      <c r="V277" s="340" t="n"/>
      <c r="W277" s="340" t="n"/>
      <c r="X277" s="340" t="n"/>
      <c r="Y277" s="340" t="n"/>
      <c r="Z277" s="340" t="n"/>
      <c r="AA277" s="340" t="n"/>
      <c r="AB277" s="340" t="n"/>
      <c r="AC277" s="340" t="n"/>
      <c r="AD277" s="340" t="n"/>
      <c r="AE277" s="340" t="n"/>
      <c r="AF277" s="340" t="n"/>
      <c r="AG277" s="340" t="n"/>
      <c r="AH277" s="340" t="n"/>
      <c r="AI277" s="340" t="n"/>
      <c r="AJ277" s="340" t="n"/>
      <c r="AK277" s="340" t="n"/>
      <c r="AL277" s="340" t="n"/>
    </row>
    <row r="278" ht="12.75" customHeight="1">
      <c r="K278" s="340" t="n"/>
      <c r="L278" s="340" t="n"/>
      <c r="M278" s="340" t="n"/>
      <c r="N278" s="340" t="n"/>
      <c r="O278" s="340" t="n"/>
      <c r="P278" s="340" t="n"/>
      <c r="Q278" s="340" t="n"/>
      <c r="R278" s="340" t="n"/>
      <c r="S278" s="340" t="n"/>
      <c r="T278" s="340" t="n"/>
      <c r="U278" s="340" t="n"/>
      <c r="V278" s="340" t="n"/>
      <c r="W278" s="340" t="n"/>
      <c r="X278" s="340" t="n"/>
      <c r="Y278" s="340" t="n"/>
      <c r="Z278" s="340" t="n"/>
      <c r="AA278" s="340" t="n"/>
      <c r="AB278" s="340" t="n"/>
      <c r="AC278" s="340" t="n"/>
      <c r="AD278" s="340" t="n"/>
      <c r="AE278" s="340" t="n"/>
      <c r="AF278" s="340" t="n"/>
      <c r="AG278" s="340" t="n"/>
      <c r="AH278" s="340" t="n"/>
      <c r="AI278" s="340" t="n"/>
      <c r="AJ278" s="340" t="n"/>
      <c r="AK278" s="340" t="n"/>
      <c r="AL278" s="340" t="n"/>
    </row>
    <row r="279" ht="12.75" customHeight="1">
      <c r="K279" s="340" t="n"/>
      <c r="L279" s="340" t="n"/>
      <c r="M279" s="340" t="n"/>
      <c r="N279" s="340" t="n"/>
      <c r="O279" s="340" t="n"/>
      <c r="P279" s="340" t="n"/>
      <c r="Q279" s="340" t="n"/>
      <c r="R279" s="340" t="n"/>
      <c r="S279" s="340" t="n"/>
      <c r="T279" s="340" t="n"/>
      <c r="U279" s="340" t="n"/>
      <c r="V279" s="340" t="n"/>
      <c r="W279" s="340" t="n"/>
      <c r="X279" s="340" t="n"/>
      <c r="Y279" s="340" t="n"/>
      <c r="Z279" s="340" t="n"/>
      <c r="AA279" s="340" t="n"/>
      <c r="AB279" s="340" t="n"/>
      <c r="AC279" s="340" t="n"/>
      <c r="AD279" s="340" t="n"/>
      <c r="AE279" s="340" t="n"/>
      <c r="AF279" s="340" t="n"/>
      <c r="AG279" s="340" t="n"/>
      <c r="AH279" s="340" t="n"/>
      <c r="AI279" s="340" t="n"/>
      <c r="AJ279" s="340" t="n"/>
      <c r="AK279" s="340" t="n"/>
      <c r="AL279" s="340" t="n"/>
    </row>
    <row r="280" ht="12.75" customHeight="1">
      <c r="K280" s="340" t="n"/>
      <c r="L280" s="340" t="n"/>
      <c r="M280" s="340" t="n"/>
      <c r="N280" s="340" t="n"/>
      <c r="O280" s="340" t="n"/>
      <c r="P280" s="340" t="n"/>
      <c r="Q280" s="340" t="n"/>
      <c r="R280" s="340" t="n"/>
      <c r="S280" s="340" t="n"/>
      <c r="T280" s="340" t="n"/>
      <c r="U280" s="340" t="n"/>
      <c r="V280" s="340" t="n"/>
      <c r="W280" s="340" t="n"/>
      <c r="X280" s="340" t="n"/>
      <c r="Y280" s="340" t="n"/>
      <c r="Z280" s="340" t="n"/>
      <c r="AA280" s="340" t="n"/>
      <c r="AB280" s="340" t="n"/>
      <c r="AC280" s="340" t="n"/>
      <c r="AD280" s="340" t="n"/>
      <c r="AE280" s="340" t="n"/>
      <c r="AF280" s="340" t="n"/>
      <c r="AG280" s="340" t="n"/>
      <c r="AH280" s="340" t="n"/>
      <c r="AI280" s="340" t="n"/>
      <c r="AJ280" s="340" t="n"/>
      <c r="AK280" s="340" t="n"/>
      <c r="AL280" s="340" t="n"/>
    </row>
    <row r="281" ht="12.75" customHeight="1">
      <c r="K281" s="340" t="n"/>
      <c r="L281" s="340" t="n"/>
      <c r="M281" s="340" t="n"/>
      <c r="N281" s="340" t="n"/>
      <c r="O281" s="340" t="n"/>
      <c r="P281" s="340" t="n"/>
      <c r="Q281" s="340" t="n"/>
      <c r="R281" s="340" t="n"/>
      <c r="S281" s="340" t="n"/>
      <c r="T281" s="340" t="n"/>
      <c r="U281" s="340" t="n"/>
      <c r="V281" s="340" t="n"/>
      <c r="W281" s="340" t="n"/>
      <c r="X281" s="340" t="n"/>
      <c r="Y281" s="340" t="n"/>
      <c r="Z281" s="340" t="n"/>
      <c r="AA281" s="340" t="n"/>
      <c r="AB281" s="340" t="n"/>
      <c r="AC281" s="340" t="n"/>
      <c r="AD281" s="340" t="n"/>
      <c r="AE281" s="340" t="n"/>
      <c r="AF281" s="340" t="n"/>
      <c r="AG281" s="340" t="n"/>
      <c r="AH281" s="340" t="n"/>
      <c r="AI281" s="340" t="n"/>
      <c r="AJ281" s="340" t="n"/>
      <c r="AK281" s="340" t="n"/>
      <c r="AL281" s="340" t="n"/>
    </row>
    <row r="282" ht="12.75" customHeight="1">
      <c r="K282" s="340" t="n"/>
      <c r="L282" s="340" t="n"/>
      <c r="M282" s="340" t="n"/>
      <c r="N282" s="340" t="n"/>
      <c r="O282" s="340" t="n"/>
      <c r="P282" s="340" t="n"/>
      <c r="Q282" s="340" t="n"/>
      <c r="R282" s="340" t="n"/>
      <c r="S282" s="340" t="n"/>
      <c r="T282" s="340" t="n"/>
      <c r="U282" s="340" t="n"/>
      <c r="V282" s="340" t="n"/>
      <c r="W282" s="340" t="n"/>
      <c r="X282" s="340" t="n"/>
      <c r="Y282" s="340" t="n"/>
      <c r="Z282" s="340" t="n"/>
      <c r="AA282" s="340" t="n"/>
      <c r="AB282" s="340" t="n"/>
      <c r="AC282" s="340" t="n"/>
      <c r="AD282" s="340" t="n"/>
      <c r="AE282" s="340" t="n"/>
      <c r="AF282" s="340" t="n"/>
      <c r="AG282" s="340" t="n"/>
      <c r="AH282" s="340" t="n"/>
      <c r="AI282" s="340" t="n"/>
      <c r="AJ282" s="340" t="n"/>
      <c r="AK282" s="340" t="n"/>
      <c r="AL282" s="340" t="n"/>
    </row>
    <row r="283" ht="12.75" customHeight="1">
      <c r="K283" s="340" t="n"/>
      <c r="L283" s="340" t="n"/>
      <c r="M283" s="340" t="n"/>
      <c r="N283" s="340" t="n"/>
      <c r="O283" s="340" t="n"/>
      <c r="P283" s="340" t="n"/>
      <c r="Q283" s="340" t="n"/>
      <c r="R283" s="340" t="n"/>
      <c r="S283" s="340" t="n"/>
      <c r="T283" s="340" t="n"/>
      <c r="U283" s="340" t="n"/>
      <c r="V283" s="340" t="n"/>
      <c r="W283" s="340" t="n"/>
      <c r="X283" s="340" t="n"/>
      <c r="Y283" s="340" t="n"/>
      <c r="Z283" s="340" t="n"/>
      <c r="AA283" s="340" t="n"/>
      <c r="AB283" s="340" t="n"/>
      <c r="AC283" s="340" t="n"/>
      <c r="AD283" s="340" t="n"/>
      <c r="AE283" s="340" t="n"/>
      <c r="AF283" s="340" t="n"/>
      <c r="AG283" s="340" t="n"/>
      <c r="AH283" s="340" t="n"/>
      <c r="AI283" s="340" t="n"/>
      <c r="AJ283" s="340" t="n"/>
      <c r="AK283" s="340" t="n"/>
      <c r="AL283" s="340" t="n"/>
    </row>
    <row r="284" ht="12.75" customHeight="1">
      <c r="K284" s="340" t="n"/>
      <c r="L284" s="340" t="n"/>
      <c r="M284" s="340" t="n"/>
      <c r="N284" s="340" t="n"/>
      <c r="O284" s="340" t="n"/>
      <c r="P284" s="340" t="n"/>
      <c r="Q284" s="340" t="n"/>
      <c r="R284" s="340" t="n"/>
      <c r="S284" s="340" t="n"/>
      <c r="T284" s="340" t="n"/>
      <c r="U284" s="340" t="n"/>
      <c r="V284" s="340" t="n"/>
      <c r="W284" s="340" t="n"/>
      <c r="X284" s="340" t="n"/>
      <c r="Y284" s="340" t="n"/>
      <c r="Z284" s="340" t="n"/>
      <c r="AA284" s="340" t="n"/>
      <c r="AB284" s="340" t="n"/>
      <c r="AC284" s="340" t="n"/>
      <c r="AD284" s="340" t="n"/>
      <c r="AE284" s="340" t="n"/>
      <c r="AF284" s="340" t="n"/>
      <c r="AG284" s="340" t="n"/>
      <c r="AH284" s="340" t="n"/>
      <c r="AI284" s="340" t="n"/>
      <c r="AJ284" s="340" t="n"/>
      <c r="AK284" s="340" t="n"/>
      <c r="AL284" s="340" t="n"/>
    </row>
    <row r="285" ht="12.75" customHeight="1">
      <c r="K285" s="340" t="n"/>
      <c r="L285" s="340" t="n"/>
      <c r="M285" s="340" t="n"/>
      <c r="N285" s="340" t="n"/>
      <c r="O285" s="340" t="n"/>
      <c r="P285" s="340" t="n"/>
      <c r="Q285" s="340" t="n"/>
      <c r="R285" s="340" t="n"/>
      <c r="S285" s="340" t="n"/>
      <c r="T285" s="340" t="n"/>
      <c r="U285" s="340" t="n"/>
      <c r="V285" s="340" t="n"/>
      <c r="W285" s="340" t="n"/>
      <c r="X285" s="340" t="n"/>
      <c r="Y285" s="340" t="n"/>
      <c r="Z285" s="340" t="n"/>
      <c r="AA285" s="340" t="n"/>
      <c r="AB285" s="340" t="n"/>
      <c r="AC285" s="340" t="n"/>
      <c r="AD285" s="340" t="n"/>
      <c r="AE285" s="340" t="n"/>
      <c r="AF285" s="340" t="n"/>
      <c r="AG285" s="340" t="n"/>
      <c r="AH285" s="340" t="n"/>
      <c r="AI285" s="340" t="n"/>
      <c r="AJ285" s="340" t="n"/>
      <c r="AK285" s="340" t="n"/>
      <c r="AL285" s="340" t="n"/>
    </row>
    <row r="286" ht="12.75" customHeight="1">
      <c r="K286" s="340" t="n"/>
      <c r="L286" s="340" t="n"/>
      <c r="M286" s="340" t="n"/>
      <c r="N286" s="340" t="n"/>
      <c r="O286" s="340" t="n"/>
      <c r="P286" s="340" t="n"/>
      <c r="Q286" s="340" t="n"/>
      <c r="R286" s="340" t="n"/>
      <c r="S286" s="340" t="n"/>
      <c r="T286" s="340" t="n"/>
      <c r="U286" s="340" t="n"/>
      <c r="V286" s="340" t="n"/>
      <c r="W286" s="340" t="n"/>
      <c r="X286" s="340" t="n"/>
      <c r="Y286" s="340" t="n"/>
      <c r="Z286" s="340" t="n"/>
      <c r="AA286" s="340" t="n"/>
      <c r="AB286" s="340" t="n"/>
      <c r="AC286" s="340" t="n"/>
      <c r="AD286" s="340" t="n"/>
      <c r="AE286" s="340" t="n"/>
      <c r="AF286" s="340" t="n"/>
      <c r="AG286" s="340" t="n"/>
      <c r="AH286" s="340" t="n"/>
      <c r="AI286" s="340" t="n"/>
      <c r="AJ286" s="340" t="n"/>
      <c r="AK286" s="340" t="n"/>
      <c r="AL286" s="340" t="n"/>
    </row>
    <row r="287" ht="12.75" customHeight="1">
      <c r="K287" s="340" t="n"/>
      <c r="L287" s="340" t="n"/>
      <c r="M287" s="340" t="n"/>
      <c r="N287" s="340" t="n"/>
      <c r="O287" s="340" t="n"/>
      <c r="P287" s="340" t="n"/>
      <c r="Q287" s="340" t="n"/>
      <c r="R287" s="340" t="n"/>
      <c r="S287" s="340" t="n"/>
      <c r="T287" s="340" t="n"/>
      <c r="U287" s="340" t="n"/>
      <c r="V287" s="340" t="n"/>
      <c r="W287" s="340" t="n"/>
      <c r="X287" s="340" t="n"/>
      <c r="Y287" s="340" t="n"/>
      <c r="Z287" s="340" t="n"/>
      <c r="AA287" s="340" t="n"/>
      <c r="AB287" s="340" t="n"/>
      <c r="AC287" s="340" t="n"/>
      <c r="AD287" s="340" t="n"/>
      <c r="AE287" s="340" t="n"/>
      <c r="AF287" s="340" t="n"/>
      <c r="AG287" s="340" t="n"/>
      <c r="AH287" s="340" t="n"/>
      <c r="AI287" s="340" t="n"/>
      <c r="AJ287" s="340" t="n"/>
      <c r="AK287" s="340" t="n"/>
      <c r="AL287" s="340" t="n"/>
    </row>
    <row r="288" ht="12.75" customHeight="1">
      <c r="K288" s="340" t="n"/>
      <c r="L288" s="340" t="n"/>
      <c r="M288" s="340" t="n"/>
      <c r="N288" s="340" t="n"/>
      <c r="O288" s="340" t="n"/>
      <c r="P288" s="340" t="n"/>
      <c r="Q288" s="340" t="n"/>
      <c r="R288" s="340" t="n"/>
      <c r="S288" s="340" t="n"/>
      <c r="T288" s="340" t="n"/>
      <c r="U288" s="340" t="n"/>
      <c r="V288" s="340" t="n"/>
      <c r="W288" s="340" t="n"/>
      <c r="X288" s="340" t="n"/>
      <c r="Y288" s="340" t="n"/>
      <c r="Z288" s="340" t="n"/>
      <c r="AA288" s="340" t="n"/>
      <c r="AB288" s="340" t="n"/>
      <c r="AC288" s="340" t="n"/>
      <c r="AD288" s="340" t="n"/>
      <c r="AE288" s="340" t="n"/>
      <c r="AF288" s="340" t="n"/>
      <c r="AG288" s="340" t="n"/>
      <c r="AH288" s="340" t="n"/>
      <c r="AI288" s="340" t="n"/>
      <c r="AJ288" s="340" t="n"/>
      <c r="AK288" s="340" t="n"/>
      <c r="AL288" s="340" t="n"/>
    </row>
    <row r="289" ht="12.75" customHeight="1">
      <c r="K289" s="340" t="n"/>
      <c r="L289" s="340" t="n"/>
      <c r="M289" s="340" t="n"/>
      <c r="N289" s="340" t="n"/>
      <c r="O289" s="340" t="n"/>
      <c r="P289" s="340" t="n"/>
      <c r="Q289" s="340" t="n"/>
      <c r="R289" s="340" t="n"/>
      <c r="S289" s="340" t="n"/>
      <c r="T289" s="340" t="n"/>
      <c r="U289" s="340" t="n"/>
      <c r="V289" s="340" t="n"/>
      <c r="W289" s="340" t="n"/>
      <c r="X289" s="340" t="n"/>
      <c r="Y289" s="340" t="n"/>
      <c r="Z289" s="340" t="n"/>
      <c r="AA289" s="340" t="n"/>
      <c r="AB289" s="340" t="n"/>
      <c r="AC289" s="340" t="n"/>
      <c r="AD289" s="340" t="n"/>
      <c r="AE289" s="340" t="n"/>
      <c r="AF289" s="340" t="n"/>
      <c r="AG289" s="340" t="n"/>
      <c r="AH289" s="340" t="n"/>
      <c r="AI289" s="340" t="n"/>
      <c r="AJ289" s="340" t="n"/>
      <c r="AK289" s="340" t="n"/>
      <c r="AL289" s="340" t="n"/>
    </row>
    <row r="290" ht="12.75" customHeight="1">
      <c r="K290" s="340" t="n"/>
      <c r="L290" s="340" t="n"/>
      <c r="M290" s="340" t="n"/>
      <c r="N290" s="340" t="n"/>
      <c r="O290" s="340" t="n"/>
      <c r="P290" s="340" t="n"/>
      <c r="Q290" s="340" t="n"/>
      <c r="R290" s="340" t="n"/>
      <c r="S290" s="340" t="n"/>
      <c r="T290" s="340" t="n"/>
      <c r="U290" s="340" t="n"/>
      <c r="V290" s="340" t="n"/>
      <c r="W290" s="340" t="n"/>
      <c r="X290" s="340" t="n"/>
      <c r="Y290" s="340" t="n"/>
      <c r="Z290" s="340" t="n"/>
      <c r="AA290" s="340" t="n"/>
      <c r="AB290" s="340" t="n"/>
      <c r="AC290" s="340" t="n"/>
      <c r="AD290" s="340" t="n"/>
      <c r="AE290" s="340" t="n"/>
      <c r="AF290" s="340" t="n"/>
      <c r="AG290" s="340" t="n"/>
      <c r="AH290" s="340" t="n"/>
      <c r="AI290" s="340" t="n"/>
      <c r="AJ290" s="340" t="n"/>
      <c r="AK290" s="340" t="n"/>
      <c r="AL290" s="340" t="n"/>
    </row>
    <row r="291" ht="12.75" customHeight="1">
      <c r="K291" s="340" t="n"/>
      <c r="L291" s="340" t="n"/>
      <c r="M291" s="340" t="n"/>
      <c r="N291" s="340" t="n"/>
      <c r="O291" s="340" t="n"/>
      <c r="P291" s="340" t="n"/>
      <c r="Q291" s="340" t="n"/>
      <c r="R291" s="340" t="n"/>
      <c r="S291" s="340" t="n"/>
      <c r="T291" s="340" t="n"/>
      <c r="U291" s="340" t="n"/>
      <c r="V291" s="340" t="n"/>
      <c r="W291" s="340" t="n"/>
      <c r="X291" s="340" t="n"/>
      <c r="Y291" s="340" t="n"/>
      <c r="Z291" s="340" t="n"/>
      <c r="AA291" s="340" t="n"/>
      <c r="AB291" s="340" t="n"/>
      <c r="AC291" s="340" t="n"/>
      <c r="AD291" s="340" t="n"/>
      <c r="AE291" s="340" t="n"/>
      <c r="AF291" s="340" t="n"/>
      <c r="AG291" s="340" t="n"/>
      <c r="AH291" s="340" t="n"/>
      <c r="AI291" s="340" t="n"/>
      <c r="AJ291" s="340" t="n"/>
      <c r="AK291" s="340" t="n"/>
      <c r="AL291" s="340" t="n"/>
    </row>
    <row r="292" ht="12.75" customHeight="1">
      <c r="K292" s="340" t="n"/>
      <c r="L292" s="340" t="n"/>
      <c r="M292" s="340" t="n"/>
      <c r="N292" s="340" t="n"/>
      <c r="O292" s="340" t="n"/>
      <c r="P292" s="340" t="n"/>
      <c r="Q292" s="340" t="n"/>
      <c r="R292" s="340" t="n"/>
      <c r="S292" s="340" t="n"/>
      <c r="T292" s="340" t="n"/>
      <c r="U292" s="340" t="n"/>
      <c r="V292" s="340" t="n"/>
      <c r="W292" s="340" t="n"/>
      <c r="X292" s="340" t="n"/>
      <c r="Y292" s="340" t="n"/>
      <c r="Z292" s="340" t="n"/>
      <c r="AA292" s="340" t="n"/>
      <c r="AB292" s="340" t="n"/>
      <c r="AC292" s="340" t="n"/>
      <c r="AD292" s="340" t="n"/>
      <c r="AE292" s="340" t="n"/>
      <c r="AF292" s="340" t="n"/>
      <c r="AG292" s="340" t="n"/>
      <c r="AH292" s="340" t="n"/>
      <c r="AI292" s="340" t="n"/>
      <c r="AJ292" s="340" t="n"/>
      <c r="AK292" s="340" t="n"/>
      <c r="AL292" s="340" t="n"/>
    </row>
    <row r="293" ht="12.75" customHeight="1">
      <c r="K293" s="340" t="n"/>
      <c r="L293" s="340" t="n"/>
      <c r="M293" s="340" t="n"/>
      <c r="N293" s="340" t="n"/>
      <c r="O293" s="340" t="n"/>
      <c r="P293" s="340" t="n"/>
      <c r="Q293" s="340" t="n"/>
      <c r="R293" s="340" t="n"/>
      <c r="S293" s="340" t="n"/>
      <c r="T293" s="340" t="n"/>
      <c r="U293" s="340" t="n"/>
      <c r="V293" s="340" t="n"/>
      <c r="W293" s="340" t="n"/>
      <c r="X293" s="340" t="n"/>
      <c r="Y293" s="340" t="n"/>
      <c r="Z293" s="340" t="n"/>
      <c r="AA293" s="340" t="n"/>
      <c r="AB293" s="340" t="n"/>
      <c r="AC293" s="340" t="n"/>
      <c r="AD293" s="340" t="n"/>
      <c r="AE293" s="340" t="n"/>
      <c r="AF293" s="340" t="n"/>
      <c r="AG293" s="340" t="n"/>
      <c r="AH293" s="340" t="n"/>
      <c r="AI293" s="340" t="n"/>
      <c r="AJ293" s="340" t="n"/>
      <c r="AK293" s="340" t="n"/>
      <c r="AL293" s="340" t="n"/>
    </row>
    <row r="294" ht="12.75" customHeight="1">
      <c r="K294" s="340" t="n"/>
      <c r="L294" s="340" t="n"/>
      <c r="M294" s="340" t="n"/>
      <c r="N294" s="340" t="n"/>
      <c r="O294" s="340" t="n"/>
      <c r="P294" s="340" t="n"/>
      <c r="Q294" s="340" t="n"/>
      <c r="R294" s="340" t="n"/>
      <c r="S294" s="340" t="n"/>
      <c r="T294" s="340" t="n"/>
      <c r="U294" s="340" t="n"/>
      <c r="V294" s="340" t="n"/>
      <c r="W294" s="340" t="n"/>
      <c r="X294" s="340" t="n"/>
      <c r="Y294" s="340" t="n"/>
      <c r="Z294" s="340" t="n"/>
      <c r="AA294" s="340" t="n"/>
      <c r="AB294" s="340" t="n"/>
      <c r="AC294" s="340" t="n"/>
      <c r="AD294" s="340" t="n"/>
      <c r="AE294" s="340" t="n"/>
      <c r="AF294" s="340" t="n"/>
      <c r="AG294" s="340" t="n"/>
      <c r="AH294" s="340" t="n"/>
      <c r="AI294" s="340" t="n"/>
      <c r="AJ294" s="340" t="n"/>
      <c r="AK294" s="340" t="n"/>
      <c r="AL294" s="340" t="n"/>
    </row>
    <row r="295" ht="12.75" customHeight="1">
      <c r="K295" s="340" t="n"/>
      <c r="L295" s="340" t="n"/>
      <c r="M295" s="340" t="n"/>
      <c r="N295" s="340" t="n"/>
      <c r="O295" s="340" t="n"/>
      <c r="P295" s="340" t="n"/>
      <c r="Q295" s="340" t="n"/>
      <c r="R295" s="340" t="n"/>
      <c r="S295" s="340" t="n"/>
      <c r="T295" s="340" t="n"/>
      <c r="U295" s="340" t="n"/>
      <c r="V295" s="340" t="n"/>
      <c r="W295" s="340" t="n"/>
      <c r="X295" s="340" t="n"/>
      <c r="Y295" s="340" t="n"/>
      <c r="Z295" s="340" t="n"/>
      <c r="AA295" s="340" t="n"/>
      <c r="AB295" s="340" t="n"/>
      <c r="AC295" s="340" t="n"/>
      <c r="AD295" s="340" t="n"/>
      <c r="AE295" s="340" t="n"/>
      <c r="AF295" s="340" t="n"/>
      <c r="AG295" s="340" t="n"/>
      <c r="AH295" s="340" t="n"/>
      <c r="AI295" s="340" t="n"/>
      <c r="AJ295" s="340" t="n"/>
      <c r="AK295" s="340" t="n"/>
      <c r="AL295" s="340" t="n"/>
    </row>
    <row r="296" ht="12.75" customHeight="1">
      <c r="K296" s="340" t="n"/>
      <c r="L296" s="340" t="n"/>
      <c r="M296" s="340" t="n"/>
      <c r="N296" s="340" t="n"/>
      <c r="O296" s="340" t="n"/>
      <c r="P296" s="340" t="n"/>
      <c r="Q296" s="340" t="n"/>
      <c r="R296" s="340" t="n"/>
      <c r="S296" s="340" t="n"/>
      <c r="T296" s="340" t="n"/>
      <c r="U296" s="340" t="n"/>
      <c r="V296" s="340" t="n"/>
      <c r="W296" s="340" t="n"/>
      <c r="X296" s="340" t="n"/>
      <c r="Y296" s="340" t="n"/>
      <c r="Z296" s="340" t="n"/>
      <c r="AA296" s="340" t="n"/>
      <c r="AB296" s="340" t="n"/>
      <c r="AC296" s="340" t="n"/>
      <c r="AD296" s="340" t="n"/>
      <c r="AE296" s="340" t="n"/>
      <c r="AF296" s="340" t="n"/>
      <c r="AG296" s="340" t="n"/>
      <c r="AH296" s="340" t="n"/>
      <c r="AI296" s="340" t="n"/>
      <c r="AJ296" s="340" t="n"/>
      <c r="AK296" s="340" t="n"/>
      <c r="AL296" s="340" t="n"/>
    </row>
    <row r="297" ht="12.75" customHeight="1">
      <c r="K297" s="340" t="n"/>
      <c r="L297" s="340" t="n"/>
      <c r="M297" s="340" t="n"/>
      <c r="N297" s="340" t="n"/>
      <c r="O297" s="340" t="n"/>
      <c r="P297" s="340" t="n"/>
      <c r="Q297" s="340" t="n"/>
      <c r="R297" s="340" t="n"/>
      <c r="S297" s="340" t="n"/>
      <c r="T297" s="340" t="n"/>
      <c r="U297" s="340" t="n"/>
      <c r="V297" s="340" t="n"/>
      <c r="W297" s="340" t="n"/>
      <c r="X297" s="340" t="n"/>
      <c r="Y297" s="340" t="n"/>
      <c r="Z297" s="340" t="n"/>
      <c r="AA297" s="340" t="n"/>
      <c r="AB297" s="340" t="n"/>
      <c r="AC297" s="340" t="n"/>
      <c r="AD297" s="340" t="n"/>
      <c r="AE297" s="340" t="n"/>
      <c r="AF297" s="340" t="n"/>
      <c r="AG297" s="340" t="n"/>
      <c r="AH297" s="340" t="n"/>
      <c r="AI297" s="340" t="n"/>
      <c r="AJ297" s="340" t="n"/>
      <c r="AK297" s="340" t="n"/>
      <c r="AL297" s="340" t="n"/>
    </row>
    <row r="298" ht="12.75" customHeight="1">
      <c r="K298" s="340" t="n"/>
      <c r="L298" s="340" t="n"/>
      <c r="M298" s="340" t="n"/>
      <c r="N298" s="340" t="n"/>
      <c r="O298" s="340" t="n"/>
      <c r="P298" s="340" t="n"/>
      <c r="Q298" s="340" t="n"/>
      <c r="R298" s="340" t="n"/>
      <c r="S298" s="340" t="n"/>
      <c r="T298" s="340" t="n"/>
      <c r="U298" s="340" t="n"/>
      <c r="V298" s="340" t="n"/>
      <c r="W298" s="340" t="n"/>
      <c r="X298" s="340" t="n"/>
      <c r="Y298" s="340" t="n"/>
      <c r="Z298" s="340" t="n"/>
      <c r="AA298" s="340" t="n"/>
      <c r="AB298" s="340" t="n"/>
      <c r="AC298" s="340" t="n"/>
      <c r="AD298" s="340" t="n"/>
      <c r="AE298" s="340" t="n"/>
      <c r="AF298" s="340" t="n"/>
      <c r="AG298" s="340" t="n"/>
      <c r="AH298" s="340" t="n"/>
      <c r="AI298" s="340" t="n"/>
      <c r="AJ298" s="340" t="n"/>
      <c r="AK298" s="340" t="n"/>
      <c r="AL298" s="340" t="n"/>
    </row>
    <row r="299" ht="12.75" customHeight="1">
      <c r="K299" s="340" t="n"/>
      <c r="L299" s="340" t="n"/>
      <c r="M299" s="340" t="n"/>
      <c r="N299" s="340" t="n"/>
      <c r="O299" s="340" t="n"/>
      <c r="P299" s="340" t="n"/>
      <c r="Q299" s="340" t="n"/>
      <c r="R299" s="340" t="n"/>
      <c r="S299" s="340" t="n"/>
      <c r="T299" s="340" t="n"/>
      <c r="U299" s="340" t="n"/>
      <c r="V299" s="340" t="n"/>
      <c r="W299" s="340" t="n"/>
      <c r="X299" s="340" t="n"/>
      <c r="Y299" s="340" t="n"/>
      <c r="Z299" s="340" t="n"/>
      <c r="AA299" s="340" t="n"/>
      <c r="AB299" s="340" t="n"/>
      <c r="AC299" s="340" t="n"/>
      <c r="AD299" s="340" t="n"/>
      <c r="AE299" s="340" t="n"/>
      <c r="AF299" s="340" t="n"/>
      <c r="AG299" s="340" t="n"/>
      <c r="AH299" s="340" t="n"/>
      <c r="AI299" s="340" t="n"/>
      <c r="AJ299" s="340" t="n"/>
      <c r="AK299" s="340" t="n"/>
      <c r="AL299" s="340" t="n"/>
    </row>
    <row r="300" ht="12.75" customHeight="1">
      <c r="K300" s="340" t="n"/>
      <c r="L300" s="340" t="n"/>
      <c r="M300" s="340" t="n"/>
      <c r="N300" s="340" t="n"/>
      <c r="O300" s="340" t="n"/>
      <c r="P300" s="340" t="n"/>
      <c r="Q300" s="340" t="n"/>
      <c r="R300" s="340" t="n"/>
      <c r="S300" s="340" t="n"/>
      <c r="T300" s="340" t="n"/>
      <c r="U300" s="340" t="n"/>
      <c r="V300" s="340" t="n"/>
      <c r="W300" s="340" t="n"/>
      <c r="X300" s="340" t="n"/>
      <c r="Y300" s="340" t="n"/>
      <c r="Z300" s="340" t="n"/>
      <c r="AA300" s="340" t="n"/>
      <c r="AB300" s="340" t="n"/>
      <c r="AC300" s="340" t="n"/>
      <c r="AD300" s="340" t="n"/>
      <c r="AE300" s="340" t="n"/>
      <c r="AF300" s="340" t="n"/>
      <c r="AG300" s="340" t="n"/>
      <c r="AH300" s="340" t="n"/>
      <c r="AI300" s="340" t="n"/>
      <c r="AJ300" s="340" t="n"/>
      <c r="AK300" s="340" t="n"/>
      <c r="AL300" s="340" t="n"/>
    </row>
    <row r="301" ht="12.75" customHeight="1">
      <c r="K301" s="340" t="n"/>
      <c r="L301" s="340" t="n"/>
      <c r="M301" s="340" t="n"/>
      <c r="N301" s="340" t="n"/>
      <c r="O301" s="340" t="n"/>
      <c r="P301" s="340" t="n"/>
      <c r="Q301" s="340" t="n"/>
      <c r="R301" s="340" t="n"/>
      <c r="S301" s="340" t="n"/>
      <c r="T301" s="340" t="n"/>
      <c r="U301" s="340" t="n"/>
      <c r="V301" s="340" t="n"/>
      <c r="W301" s="340" t="n"/>
      <c r="X301" s="340" t="n"/>
      <c r="Y301" s="340" t="n"/>
      <c r="Z301" s="340" t="n"/>
      <c r="AA301" s="340" t="n"/>
      <c r="AB301" s="340" t="n"/>
      <c r="AC301" s="340" t="n"/>
      <c r="AD301" s="340" t="n"/>
      <c r="AE301" s="340" t="n"/>
      <c r="AF301" s="340" t="n"/>
      <c r="AG301" s="340" t="n"/>
      <c r="AH301" s="340" t="n"/>
      <c r="AI301" s="340" t="n"/>
      <c r="AJ301" s="340" t="n"/>
      <c r="AK301" s="340" t="n"/>
      <c r="AL301" s="340" t="n"/>
    </row>
    <row r="302" ht="12.75" customHeight="1">
      <c r="K302" s="340" t="n"/>
      <c r="L302" s="340" t="n"/>
      <c r="M302" s="340" t="n"/>
      <c r="N302" s="340" t="n"/>
      <c r="O302" s="340" t="n"/>
      <c r="P302" s="340" t="n"/>
      <c r="Q302" s="340" t="n"/>
      <c r="R302" s="340" t="n"/>
      <c r="S302" s="340" t="n"/>
      <c r="T302" s="340" t="n"/>
      <c r="U302" s="340" t="n"/>
      <c r="V302" s="340" t="n"/>
      <c r="W302" s="340" t="n"/>
      <c r="X302" s="340" t="n"/>
      <c r="Y302" s="340" t="n"/>
      <c r="Z302" s="340" t="n"/>
      <c r="AA302" s="340" t="n"/>
      <c r="AB302" s="340" t="n"/>
      <c r="AC302" s="340" t="n"/>
      <c r="AD302" s="340" t="n"/>
      <c r="AE302" s="340" t="n"/>
      <c r="AF302" s="340" t="n"/>
      <c r="AG302" s="340" t="n"/>
      <c r="AH302" s="340" t="n"/>
      <c r="AI302" s="340" t="n"/>
      <c r="AJ302" s="340" t="n"/>
      <c r="AK302" s="340" t="n"/>
      <c r="AL302" s="340" t="n"/>
    </row>
    <row r="303" ht="12.75" customHeight="1">
      <c r="K303" s="340" t="n"/>
      <c r="L303" s="340" t="n"/>
      <c r="M303" s="340" t="n"/>
      <c r="N303" s="340" t="n"/>
      <c r="O303" s="340" t="n"/>
      <c r="P303" s="340" t="n"/>
      <c r="Q303" s="340" t="n"/>
      <c r="R303" s="340" t="n"/>
      <c r="S303" s="340" t="n"/>
      <c r="T303" s="340" t="n"/>
      <c r="U303" s="340" t="n"/>
      <c r="V303" s="340" t="n"/>
      <c r="W303" s="340" t="n"/>
      <c r="X303" s="340" t="n"/>
      <c r="Y303" s="340" t="n"/>
      <c r="Z303" s="340" t="n"/>
      <c r="AA303" s="340" t="n"/>
      <c r="AB303" s="340" t="n"/>
      <c r="AC303" s="340" t="n"/>
      <c r="AD303" s="340" t="n"/>
      <c r="AE303" s="340" t="n"/>
      <c r="AF303" s="340" t="n"/>
      <c r="AG303" s="340" t="n"/>
      <c r="AH303" s="340" t="n"/>
      <c r="AI303" s="340" t="n"/>
      <c r="AJ303" s="340" t="n"/>
      <c r="AK303" s="340" t="n"/>
      <c r="AL303" s="340" t="n"/>
    </row>
    <row r="304" ht="12.75" customHeight="1">
      <c r="K304" s="340" t="n"/>
      <c r="L304" s="340" t="n"/>
      <c r="M304" s="340" t="n"/>
      <c r="N304" s="340" t="n"/>
      <c r="O304" s="340" t="n"/>
      <c r="P304" s="340" t="n"/>
      <c r="Q304" s="340" t="n"/>
      <c r="R304" s="340" t="n"/>
      <c r="S304" s="340" t="n"/>
      <c r="T304" s="340" t="n"/>
      <c r="U304" s="340" t="n"/>
      <c r="V304" s="340" t="n"/>
      <c r="W304" s="340" t="n"/>
      <c r="X304" s="340" t="n"/>
      <c r="Y304" s="340" t="n"/>
      <c r="Z304" s="340" t="n"/>
      <c r="AA304" s="340" t="n"/>
      <c r="AB304" s="340" t="n"/>
      <c r="AC304" s="340" t="n"/>
      <c r="AD304" s="340" t="n"/>
      <c r="AE304" s="340" t="n"/>
      <c r="AF304" s="340" t="n"/>
      <c r="AG304" s="340" t="n"/>
      <c r="AH304" s="340" t="n"/>
      <c r="AI304" s="340" t="n"/>
      <c r="AJ304" s="340" t="n"/>
      <c r="AK304" s="340" t="n"/>
      <c r="AL304" s="340" t="n"/>
    </row>
    <row r="305" ht="12.75" customHeight="1">
      <c r="K305" s="340" t="n"/>
      <c r="L305" s="340" t="n"/>
      <c r="M305" s="340" t="n"/>
      <c r="N305" s="340" t="n"/>
      <c r="O305" s="340" t="n"/>
      <c r="P305" s="340" t="n"/>
      <c r="Q305" s="340" t="n"/>
      <c r="R305" s="340" t="n"/>
      <c r="S305" s="340" t="n"/>
      <c r="T305" s="340" t="n"/>
      <c r="U305" s="340" t="n"/>
      <c r="V305" s="340" t="n"/>
      <c r="W305" s="340" t="n"/>
      <c r="X305" s="340" t="n"/>
      <c r="Y305" s="340" t="n"/>
      <c r="Z305" s="340" t="n"/>
      <c r="AA305" s="340" t="n"/>
      <c r="AB305" s="340" t="n"/>
      <c r="AC305" s="340" t="n"/>
      <c r="AD305" s="340" t="n"/>
      <c r="AE305" s="340" t="n"/>
      <c r="AF305" s="340" t="n"/>
      <c r="AG305" s="340" t="n"/>
      <c r="AH305" s="340" t="n"/>
      <c r="AI305" s="340" t="n"/>
      <c r="AJ305" s="340" t="n"/>
      <c r="AK305" s="340" t="n"/>
      <c r="AL305" s="340" t="n"/>
    </row>
    <row r="306" ht="12.75" customHeight="1">
      <c r="K306" s="340" t="n"/>
      <c r="L306" s="340" t="n"/>
      <c r="M306" s="340" t="n"/>
      <c r="N306" s="340" t="n"/>
      <c r="O306" s="340" t="n"/>
      <c r="P306" s="340" t="n"/>
      <c r="Q306" s="340" t="n"/>
      <c r="R306" s="340" t="n"/>
      <c r="S306" s="340" t="n"/>
      <c r="T306" s="340" t="n"/>
      <c r="U306" s="340" t="n"/>
      <c r="V306" s="340" t="n"/>
      <c r="W306" s="340" t="n"/>
      <c r="X306" s="340" t="n"/>
      <c r="Y306" s="340" t="n"/>
      <c r="Z306" s="340" t="n"/>
      <c r="AA306" s="340" t="n"/>
      <c r="AB306" s="340" t="n"/>
      <c r="AC306" s="340" t="n"/>
      <c r="AD306" s="340" t="n"/>
      <c r="AE306" s="340" t="n"/>
      <c r="AF306" s="340" t="n"/>
      <c r="AG306" s="340" t="n"/>
      <c r="AH306" s="340" t="n"/>
      <c r="AI306" s="340" t="n"/>
      <c r="AJ306" s="340" t="n"/>
      <c r="AK306" s="340" t="n"/>
      <c r="AL306" s="340" t="n"/>
    </row>
    <row r="307" ht="12.75" customHeight="1">
      <c r="K307" s="340" t="n"/>
      <c r="L307" s="340" t="n"/>
      <c r="M307" s="340" t="n"/>
      <c r="N307" s="340" t="n"/>
      <c r="O307" s="340" t="n"/>
      <c r="P307" s="340" t="n"/>
      <c r="Q307" s="340" t="n"/>
      <c r="R307" s="340" t="n"/>
      <c r="S307" s="340" t="n"/>
      <c r="T307" s="340" t="n"/>
      <c r="U307" s="340" t="n"/>
      <c r="V307" s="340" t="n"/>
      <c r="W307" s="340" t="n"/>
      <c r="X307" s="340" t="n"/>
      <c r="Y307" s="340" t="n"/>
      <c r="Z307" s="340" t="n"/>
      <c r="AA307" s="340" t="n"/>
      <c r="AB307" s="340" t="n"/>
      <c r="AC307" s="340" t="n"/>
      <c r="AD307" s="340" t="n"/>
      <c r="AE307" s="340" t="n"/>
      <c r="AF307" s="340" t="n"/>
      <c r="AG307" s="340" t="n"/>
      <c r="AH307" s="340" t="n"/>
      <c r="AI307" s="340" t="n"/>
      <c r="AJ307" s="340" t="n"/>
      <c r="AK307" s="340" t="n"/>
      <c r="AL307" s="340" t="n"/>
    </row>
    <row r="308" ht="12.75" customHeight="1">
      <c r="K308" s="340" t="n"/>
      <c r="L308" s="340" t="n"/>
      <c r="M308" s="340" t="n"/>
      <c r="N308" s="340" t="n"/>
      <c r="O308" s="340" t="n"/>
      <c r="P308" s="340" t="n"/>
      <c r="Q308" s="340" t="n"/>
      <c r="R308" s="340" t="n"/>
      <c r="S308" s="340" t="n"/>
      <c r="T308" s="340" t="n"/>
      <c r="U308" s="340" t="n"/>
      <c r="V308" s="340" t="n"/>
      <c r="W308" s="340" t="n"/>
      <c r="X308" s="340" t="n"/>
      <c r="Y308" s="340" t="n"/>
      <c r="Z308" s="340" t="n"/>
      <c r="AA308" s="340" t="n"/>
      <c r="AB308" s="340" t="n"/>
      <c r="AC308" s="340" t="n"/>
      <c r="AD308" s="340" t="n"/>
      <c r="AE308" s="340" t="n"/>
      <c r="AF308" s="340" t="n"/>
      <c r="AG308" s="340" t="n"/>
      <c r="AH308" s="340" t="n"/>
      <c r="AI308" s="340" t="n"/>
      <c r="AJ308" s="340" t="n"/>
      <c r="AK308" s="340" t="n"/>
      <c r="AL308" s="340" t="n"/>
    </row>
    <row r="309" ht="12.75" customHeight="1">
      <c r="K309" s="340" t="n"/>
      <c r="L309" s="340" t="n"/>
      <c r="M309" s="340" t="n"/>
      <c r="N309" s="340" t="n"/>
      <c r="O309" s="340" t="n"/>
      <c r="P309" s="340" t="n"/>
      <c r="Q309" s="340" t="n"/>
      <c r="R309" s="340" t="n"/>
      <c r="S309" s="340" t="n"/>
      <c r="T309" s="340" t="n"/>
      <c r="U309" s="340" t="n"/>
      <c r="V309" s="340" t="n"/>
      <c r="W309" s="340" t="n"/>
      <c r="X309" s="340" t="n"/>
      <c r="Y309" s="340" t="n"/>
      <c r="Z309" s="340" t="n"/>
      <c r="AA309" s="340" t="n"/>
      <c r="AB309" s="340" t="n"/>
      <c r="AC309" s="340" t="n"/>
      <c r="AD309" s="340" t="n"/>
      <c r="AE309" s="340" t="n"/>
      <c r="AF309" s="340" t="n"/>
      <c r="AG309" s="340" t="n"/>
      <c r="AH309" s="340" t="n"/>
      <c r="AI309" s="340" t="n"/>
      <c r="AJ309" s="340" t="n"/>
      <c r="AK309" s="340" t="n"/>
      <c r="AL309" s="340" t="n"/>
    </row>
    <row r="310" ht="12.75" customHeight="1">
      <c r="K310" s="340" t="n"/>
      <c r="L310" s="340" t="n"/>
      <c r="M310" s="340" t="n"/>
      <c r="N310" s="340" t="n"/>
      <c r="O310" s="340" t="n"/>
      <c r="P310" s="340" t="n"/>
      <c r="Q310" s="340" t="n"/>
      <c r="R310" s="340" t="n"/>
      <c r="S310" s="340" t="n"/>
      <c r="T310" s="340" t="n"/>
      <c r="U310" s="340" t="n"/>
      <c r="V310" s="340" t="n"/>
      <c r="W310" s="340" t="n"/>
      <c r="X310" s="340" t="n"/>
      <c r="Y310" s="340" t="n"/>
      <c r="Z310" s="340" t="n"/>
      <c r="AA310" s="340" t="n"/>
      <c r="AB310" s="340" t="n"/>
      <c r="AC310" s="340" t="n"/>
      <c r="AD310" s="340" t="n"/>
      <c r="AE310" s="340" t="n"/>
      <c r="AF310" s="340" t="n"/>
      <c r="AG310" s="340" t="n"/>
      <c r="AH310" s="340" t="n"/>
      <c r="AI310" s="340" t="n"/>
      <c r="AJ310" s="340" t="n"/>
      <c r="AK310" s="340" t="n"/>
      <c r="AL310" s="340" t="n"/>
    </row>
    <row r="311" ht="12.75" customHeight="1">
      <c r="K311" s="340" t="n"/>
      <c r="L311" s="340" t="n"/>
      <c r="M311" s="340" t="n"/>
      <c r="N311" s="340" t="n"/>
      <c r="O311" s="340" t="n"/>
      <c r="P311" s="340" t="n"/>
      <c r="Q311" s="340" t="n"/>
      <c r="R311" s="340" t="n"/>
      <c r="S311" s="340" t="n"/>
      <c r="T311" s="340" t="n"/>
      <c r="U311" s="340" t="n"/>
      <c r="V311" s="340" t="n"/>
      <c r="W311" s="340" t="n"/>
      <c r="X311" s="340" t="n"/>
      <c r="Y311" s="340" t="n"/>
      <c r="Z311" s="340" t="n"/>
      <c r="AA311" s="340" t="n"/>
      <c r="AB311" s="340" t="n"/>
      <c r="AC311" s="340" t="n"/>
      <c r="AD311" s="340" t="n"/>
      <c r="AE311" s="340" t="n"/>
      <c r="AF311" s="340" t="n"/>
      <c r="AG311" s="340" t="n"/>
      <c r="AH311" s="340" t="n"/>
      <c r="AI311" s="340" t="n"/>
      <c r="AJ311" s="340" t="n"/>
      <c r="AK311" s="340" t="n"/>
      <c r="AL311" s="340" t="n"/>
    </row>
    <row r="312" ht="12.75" customHeight="1">
      <c r="K312" s="340" t="n"/>
      <c r="L312" s="340" t="n"/>
      <c r="M312" s="340" t="n"/>
      <c r="N312" s="340" t="n"/>
      <c r="O312" s="340" t="n"/>
      <c r="P312" s="340" t="n"/>
      <c r="Q312" s="340" t="n"/>
      <c r="R312" s="340" t="n"/>
      <c r="S312" s="340" t="n"/>
      <c r="T312" s="340" t="n"/>
      <c r="U312" s="340" t="n"/>
      <c r="V312" s="340" t="n"/>
      <c r="W312" s="340" t="n"/>
      <c r="X312" s="340" t="n"/>
      <c r="Y312" s="340" t="n"/>
      <c r="Z312" s="340" t="n"/>
      <c r="AA312" s="340" t="n"/>
      <c r="AB312" s="340" t="n"/>
      <c r="AC312" s="340" t="n"/>
      <c r="AD312" s="340" t="n"/>
      <c r="AE312" s="340" t="n"/>
      <c r="AF312" s="340" t="n"/>
      <c r="AG312" s="340" t="n"/>
      <c r="AH312" s="340" t="n"/>
      <c r="AI312" s="340" t="n"/>
      <c r="AJ312" s="340" t="n"/>
      <c r="AK312" s="340" t="n"/>
      <c r="AL312" s="340" t="n"/>
    </row>
    <row r="313" ht="12.75" customHeight="1">
      <c r="K313" s="340" t="n"/>
      <c r="L313" s="340" t="n"/>
      <c r="M313" s="340" t="n"/>
      <c r="N313" s="340" t="n"/>
      <c r="O313" s="340" t="n"/>
      <c r="P313" s="340" t="n"/>
      <c r="Q313" s="340" t="n"/>
      <c r="R313" s="340" t="n"/>
      <c r="S313" s="340" t="n"/>
      <c r="T313" s="340" t="n"/>
      <c r="U313" s="340" t="n"/>
      <c r="V313" s="340" t="n"/>
      <c r="W313" s="340" t="n"/>
      <c r="X313" s="340" t="n"/>
      <c r="Y313" s="340" t="n"/>
      <c r="Z313" s="340" t="n"/>
      <c r="AA313" s="340" t="n"/>
      <c r="AB313" s="340" t="n"/>
      <c r="AC313" s="340" t="n"/>
      <c r="AD313" s="340" t="n"/>
      <c r="AE313" s="340" t="n"/>
      <c r="AF313" s="340" t="n"/>
      <c r="AG313" s="340" t="n"/>
      <c r="AH313" s="340" t="n"/>
      <c r="AI313" s="340" t="n"/>
      <c r="AJ313" s="340" t="n"/>
      <c r="AK313" s="340" t="n"/>
      <c r="AL313" s="340" t="n"/>
    </row>
    <row r="314" ht="12.75" customHeight="1">
      <c r="K314" s="340" t="n"/>
      <c r="L314" s="340" t="n"/>
      <c r="M314" s="340" t="n"/>
      <c r="N314" s="340" t="n"/>
      <c r="O314" s="340" t="n"/>
      <c r="P314" s="340" t="n"/>
      <c r="Q314" s="340" t="n"/>
      <c r="R314" s="340" t="n"/>
      <c r="S314" s="340" t="n"/>
      <c r="T314" s="340" t="n"/>
      <c r="U314" s="340" t="n"/>
      <c r="V314" s="340" t="n"/>
      <c r="W314" s="340" t="n"/>
      <c r="X314" s="340" t="n"/>
      <c r="Y314" s="340" t="n"/>
      <c r="Z314" s="340" t="n"/>
      <c r="AA314" s="340" t="n"/>
      <c r="AB314" s="340" t="n"/>
      <c r="AC314" s="340" t="n"/>
      <c r="AD314" s="340" t="n"/>
      <c r="AE314" s="340" t="n"/>
      <c r="AF314" s="340" t="n"/>
      <c r="AG314" s="340" t="n"/>
      <c r="AH314" s="340" t="n"/>
      <c r="AI314" s="340" t="n"/>
      <c r="AJ314" s="340" t="n"/>
      <c r="AK314" s="340" t="n"/>
      <c r="AL314" s="340" t="n"/>
    </row>
    <row r="315" ht="12.75" customHeight="1">
      <c r="K315" s="340" t="n"/>
      <c r="L315" s="340" t="n"/>
      <c r="M315" s="340" t="n"/>
      <c r="N315" s="340" t="n"/>
      <c r="O315" s="340" t="n"/>
      <c r="P315" s="340" t="n"/>
      <c r="Q315" s="340" t="n"/>
      <c r="R315" s="340" t="n"/>
      <c r="S315" s="340" t="n"/>
      <c r="T315" s="340" t="n"/>
      <c r="U315" s="340" t="n"/>
      <c r="V315" s="340" t="n"/>
      <c r="W315" s="340" t="n"/>
      <c r="X315" s="340" t="n"/>
      <c r="Y315" s="340" t="n"/>
      <c r="Z315" s="340" t="n"/>
      <c r="AA315" s="340" t="n"/>
      <c r="AB315" s="340" t="n"/>
      <c r="AC315" s="340" t="n"/>
      <c r="AD315" s="340" t="n"/>
      <c r="AE315" s="340" t="n"/>
      <c r="AF315" s="340" t="n"/>
      <c r="AG315" s="340" t="n"/>
      <c r="AH315" s="340" t="n"/>
      <c r="AI315" s="340" t="n"/>
      <c r="AJ315" s="340" t="n"/>
      <c r="AK315" s="340" t="n"/>
      <c r="AL315" s="340" t="n"/>
    </row>
    <row r="316" ht="12.75" customHeight="1">
      <c r="K316" s="340" t="n"/>
      <c r="L316" s="340" t="n"/>
      <c r="M316" s="340" t="n"/>
      <c r="N316" s="340" t="n"/>
      <c r="O316" s="340" t="n"/>
      <c r="P316" s="340" t="n"/>
      <c r="Q316" s="340" t="n"/>
      <c r="R316" s="340" t="n"/>
      <c r="S316" s="340" t="n"/>
      <c r="T316" s="340" t="n"/>
      <c r="U316" s="340" t="n"/>
      <c r="V316" s="340" t="n"/>
      <c r="W316" s="340" t="n"/>
      <c r="X316" s="340" t="n"/>
      <c r="Y316" s="340" t="n"/>
      <c r="Z316" s="340" t="n"/>
      <c r="AA316" s="340" t="n"/>
      <c r="AB316" s="340" t="n"/>
      <c r="AC316" s="340" t="n"/>
      <c r="AD316" s="340" t="n"/>
      <c r="AE316" s="340" t="n"/>
      <c r="AF316" s="340" t="n"/>
      <c r="AG316" s="340" t="n"/>
      <c r="AH316" s="340" t="n"/>
      <c r="AI316" s="340" t="n"/>
      <c r="AJ316" s="340" t="n"/>
      <c r="AK316" s="340" t="n"/>
      <c r="AL316" s="340" t="n"/>
    </row>
    <row r="317" ht="12.75" customHeight="1">
      <c r="K317" s="340" t="n"/>
      <c r="L317" s="340" t="n"/>
      <c r="M317" s="340" t="n"/>
      <c r="N317" s="340" t="n"/>
      <c r="O317" s="340" t="n"/>
      <c r="P317" s="340" t="n"/>
      <c r="Q317" s="340" t="n"/>
      <c r="R317" s="340" t="n"/>
      <c r="S317" s="340" t="n"/>
      <c r="T317" s="340" t="n"/>
      <c r="U317" s="340" t="n"/>
      <c r="V317" s="340" t="n"/>
      <c r="W317" s="340" t="n"/>
      <c r="X317" s="340" t="n"/>
      <c r="Y317" s="340" t="n"/>
      <c r="Z317" s="340" t="n"/>
      <c r="AA317" s="340" t="n"/>
      <c r="AB317" s="340" t="n"/>
      <c r="AC317" s="340" t="n"/>
      <c r="AD317" s="340" t="n"/>
      <c r="AE317" s="340" t="n"/>
      <c r="AF317" s="340" t="n"/>
      <c r="AG317" s="340" t="n"/>
      <c r="AH317" s="340" t="n"/>
      <c r="AI317" s="340" t="n"/>
      <c r="AJ317" s="340" t="n"/>
      <c r="AK317" s="340" t="n"/>
      <c r="AL317" s="340" t="n"/>
    </row>
    <row r="318" ht="12.75" customHeight="1">
      <c r="K318" s="340" t="n"/>
      <c r="L318" s="340" t="n"/>
      <c r="M318" s="340" t="n"/>
      <c r="N318" s="340" t="n"/>
      <c r="O318" s="340" t="n"/>
      <c r="P318" s="340" t="n"/>
      <c r="Q318" s="340" t="n"/>
      <c r="R318" s="340" t="n"/>
      <c r="S318" s="340" t="n"/>
      <c r="T318" s="340" t="n"/>
      <c r="U318" s="340" t="n"/>
      <c r="V318" s="340" t="n"/>
      <c r="W318" s="340" t="n"/>
      <c r="X318" s="340" t="n"/>
      <c r="Y318" s="340" t="n"/>
      <c r="Z318" s="340" t="n"/>
      <c r="AA318" s="340" t="n"/>
      <c r="AB318" s="340" t="n"/>
      <c r="AC318" s="340" t="n"/>
      <c r="AD318" s="340" t="n"/>
      <c r="AE318" s="340" t="n"/>
      <c r="AF318" s="340" t="n"/>
      <c r="AG318" s="340" t="n"/>
      <c r="AH318" s="340" t="n"/>
      <c r="AI318" s="340" t="n"/>
      <c r="AJ318" s="340" t="n"/>
      <c r="AK318" s="340" t="n"/>
      <c r="AL318" s="340" t="n"/>
    </row>
    <row r="319" ht="12.75" customHeight="1">
      <c r="K319" s="340" t="n"/>
      <c r="L319" s="340" t="n"/>
      <c r="M319" s="340" t="n"/>
      <c r="N319" s="340" t="n"/>
      <c r="O319" s="340" t="n"/>
      <c r="P319" s="340" t="n"/>
      <c r="Q319" s="340" t="n"/>
      <c r="R319" s="340" t="n"/>
      <c r="S319" s="340" t="n"/>
      <c r="T319" s="340" t="n"/>
      <c r="U319" s="340" t="n"/>
      <c r="V319" s="340" t="n"/>
      <c r="W319" s="340" t="n"/>
      <c r="X319" s="340" t="n"/>
      <c r="Y319" s="340" t="n"/>
      <c r="Z319" s="340" t="n"/>
      <c r="AA319" s="340" t="n"/>
      <c r="AB319" s="340" t="n"/>
      <c r="AC319" s="340" t="n"/>
      <c r="AD319" s="340" t="n"/>
      <c r="AE319" s="340" t="n"/>
      <c r="AF319" s="340" t="n"/>
      <c r="AG319" s="340" t="n"/>
      <c r="AH319" s="340" t="n"/>
      <c r="AI319" s="340" t="n"/>
      <c r="AJ319" s="340" t="n"/>
      <c r="AK319" s="340" t="n"/>
      <c r="AL319" s="340" t="n"/>
    </row>
    <row r="320" ht="12.75" customHeight="1">
      <c r="K320" s="340" t="n"/>
      <c r="L320" s="340" t="n"/>
      <c r="M320" s="340" t="n"/>
      <c r="N320" s="340" t="n"/>
      <c r="O320" s="340" t="n"/>
      <c r="P320" s="340" t="n"/>
      <c r="Q320" s="340" t="n"/>
      <c r="R320" s="340" t="n"/>
      <c r="S320" s="340" t="n"/>
      <c r="T320" s="340" t="n"/>
      <c r="U320" s="340" t="n"/>
      <c r="V320" s="340" t="n"/>
      <c r="W320" s="340" t="n"/>
      <c r="X320" s="340" t="n"/>
      <c r="Y320" s="340" t="n"/>
      <c r="Z320" s="340" t="n"/>
      <c r="AA320" s="340" t="n"/>
      <c r="AB320" s="340" t="n"/>
      <c r="AC320" s="340" t="n"/>
      <c r="AD320" s="340" t="n"/>
      <c r="AE320" s="340" t="n"/>
      <c r="AF320" s="340" t="n"/>
      <c r="AG320" s="340" t="n"/>
      <c r="AH320" s="340" t="n"/>
      <c r="AI320" s="340" t="n"/>
      <c r="AJ320" s="340" t="n"/>
      <c r="AK320" s="340" t="n"/>
      <c r="AL320" s="340" t="n"/>
    </row>
    <row r="321" ht="12.75" customHeight="1">
      <c r="K321" s="340" t="n"/>
      <c r="L321" s="340" t="n"/>
      <c r="M321" s="340" t="n"/>
      <c r="N321" s="340" t="n"/>
      <c r="O321" s="340" t="n"/>
      <c r="P321" s="340" t="n"/>
      <c r="Q321" s="340" t="n"/>
      <c r="R321" s="340" t="n"/>
      <c r="S321" s="340" t="n"/>
      <c r="T321" s="340" t="n"/>
      <c r="U321" s="340" t="n"/>
      <c r="V321" s="340" t="n"/>
      <c r="W321" s="340" t="n"/>
      <c r="X321" s="340" t="n"/>
      <c r="Y321" s="340" t="n"/>
      <c r="Z321" s="340" t="n"/>
      <c r="AA321" s="340" t="n"/>
      <c r="AB321" s="340" t="n"/>
      <c r="AC321" s="340" t="n"/>
      <c r="AD321" s="340" t="n"/>
      <c r="AE321" s="340" t="n"/>
      <c r="AF321" s="340" t="n"/>
      <c r="AG321" s="340" t="n"/>
      <c r="AH321" s="340" t="n"/>
      <c r="AI321" s="340" t="n"/>
      <c r="AJ321" s="340" t="n"/>
      <c r="AK321" s="340" t="n"/>
      <c r="AL321" s="340" t="n"/>
    </row>
    <row r="322" ht="12.75" customHeight="1">
      <c r="K322" s="340" t="n"/>
      <c r="L322" s="340" t="n"/>
      <c r="M322" s="340" t="n"/>
      <c r="N322" s="340" t="n"/>
      <c r="O322" s="340" t="n"/>
      <c r="P322" s="340" t="n"/>
      <c r="Q322" s="340" t="n"/>
      <c r="R322" s="340" t="n"/>
      <c r="S322" s="340" t="n"/>
      <c r="T322" s="340" t="n"/>
      <c r="U322" s="340" t="n"/>
      <c r="V322" s="340" t="n"/>
      <c r="W322" s="340" t="n"/>
      <c r="X322" s="340" t="n"/>
      <c r="Y322" s="340" t="n"/>
      <c r="Z322" s="340" t="n"/>
      <c r="AA322" s="340" t="n"/>
      <c r="AB322" s="340" t="n"/>
      <c r="AC322" s="340" t="n"/>
      <c r="AD322" s="340" t="n"/>
      <c r="AE322" s="340" t="n"/>
      <c r="AF322" s="340" t="n"/>
      <c r="AG322" s="340" t="n"/>
      <c r="AH322" s="340" t="n"/>
      <c r="AI322" s="340" t="n"/>
      <c r="AJ322" s="340" t="n"/>
      <c r="AK322" s="340" t="n"/>
      <c r="AL322" s="340" t="n"/>
    </row>
    <row r="323" ht="12.75" customHeight="1">
      <c r="K323" s="340" t="n"/>
      <c r="L323" s="340" t="n"/>
      <c r="M323" s="340" t="n"/>
      <c r="N323" s="340" t="n"/>
      <c r="O323" s="340" t="n"/>
      <c r="P323" s="340" t="n"/>
      <c r="Q323" s="340" t="n"/>
      <c r="R323" s="340" t="n"/>
      <c r="S323" s="340" t="n"/>
      <c r="T323" s="340" t="n"/>
      <c r="U323" s="340" t="n"/>
      <c r="V323" s="340" t="n"/>
      <c r="W323" s="340" t="n"/>
      <c r="X323" s="340" t="n"/>
      <c r="Y323" s="340" t="n"/>
      <c r="Z323" s="340" t="n"/>
      <c r="AA323" s="340" t="n"/>
      <c r="AB323" s="340" t="n"/>
      <c r="AC323" s="340" t="n"/>
      <c r="AD323" s="340" t="n"/>
      <c r="AE323" s="340" t="n"/>
      <c r="AF323" s="340" t="n"/>
      <c r="AG323" s="340" t="n"/>
      <c r="AH323" s="340" t="n"/>
      <c r="AI323" s="340" t="n"/>
      <c r="AJ323" s="340" t="n"/>
      <c r="AK323" s="340" t="n"/>
      <c r="AL323" s="340" t="n"/>
    </row>
    <row r="324" ht="12.75" customHeight="1">
      <c r="K324" s="340" t="n"/>
      <c r="L324" s="340" t="n"/>
      <c r="M324" s="340" t="n"/>
      <c r="N324" s="340" t="n"/>
      <c r="O324" s="340" t="n"/>
      <c r="P324" s="340" t="n"/>
      <c r="Q324" s="340" t="n"/>
      <c r="R324" s="340" t="n"/>
      <c r="S324" s="340" t="n"/>
      <c r="T324" s="340" t="n"/>
      <c r="U324" s="340" t="n"/>
      <c r="V324" s="340" t="n"/>
      <c r="W324" s="340" t="n"/>
      <c r="X324" s="340" t="n"/>
      <c r="Y324" s="340" t="n"/>
      <c r="Z324" s="340" t="n"/>
      <c r="AA324" s="340" t="n"/>
      <c r="AB324" s="340" t="n"/>
      <c r="AC324" s="340" t="n"/>
      <c r="AD324" s="340" t="n"/>
      <c r="AE324" s="340" t="n"/>
      <c r="AF324" s="340" t="n"/>
      <c r="AG324" s="340" t="n"/>
      <c r="AH324" s="340" t="n"/>
      <c r="AI324" s="340" t="n"/>
      <c r="AJ324" s="340" t="n"/>
      <c r="AK324" s="340" t="n"/>
      <c r="AL324" s="340" t="n"/>
    </row>
    <row r="325" ht="12.75" customHeight="1">
      <c r="K325" s="340" t="n"/>
      <c r="L325" s="340" t="n"/>
      <c r="M325" s="340" t="n"/>
      <c r="N325" s="340" t="n"/>
      <c r="O325" s="340" t="n"/>
      <c r="P325" s="340" t="n"/>
      <c r="Q325" s="340" t="n"/>
      <c r="R325" s="340" t="n"/>
      <c r="S325" s="340" t="n"/>
      <c r="T325" s="340" t="n"/>
      <c r="U325" s="340" t="n"/>
      <c r="V325" s="340" t="n"/>
      <c r="W325" s="340" t="n"/>
      <c r="X325" s="340" t="n"/>
      <c r="Y325" s="340" t="n"/>
      <c r="Z325" s="340" t="n"/>
      <c r="AA325" s="340" t="n"/>
      <c r="AB325" s="340" t="n"/>
      <c r="AC325" s="340" t="n"/>
      <c r="AD325" s="340" t="n"/>
      <c r="AE325" s="340" t="n"/>
      <c r="AF325" s="340" t="n"/>
      <c r="AG325" s="340" t="n"/>
      <c r="AH325" s="340" t="n"/>
      <c r="AI325" s="340" t="n"/>
      <c r="AJ325" s="340" t="n"/>
      <c r="AK325" s="340" t="n"/>
      <c r="AL325" s="340" t="n"/>
    </row>
    <row r="326" ht="12.75" customHeight="1">
      <c r="K326" s="340" t="n"/>
      <c r="L326" s="340" t="n"/>
      <c r="M326" s="340" t="n"/>
      <c r="N326" s="340" t="n"/>
      <c r="O326" s="340" t="n"/>
      <c r="P326" s="340" t="n"/>
      <c r="Q326" s="340" t="n"/>
      <c r="R326" s="340" t="n"/>
      <c r="S326" s="340" t="n"/>
      <c r="T326" s="340" t="n"/>
      <c r="U326" s="340" t="n"/>
      <c r="V326" s="340" t="n"/>
      <c r="W326" s="340" t="n"/>
      <c r="X326" s="340" t="n"/>
      <c r="Y326" s="340" t="n"/>
      <c r="Z326" s="340" t="n"/>
      <c r="AA326" s="340" t="n"/>
      <c r="AB326" s="340" t="n"/>
      <c r="AC326" s="340" t="n"/>
      <c r="AD326" s="340" t="n"/>
      <c r="AE326" s="340" t="n"/>
      <c r="AF326" s="340" t="n"/>
      <c r="AG326" s="340" t="n"/>
      <c r="AH326" s="340" t="n"/>
      <c r="AI326" s="340" t="n"/>
      <c r="AJ326" s="340" t="n"/>
      <c r="AK326" s="340" t="n"/>
      <c r="AL326" s="340" t="n"/>
    </row>
    <row r="327" ht="12.75" customHeight="1">
      <c r="K327" s="340" t="n"/>
      <c r="L327" s="340" t="n"/>
      <c r="M327" s="340" t="n"/>
      <c r="N327" s="340" t="n"/>
      <c r="O327" s="340" t="n"/>
      <c r="P327" s="340" t="n"/>
      <c r="Q327" s="340" t="n"/>
      <c r="R327" s="340" t="n"/>
      <c r="S327" s="340" t="n"/>
      <c r="T327" s="340" t="n"/>
      <c r="U327" s="340" t="n"/>
      <c r="V327" s="340" t="n"/>
      <c r="W327" s="340" t="n"/>
      <c r="X327" s="340" t="n"/>
      <c r="Y327" s="340" t="n"/>
      <c r="Z327" s="340" t="n"/>
      <c r="AA327" s="340" t="n"/>
      <c r="AB327" s="340" t="n"/>
      <c r="AC327" s="340" t="n"/>
      <c r="AD327" s="340" t="n"/>
      <c r="AE327" s="340" t="n"/>
      <c r="AF327" s="340" t="n"/>
      <c r="AG327" s="340" t="n"/>
      <c r="AH327" s="340" t="n"/>
      <c r="AI327" s="340" t="n"/>
      <c r="AJ327" s="340" t="n"/>
      <c r="AK327" s="340" t="n"/>
      <c r="AL327" s="340" t="n"/>
    </row>
    <row r="328" ht="12.75" customHeight="1">
      <c r="K328" s="340" t="n"/>
      <c r="L328" s="340" t="n"/>
      <c r="M328" s="340" t="n"/>
      <c r="N328" s="340" t="n"/>
      <c r="O328" s="340" t="n"/>
      <c r="P328" s="340" t="n"/>
      <c r="Q328" s="340" t="n"/>
      <c r="R328" s="340" t="n"/>
      <c r="S328" s="340" t="n"/>
      <c r="T328" s="340" t="n"/>
      <c r="U328" s="340" t="n"/>
      <c r="V328" s="340" t="n"/>
      <c r="W328" s="340" t="n"/>
      <c r="X328" s="340" t="n"/>
      <c r="Y328" s="340" t="n"/>
      <c r="Z328" s="340" t="n"/>
      <c r="AA328" s="340" t="n"/>
      <c r="AB328" s="340" t="n"/>
      <c r="AC328" s="340" t="n"/>
      <c r="AD328" s="340" t="n"/>
      <c r="AE328" s="340" t="n"/>
      <c r="AF328" s="340" t="n"/>
      <c r="AG328" s="340" t="n"/>
      <c r="AH328" s="340" t="n"/>
      <c r="AI328" s="340" t="n"/>
      <c r="AJ328" s="340" t="n"/>
      <c r="AK328" s="340" t="n"/>
      <c r="AL328" s="340" t="n"/>
    </row>
    <row r="329" ht="12.75" customHeight="1">
      <c r="K329" s="340" t="n"/>
      <c r="L329" s="340" t="n"/>
      <c r="M329" s="340" t="n"/>
      <c r="N329" s="340" t="n"/>
      <c r="O329" s="340" t="n"/>
      <c r="P329" s="340" t="n"/>
      <c r="Q329" s="340" t="n"/>
      <c r="R329" s="340" t="n"/>
      <c r="S329" s="340" t="n"/>
      <c r="T329" s="340" t="n"/>
      <c r="U329" s="340" t="n"/>
      <c r="V329" s="340" t="n"/>
      <c r="W329" s="340" t="n"/>
      <c r="X329" s="340" t="n"/>
      <c r="Y329" s="340" t="n"/>
      <c r="Z329" s="340" t="n"/>
      <c r="AA329" s="340" t="n"/>
      <c r="AB329" s="340" t="n"/>
      <c r="AC329" s="340" t="n"/>
      <c r="AD329" s="340" t="n"/>
      <c r="AE329" s="340" t="n"/>
      <c r="AF329" s="340" t="n"/>
      <c r="AG329" s="340" t="n"/>
      <c r="AH329" s="340" t="n"/>
      <c r="AI329" s="340" t="n"/>
      <c r="AJ329" s="340" t="n"/>
      <c r="AK329" s="340" t="n"/>
      <c r="AL329" s="340" t="n"/>
    </row>
    <row r="330" ht="12.75" customHeight="1">
      <c r="K330" s="340" t="n"/>
      <c r="L330" s="340" t="n"/>
      <c r="M330" s="340" t="n"/>
      <c r="N330" s="340" t="n"/>
      <c r="O330" s="340" t="n"/>
      <c r="P330" s="340" t="n"/>
      <c r="Q330" s="340" t="n"/>
      <c r="R330" s="340" t="n"/>
      <c r="S330" s="340" t="n"/>
      <c r="T330" s="340" t="n"/>
      <c r="U330" s="340" t="n"/>
      <c r="V330" s="340" t="n"/>
      <c r="W330" s="340" t="n"/>
      <c r="X330" s="340" t="n"/>
      <c r="Y330" s="340" t="n"/>
      <c r="Z330" s="340" t="n"/>
      <c r="AA330" s="340" t="n"/>
      <c r="AB330" s="340" t="n"/>
      <c r="AC330" s="340" t="n"/>
      <c r="AD330" s="340" t="n"/>
      <c r="AE330" s="340" t="n"/>
      <c r="AF330" s="340" t="n"/>
      <c r="AG330" s="340" t="n"/>
      <c r="AH330" s="340" t="n"/>
      <c r="AI330" s="340" t="n"/>
      <c r="AJ330" s="340" t="n"/>
      <c r="AK330" s="340" t="n"/>
      <c r="AL330" s="340" t="n"/>
    </row>
    <row r="331" ht="12.75" customHeight="1">
      <c r="K331" s="340" t="n"/>
      <c r="L331" s="340" t="n"/>
      <c r="M331" s="340" t="n"/>
      <c r="N331" s="340" t="n"/>
      <c r="O331" s="340" t="n"/>
      <c r="P331" s="340" t="n"/>
      <c r="Q331" s="340" t="n"/>
      <c r="R331" s="340" t="n"/>
      <c r="S331" s="340" t="n"/>
      <c r="T331" s="340" t="n"/>
      <c r="U331" s="340" t="n"/>
      <c r="V331" s="340" t="n"/>
      <c r="W331" s="340" t="n"/>
      <c r="X331" s="340" t="n"/>
      <c r="Y331" s="340" t="n"/>
      <c r="Z331" s="340" t="n"/>
      <c r="AA331" s="340" t="n"/>
      <c r="AB331" s="340" t="n"/>
      <c r="AC331" s="340" t="n"/>
      <c r="AD331" s="340" t="n"/>
      <c r="AE331" s="340" t="n"/>
      <c r="AF331" s="340" t="n"/>
      <c r="AG331" s="340" t="n"/>
      <c r="AH331" s="340" t="n"/>
      <c r="AI331" s="340" t="n"/>
      <c r="AJ331" s="340" t="n"/>
      <c r="AK331" s="340" t="n"/>
      <c r="AL331" s="340" t="n"/>
    </row>
    <row r="332" ht="12.75" customHeight="1">
      <c r="K332" s="340" t="n"/>
      <c r="L332" s="340" t="n"/>
      <c r="M332" s="340" t="n"/>
      <c r="N332" s="340" t="n"/>
      <c r="O332" s="340" t="n"/>
      <c r="P332" s="340" t="n"/>
      <c r="Q332" s="340" t="n"/>
      <c r="R332" s="340" t="n"/>
      <c r="S332" s="340" t="n"/>
      <c r="T332" s="340" t="n"/>
      <c r="U332" s="340" t="n"/>
      <c r="V332" s="340" t="n"/>
      <c r="W332" s="340" t="n"/>
      <c r="X332" s="340" t="n"/>
      <c r="Y332" s="340" t="n"/>
      <c r="Z332" s="340" t="n"/>
      <c r="AA332" s="340" t="n"/>
      <c r="AB332" s="340" t="n"/>
      <c r="AC332" s="340" t="n"/>
      <c r="AD332" s="340" t="n"/>
      <c r="AE332" s="340" t="n"/>
      <c r="AF332" s="340" t="n"/>
      <c r="AG332" s="340" t="n"/>
      <c r="AH332" s="340" t="n"/>
      <c r="AI332" s="340" t="n"/>
      <c r="AJ332" s="340" t="n"/>
      <c r="AK332" s="340" t="n"/>
      <c r="AL332" s="340" t="n"/>
    </row>
    <row r="333" ht="12.75" customHeight="1">
      <c r="K333" s="340" t="n"/>
      <c r="L333" s="340" t="n"/>
      <c r="M333" s="340" t="n"/>
      <c r="N333" s="340" t="n"/>
      <c r="O333" s="340" t="n"/>
      <c r="P333" s="340" t="n"/>
      <c r="Q333" s="340" t="n"/>
      <c r="R333" s="340" t="n"/>
      <c r="S333" s="340" t="n"/>
      <c r="T333" s="340" t="n"/>
      <c r="U333" s="340" t="n"/>
      <c r="V333" s="340" t="n"/>
      <c r="W333" s="340" t="n"/>
      <c r="X333" s="340" t="n"/>
      <c r="Y333" s="340" t="n"/>
      <c r="Z333" s="340" t="n"/>
      <c r="AA333" s="340" t="n"/>
      <c r="AB333" s="340" t="n"/>
      <c r="AC333" s="340" t="n"/>
      <c r="AD333" s="340" t="n"/>
      <c r="AE333" s="340" t="n"/>
      <c r="AF333" s="340" t="n"/>
      <c r="AG333" s="340" t="n"/>
      <c r="AH333" s="340" t="n"/>
      <c r="AI333" s="340" t="n"/>
      <c r="AJ333" s="340" t="n"/>
      <c r="AK333" s="340" t="n"/>
      <c r="AL333" s="340" t="n"/>
    </row>
    <row r="334" ht="12.75" customHeight="1">
      <c r="K334" s="340" t="n"/>
      <c r="L334" s="340" t="n"/>
      <c r="M334" s="340" t="n"/>
      <c r="N334" s="340" t="n"/>
      <c r="O334" s="340" t="n"/>
      <c r="P334" s="340" t="n"/>
      <c r="Q334" s="340" t="n"/>
      <c r="R334" s="340" t="n"/>
      <c r="S334" s="340" t="n"/>
      <c r="T334" s="340" t="n"/>
      <c r="U334" s="340" t="n"/>
      <c r="V334" s="340" t="n"/>
      <c r="W334" s="340" t="n"/>
      <c r="X334" s="340" t="n"/>
      <c r="Y334" s="340" t="n"/>
      <c r="Z334" s="340" t="n"/>
      <c r="AA334" s="340" t="n"/>
      <c r="AB334" s="340" t="n"/>
      <c r="AC334" s="340" t="n"/>
      <c r="AD334" s="340" t="n"/>
      <c r="AE334" s="340" t="n"/>
      <c r="AF334" s="340" t="n"/>
      <c r="AG334" s="340" t="n"/>
      <c r="AH334" s="340" t="n"/>
      <c r="AI334" s="340" t="n"/>
      <c r="AJ334" s="340" t="n"/>
      <c r="AK334" s="340" t="n"/>
      <c r="AL334" s="340" t="n"/>
    </row>
    <row r="335" ht="12.75" customHeight="1">
      <c r="K335" s="340" t="n"/>
      <c r="L335" s="340" t="n"/>
      <c r="M335" s="340" t="n"/>
      <c r="N335" s="340" t="n"/>
      <c r="O335" s="340" t="n"/>
      <c r="P335" s="340" t="n"/>
      <c r="Q335" s="340" t="n"/>
      <c r="R335" s="340" t="n"/>
      <c r="S335" s="340" t="n"/>
      <c r="T335" s="340" t="n"/>
      <c r="U335" s="340" t="n"/>
      <c r="V335" s="340" t="n"/>
      <c r="W335" s="340" t="n"/>
      <c r="X335" s="340" t="n"/>
      <c r="Y335" s="340" t="n"/>
      <c r="Z335" s="340" t="n"/>
      <c r="AA335" s="340" t="n"/>
      <c r="AB335" s="340" t="n"/>
      <c r="AC335" s="340" t="n"/>
      <c r="AD335" s="340" t="n"/>
      <c r="AE335" s="340" t="n"/>
      <c r="AF335" s="340" t="n"/>
      <c r="AG335" s="340" t="n"/>
      <c r="AH335" s="340" t="n"/>
      <c r="AI335" s="340" t="n"/>
      <c r="AJ335" s="340" t="n"/>
      <c r="AK335" s="340" t="n"/>
      <c r="AL335" s="340" t="n"/>
    </row>
    <row r="336" ht="12.75" customHeight="1">
      <c r="K336" s="340" t="n"/>
      <c r="L336" s="340" t="n"/>
      <c r="M336" s="340" t="n"/>
      <c r="N336" s="340" t="n"/>
      <c r="O336" s="340" t="n"/>
      <c r="P336" s="340" t="n"/>
      <c r="Q336" s="340" t="n"/>
      <c r="R336" s="340" t="n"/>
      <c r="S336" s="340" t="n"/>
      <c r="T336" s="340" t="n"/>
      <c r="U336" s="340" t="n"/>
      <c r="V336" s="340" t="n"/>
      <c r="W336" s="340" t="n"/>
      <c r="X336" s="340" t="n"/>
      <c r="Y336" s="340" t="n"/>
      <c r="Z336" s="340" t="n"/>
      <c r="AA336" s="340" t="n"/>
      <c r="AB336" s="340" t="n"/>
      <c r="AC336" s="340" t="n"/>
      <c r="AD336" s="340" t="n"/>
      <c r="AE336" s="340" t="n"/>
      <c r="AF336" s="340" t="n"/>
      <c r="AG336" s="340" t="n"/>
      <c r="AH336" s="340" t="n"/>
      <c r="AI336" s="340" t="n"/>
      <c r="AJ336" s="340" t="n"/>
      <c r="AK336" s="340" t="n"/>
      <c r="AL336" s="340" t="n"/>
    </row>
    <row r="337" ht="12.75" customHeight="1">
      <c r="K337" s="340" t="n"/>
      <c r="L337" s="340" t="n"/>
      <c r="M337" s="340" t="n"/>
      <c r="N337" s="340" t="n"/>
      <c r="O337" s="340" t="n"/>
      <c r="P337" s="340" t="n"/>
      <c r="Q337" s="340" t="n"/>
      <c r="R337" s="340" t="n"/>
      <c r="S337" s="340" t="n"/>
      <c r="T337" s="340" t="n"/>
      <c r="U337" s="340" t="n"/>
      <c r="V337" s="340" t="n"/>
      <c r="W337" s="340" t="n"/>
      <c r="X337" s="340" t="n"/>
      <c r="Y337" s="340" t="n"/>
      <c r="Z337" s="340" t="n"/>
      <c r="AA337" s="340" t="n"/>
      <c r="AB337" s="340" t="n"/>
      <c r="AC337" s="340" t="n"/>
      <c r="AD337" s="340" t="n"/>
      <c r="AE337" s="340" t="n"/>
      <c r="AF337" s="340" t="n"/>
      <c r="AG337" s="340" t="n"/>
      <c r="AH337" s="340" t="n"/>
      <c r="AI337" s="340" t="n"/>
      <c r="AJ337" s="340" t="n"/>
      <c r="AK337" s="340" t="n"/>
      <c r="AL337" s="340" t="n"/>
    </row>
    <row r="338" ht="12.75" customHeight="1">
      <c r="K338" s="340" t="n"/>
      <c r="L338" s="340" t="n"/>
      <c r="M338" s="340" t="n"/>
      <c r="N338" s="340" t="n"/>
      <c r="O338" s="340" t="n"/>
      <c r="P338" s="340" t="n"/>
      <c r="Q338" s="340" t="n"/>
      <c r="R338" s="340" t="n"/>
      <c r="S338" s="340" t="n"/>
      <c r="T338" s="340" t="n"/>
      <c r="U338" s="340" t="n"/>
      <c r="V338" s="340" t="n"/>
      <c r="W338" s="340" t="n"/>
      <c r="X338" s="340" t="n"/>
      <c r="Y338" s="340" t="n"/>
      <c r="Z338" s="340" t="n"/>
      <c r="AA338" s="340" t="n"/>
      <c r="AB338" s="340" t="n"/>
      <c r="AC338" s="340" t="n"/>
      <c r="AD338" s="340" t="n"/>
      <c r="AE338" s="340" t="n"/>
      <c r="AF338" s="340" t="n"/>
      <c r="AG338" s="340" t="n"/>
      <c r="AH338" s="340" t="n"/>
      <c r="AI338" s="340" t="n"/>
      <c r="AJ338" s="340" t="n"/>
      <c r="AK338" s="340" t="n"/>
      <c r="AL338" s="340" t="n"/>
    </row>
    <row r="339" ht="12.75" customHeight="1">
      <c r="K339" s="340" t="n"/>
      <c r="L339" s="340" t="n"/>
      <c r="M339" s="340" t="n"/>
      <c r="N339" s="340" t="n"/>
      <c r="O339" s="340" t="n"/>
      <c r="P339" s="340" t="n"/>
      <c r="Q339" s="340" t="n"/>
      <c r="R339" s="340" t="n"/>
      <c r="S339" s="340" t="n"/>
      <c r="T339" s="340" t="n"/>
      <c r="U339" s="340" t="n"/>
      <c r="V339" s="340" t="n"/>
      <c r="W339" s="340" t="n"/>
      <c r="X339" s="340" t="n"/>
      <c r="Y339" s="340" t="n"/>
      <c r="Z339" s="340" t="n"/>
      <c r="AA339" s="340" t="n"/>
      <c r="AB339" s="340" t="n"/>
      <c r="AC339" s="340" t="n"/>
      <c r="AD339" s="340" t="n"/>
      <c r="AE339" s="340" t="n"/>
      <c r="AF339" s="340" t="n"/>
      <c r="AG339" s="340" t="n"/>
      <c r="AH339" s="340" t="n"/>
      <c r="AI339" s="340" t="n"/>
      <c r="AJ339" s="340" t="n"/>
      <c r="AK339" s="340" t="n"/>
      <c r="AL339" s="340" t="n"/>
    </row>
    <row r="340" ht="12.75" customHeight="1">
      <c r="K340" s="340" t="n"/>
      <c r="L340" s="340" t="n"/>
      <c r="M340" s="340" t="n"/>
      <c r="N340" s="340" t="n"/>
      <c r="O340" s="340" t="n"/>
      <c r="P340" s="340" t="n"/>
      <c r="Q340" s="340" t="n"/>
      <c r="R340" s="340" t="n"/>
      <c r="S340" s="340" t="n"/>
      <c r="T340" s="340" t="n"/>
      <c r="U340" s="340" t="n"/>
      <c r="V340" s="340" t="n"/>
      <c r="W340" s="340" t="n"/>
      <c r="X340" s="340" t="n"/>
      <c r="Y340" s="340" t="n"/>
      <c r="Z340" s="340" t="n"/>
      <c r="AA340" s="340" t="n"/>
      <c r="AB340" s="340" t="n"/>
      <c r="AC340" s="340" t="n"/>
      <c r="AD340" s="340" t="n"/>
      <c r="AE340" s="340" t="n"/>
      <c r="AF340" s="340" t="n"/>
      <c r="AG340" s="340" t="n"/>
      <c r="AH340" s="340" t="n"/>
      <c r="AI340" s="340" t="n"/>
      <c r="AJ340" s="340" t="n"/>
      <c r="AK340" s="340" t="n"/>
      <c r="AL340" s="340" t="n"/>
    </row>
    <row r="341" ht="12.75" customHeight="1">
      <c r="K341" s="340" t="n"/>
      <c r="L341" s="340" t="n"/>
      <c r="M341" s="340" t="n"/>
      <c r="N341" s="340" t="n"/>
      <c r="O341" s="340" t="n"/>
      <c r="P341" s="340" t="n"/>
      <c r="Q341" s="340" t="n"/>
      <c r="R341" s="340" t="n"/>
      <c r="S341" s="340" t="n"/>
      <c r="T341" s="340" t="n"/>
      <c r="U341" s="340" t="n"/>
      <c r="V341" s="340" t="n"/>
      <c r="W341" s="340" t="n"/>
      <c r="X341" s="340" t="n"/>
      <c r="Y341" s="340" t="n"/>
      <c r="Z341" s="340" t="n"/>
      <c r="AA341" s="340" t="n"/>
      <c r="AB341" s="340" t="n"/>
      <c r="AC341" s="340" t="n"/>
      <c r="AD341" s="340" t="n"/>
      <c r="AE341" s="340" t="n"/>
      <c r="AF341" s="340" t="n"/>
      <c r="AG341" s="340" t="n"/>
      <c r="AH341" s="340" t="n"/>
      <c r="AI341" s="340" t="n"/>
      <c r="AJ341" s="340" t="n"/>
      <c r="AK341" s="340" t="n"/>
      <c r="AL341" s="340" t="n"/>
    </row>
    <row r="342" ht="12.75" customHeight="1">
      <c r="K342" s="340" t="n"/>
      <c r="L342" s="340" t="n"/>
      <c r="M342" s="340" t="n"/>
      <c r="N342" s="340" t="n"/>
      <c r="O342" s="340" t="n"/>
      <c r="P342" s="340" t="n"/>
      <c r="Q342" s="340" t="n"/>
      <c r="R342" s="340" t="n"/>
      <c r="S342" s="340" t="n"/>
      <c r="T342" s="340" t="n"/>
      <c r="U342" s="340" t="n"/>
      <c r="V342" s="340" t="n"/>
      <c r="W342" s="340" t="n"/>
      <c r="X342" s="340" t="n"/>
      <c r="Y342" s="340" t="n"/>
      <c r="Z342" s="340" t="n"/>
      <c r="AA342" s="340" t="n"/>
      <c r="AB342" s="340" t="n"/>
      <c r="AC342" s="340" t="n"/>
      <c r="AD342" s="340" t="n"/>
      <c r="AE342" s="340" t="n"/>
      <c r="AF342" s="340" t="n"/>
      <c r="AG342" s="340" t="n"/>
      <c r="AH342" s="340" t="n"/>
      <c r="AI342" s="340" t="n"/>
      <c r="AJ342" s="340" t="n"/>
      <c r="AK342" s="340" t="n"/>
      <c r="AL342" s="340" t="n"/>
    </row>
    <row r="343" ht="12.75" customHeight="1">
      <c r="K343" s="340" t="n"/>
      <c r="L343" s="340" t="n"/>
      <c r="M343" s="340" t="n"/>
      <c r="N343" s="340" t="n"/>
      <c r="O343" s="340" t="n"/>
      <c r="P343" s="340" t="n"/>
      <c r="Q343" s="340" t="n"/>
      <c r="R343" s="340" t="n"/>
      <c r="S343" s="340" t="n"/>
      <c r="T343" s="340" t="n"/>
      <c r="U343" s="340" t="n"/>
      <c r="V343" s="340" t="n"/>
      <c r="W343" s="340" t="n"/>
      <c r="X343" s="340" t="n"/>
      <c r="Y343" s="340" t="n"/>
      <c r="Z343" s="340" t="n"/>
      <c r="AA343" s="340" t="n"/>
      <c r="AB343" s="340" t="n"/>
      <c r="AC343" s="340" t="n"/>
      <c r="AD343" s="340" t="n"/>
      <c r="AE343" s="340" t="n"/>
      <c r="AF343" s="340" t="n"/>
      <c r="AG343" s="340" t="n"/>
      <c r="AH343" s="340" t="n"/>
      <c r="AI343" s="340" t="n"/>
      <c r="AJ343" s="340" t="n"/>
      <c r="AK343" s="340" t="n"/>
      <c r="AL343" s="340" t="n"/>
    </row>
    <row r="344" ht="12.75" customHeight="1">
      <c r="K344" s="340" t="n"/>
      <c r="L344" s="340" t="n"/>
      <c r="M344" s="340" t="n"/>
      <c r="N344" s="340" t="n"/>
      <c r="O344" s="340" t="n"/>
      <c r="P344" s="340" t="n"/>
      <c r="Q344" s="340" t="n"/>
      <c r="R344" s="340" t="n"/>
      <c r="S344" s="340" t="n"/>
      <c r="T344" s="340" t="n"/>
      <c r="U344" s="340" t="n"/>
      <c r="V344" s="340" t="n"/>
      <c r="W344" s="340" t="n"/>
      <c r="X344" s="340" t="n"/>
      <c r="Y344" s="340" t="n"/>
      <c r="Z344" s="340" t="n"/>
      <c r="AA344" s="340" t="n"/>
      <c r="AB344" s="340" t="n"/>
      <c r="AC344" s="340" t="n"/>
      <c r="AD344" s="340" t="n"/>
      <c r="AE344" s="340" t="n"/>
      <c r="AF344" s="340" t="n"/>
      <c r="AG344" s="340" t="n"/>
      <c r="AH344" s="340" t="n"/>
      <c r="AI344" s="340" t="n"/>
      <c r="AJ344" s="340" t="n"/>
      <c r="AK344" s="340" t="n"/>
      <c r="AL344" s="340" t="n"/>
    </row>
    <row r="345" ht="12.75" customHeight="1">
      <c r="K345" s="340" t="n"/>
      <c r="L345" s="340" t="n"/>
      <c r="M345" s="340" t="n"/>
      <c r="N345" s="340" t="n"/>
      <c r="O345" s="340" t="n"/>
      <c r="P345" s="340" t="n"/>
      <c r="Q345" s="340" t="n"/>
      <c r="R345" s="340" t="n"/>
      <c r="S345" s="340" t="n"/>
      <c r="T345" s="340" t="n"/>
      <c r="U345" s="340" t="n"/>
      <c r="V345" s="340" t="n"/>
      <c r="W345" s="340" t="n"/>
      <c r="X345" s="340" t="n"/>
      <c r="Y345" s="340" t="n"/>
      <c r="Z345" s="340" t="n"/>
      <c r="AA345" s="340" t="n"/>
      <c r="AB345" s="340" t="n"/>
      <c r="AC345" s="340" t="n"/>
      <c r="AD345" s="340" t="n"/>
      <c r="AE345" s="340" t="n"/>
      <c r="AF345" s="340" t="n"/>
      <c r="AG345" s="340" t="n"/>
      <c r="AH345" s="340" t="n"/>
      <c r="AI345" s="340" t="n"/>
      <c r="AJ345" s="340" t="n"/>
      <c r="AK345" s="340" t="n"/>
      <c r="AL345" s="340" t="n"/>
    </row>
    <row r="346" ht="12.75" customHeight="1">
      <c r="K346" s="340" t="n"/>
      <c r="L346" s="340" t="n"/>
      <c r="M346" s="340" t="n"/>
      <c r="N346" s="340" t="n"/>
      <c r="O346" s="340" t="n"/>
      <c r="P346" s="340" t="n"/>
      <c r="Q346" s="340" t="n"/>
      <c r="R346" s="340" t="n"/>
      <c r="S346" s="340" t="n"/>
      <c r="T346" s="340" t="n"/>
      <c r="U346" s="340" t="n"/>
      <c r="V346" s="340" t="n"/>
      <c r="W346" s="340" t="n"/>
      <c r="X346" s="340" t="n"/>
      <c r="Y346" s="340" t="n"/>
      <c r="Z346" s="340" t="n"/>
      <c r="AA346" s="340" t="n"/>
      <c r="AB346" s="340" t="n"/>
      <c r="AC346" s="340" t="n"/>
      <c r="AD346" s="340" t="n"/>
      <c r="AE346" s="340" t="n"/>
      <c r="AF346" s="340" t="n"/>
      <c r="AG346" s="340" t="n"/>
      <c r="AH346" s="340" t="n"/>
      <c r="AI346" s="340" t="n"/>
      <c r="AJ346" s="340" t="n"/>
      <c r="AK346" s="340" t="n"/>
      <c r="AL346" s="340" t="n"/>
    </row>
    <row r="347" ht="12.75" customHeight="1">
      <c r="K347" s="340" t="n"/>
      <c r="L347" s="340" t="n"/>
      <c r="M347" s="340" t="n"/>
      <c r="N347" s="340" t="n"/>
      <c r="O347" s="340" t="n"/>
      <c r="P347" s="340" t="n"/>
      <c r="Q347" s="340" t="n"/>
      <c r="R347" s="340" t="n"/>
      <c r="S347" s="340" t="n"/>
      <c r="T347" s="340" t="n"/>
      <c r="U347" s="340" t="n"/>
      <c r="V347" s="340" t="n"/>
      <c r="W347" s="340" t="n"/>
      <c r="X347" s="340" t="n"/>
      <c r="Y347" s="340" t="n"/>
      <c r="Z347" s="340" t="n"/>
      <c r="AA347" s="340" t="n"/>
      <c r="AB347" s="340" t="n"/>
      <c r="AC347" s="340" t="n"/>
      <c r="AD347" s="340" t="n"/>
      <c r="AE347" s="340" t="n"/>
      <c r="AF347" s="340" t="n"/>
      <c r="AG347" s="340" t="n"/>
      <c r="AH347" s="340" t="n"/>
      <c r="AI347" s="340" t="n"/>
      <c r="AJ347" s="340" t="n"/>
      <c r="AK347" s="340" t="n"/>
      <c r="AL347" s="340" t="n"/>
    </row>
    <row r="348" ht="12.75" customHeight="1">
      <c r="K348" s="340" t="n"/>
      <c r="L348" s="340" t="n"/>
      <c r="M348" s="340" t="n"/>
      <c r="N348" s="340" t="n"/>
      <c r="O348" s="340" t="n"/>
      <c r="P348" s="340" t="n"/>
      <c r="Q348" s="340" t="n"/>
      <c r="R348" s="340" t="n"/>
      <c r="S348" s="340" t="n"/>
      <c r="T348" s="340" t="n"/>
      <c r="U348" s="340" t="n"/>
      <c r="V348" s="340" t="n"/>
      <c r="W348" s="340" t="n"/>
      <c r="X348" s="340" t="n"/>
      <c r="Y348" s="340" t="n"/>
      <c r="Z348" s="340" t="n"/>
      <c r="AA348" s="340" t="n"/>
      <c r="AB348" s="340" t="n"/>
      <c r="AC348" s="340" t="n"/>
      <c r="AD348" s="340" t="n"/>
      <c r="AE348" s="340" t="n"/>
      <c r="AF348" s="340" t="n"/>
      <c r="AG348" s="340" t="n"/>
      <c r="AH348" s="340" t="n"/>
      <c r="AI348" s="340" t="n"/>
      <c r="AJ348" s="340" t="n"/>
      <c r="AK348" s="340" t="n"/>
      <c r="AL348" s="340" t="n"/>
    </row>
    <row r="349" ht="12.75" customHeight="1">
      <c r="K349" s="340" t="n"/>
      <c r="L349" s="340" t="n"/>
      <c r="M349" s="340" t="n"/>
      <c r="N349" s="340" t="n"/>
      <c r="O349" s="340" t="n"/>
      <c r="P349" s="340" t="n"/>
      <c r="Q349" s="340" t="n"/>
      <c r="R349" s="340" t="n"/>
      <c r="S349" s="340" t="n"/>
      <c r="T349" s="340" t="n"/>
      <c r="U349" s="340" t="n"/>
      <c r="V349" s="340" t="n"/>
      <c r="W349" s="340" t="n"/>
      <c r="X349" s="340" t="n"/>
      <c r="Y349" s="340" t="n"/>
      <c r="Z349" s="340" t="n"/>
      <c r="AA349" s="340" t="n"/>
      <c r="AB349" s="340" t="n"/>
      <c r="AC349" s="340" t="n"/>
      <c r="AD349" s="340" t="n"/>
      <c r="AE349" s="340" t="n"/>
      <c r="AF349" s="340" t="n"/>
      <c r="AG349" s="340" t="n"/>
      <c r="AH349" s="340" t="n"/>
      <c r="AI349" s="340" t="n"/>
      <c r="AJ349" s="340" t="n"/>
      <c r="AK349" s="340" t="n"/>
      <c r="AL349" s="340" t="n"/>
    </row>
    <row r="350" ht="12.75" customHeight="1">
      <c r="K350" s="340" t="n"/>
      <c r="L350" s="340" t="n"/>
      <c r="M350" s="340" t="n"/>
      <c r="N350" s="340" t="n"/>
      <c r="O350" s="340" t="n"/>
      <c r="P350" s="340" t="n"/>
      <c r="Q350" s="340" t="n"/>
      <c r="R350" s="340" t="n"/>
      <c r="S350" s="340" t="n"/>
      <c r="T350" s="340" t="n"/>
      <c r="U350" s="340" t="n"/>
      <c r="V350" s="340" t="n"/>
      <c r="W350" s="340" t="n"/>
      <c r="X350" s="340" t="n"/>
      <c r="Y350" s="340" t="n"/>
      <c r="Z350" s="340" t="n"/>
      <c r="AA350" s="340" t="n"/>
      <c r="AB350" s="340" t="n"/>
      <c r="AC350" s="340" t="n"/>
      <c r="AD350" s="340" t="n"/>
      <c r="AE350" s="340" t="n"/>
      <c r="AF350" s="340" t="n"/>
      <c r="AG350" s="340" t="n"/>
      <c r="AH350" s="340" t="n"/>
      <c r="AI350" s="340" t="n"/>
      <c r="AJ350" s="340" t="n"/>
      <c r="AK350" s="340" t="n"/>
      <c r="AL350" s="340" t="n"/>
    </row>
    <row r="351" ht="12.75" customHeight="1">
      <c r="K351" s="340" t="n"/>
      <c r="L351" s="340" t="n"/>
      <c r="M351" s="340" t="n"/>
      <c r="N351" s="340" t="n"/>
      <c r="O351" s="340" t="n"/>
      <c r="P351" s="340" t="n"/>
      <c r="Q351" s="340" t="n"/>
      <c r="R351" s="340" t="n"/>
      <c r="S351" s="340" t="n"/>
      <c r="T351" s="340" t="n"/>
      <c r="U351" s="340" t="n"/>
      <c r="V351" s="340" t="n"/>
      <c r="W351" s="340" t="n"/>
      <c r="X351" s="340" t="n"/>
      <c r="Y351" s="340" t="n"/>
      <c r="Z351" s="340" t="n"/>
      <c r="AA351" s="340" t="n"/>
      <c r="AB351" s="340" t="n"/>
      <c r="AC351" s="340" t="n"/>
      <c r="AD351" s="340" t="n"/>
      <c r="AE351" s="340" t="n"/>
      <c r="AF351" s="340" t="n"/>
      <c r="AG351" s="340" t="n"/>
      <c r="AH351" s="340" t="n"/>
      <c r="AI351" s="340" t="n"/>
      <c r="AJ351" s="340" t="n"/>
      <c r="AK351" s="340" t="n"/>
      <c r="AL351" s="340" t="n"/>
    </row>
    <row r="352" ht="12.75" customHeight="1">
      <c r="K352" s="340" t="n"/>
      <c r="L352" s="340" t="n"/>
      <c r="M352" s="340" t="n"/>
      <c r="N352" s="340" t="n"/>
      <c r="O352" s="340" t="n"/>
      <c r="P352" s="340" t="n"/>
      <c r="Q352" s="340" t="n"/>
      <c r="R352" s="340" t="n"/>
      <c r="S352" s="340" t="n"/>
      <c r="T352" s="340" t="n"/>
      <c r="U352" s="340" t="n"/>
      <c r="V352" s="340" t="n"/>
      <c r="W352" s="340" t="n"/>
      <c r="X352" s="340" t="n"/>
      <c r="Y352" s="340" t="n"/>
      <c r="Z352" s="340" t="n"/>
      <c r="AA352" s="340" t="n"/>
      <c r="AB352" s="340" t="n"/>
      <c r="AC352" s="340" t="n"/>
      <c r="AD352" s="340" t="n"/>
      <c r="AE352" s="340" t="n"/>
      <c r="AF352" s="340" t="n"/>
      <c r="AG352" s="340" t="n"/>
      <c r="AH352" s="340" t="n"/>
      <c r="AI352" s="340" t="n"/>
      <c r="AJ352" s="340" t="n"/>
      <c r="AK352" s="340" t="n"/>
      <c r="AL352" s="340" t="n"/>
    </row>
    <row r="353" ht="12.75" customHeight="1">
      <c r="K353" s="340" t="n"/>
      <c r="L353" s="340" t="n"/>
      <c r="M353" s="340" t="n"/>
      <c r="N353" s="340" t="n"/>
      <c r="O353" s="340" t="n"/>
      <c r="P353" s="340" t="n"/>
      <c r="Q353" s="340" t="n"/>
      <c r="R353" s="340" t="n"/>
      <c r="S353" s="340" t="n"/>
      <c r="T353" s="340" t="n"/>
      <c r="U353" s="340" t="n"/>
      <c r="V353" s="340" t="n"/>
      <c r="W353" s="340" t="n"/>
      <c r="X353" s="340" t="n"/>
      <c r="Y353" s="340" t="n"/>
      <c r="Z353" s="340" t="n"/>
      <c r="AA353" s="340" t="n"/>
      <c r="AB353" s="340" t="n"/>
      <c r="AC353" s="340" t="n"/>
      <c r="AD353" s="340" t="n"/>
      <c r="AE353" s="340" t="n"/>
      <c r="AF353" s="340" t="n"/>
      <c r="AG353" s="340" t="n"/>
      <c r="AH353" s="340" t="n"/>
      <c r="AI353" s="340" t="n"/>
      <c r="AJ353" s="340" t="n"/>
      <c r="AK353" s="340" t="n"/>
      <c r="AL353" s="340" t="n"/>
    </row>
    <row r="354" ht="12.75" customHeight="1">
      <c r="K354" s="340" t="n"/>
      <c r="L354" s="340" t="n"/>
      <c r="M354" s="340" t="n"/>
      <c r="N354" s="340" t="n"/>
      <c r="O354" s="340" t="n"/>
      <c r="P354" s="340" t="n"/>
      <c r="Q354" s="340" t="n"/>
      <c r="R354" s="340" t="n"/>
      <c r="S354" s="340" t="n"/>
      <c r="T354" s="340" t="n"/>
      <c r="U354" s="340" t="n"/>
      <c r="V354" s="340" t="n"/>
      <c r="W354" s="340" t="n"/>
      <c r="X354" s="340" t="n"/>
      <c r="Y354" s="340" t="n"/>
      <c r="Z354" s="340" t="n"/>
      <c r="AA354" s="340" t="n"/>
      <c r="AB354" s="340" t="n"/>
      <c r="AC354" s="340" t="n"/>
      <c r="AD354" s="340" t="n"/>
      <c r="AE354" s="340" t="n"/>
      <c r="AF354" s="340" t="n"/>
      <c r="AG354" s="340" t="n"/>
      <c r="AH354" s="340" t="n"/>
      <c r="AI354" s="340" t="n"/>
      <c r="AJ354" s="340" t="n"/>
      <c r="AK354" s="340" t="n"/>
      <c r="AL354" s="340" t="n"/>
    </row>
    <row r="355" ht="12.75" customHeight="1">
      <c r="K355" s="340" t="n"/>
      <c r="L355" s="340" t="n"/>
      <c r="M355" s="340" t="n"/>
      <c r="N355" s="340" t="n"/>
      <c r="O355" s="340" t="n"/>
      <c r="P355" s="340" t="n"/>
      <c r="Q355" s="340" t="n"/>
      <c r="R355" s="340" t="n"/>
      <c r="S355" s="340" t="n"/>
      <c r="T355" s="340" t="n"/>
      <c r="U355" s="340" t="n"/>
      <c r="V355" s="340" t="n"/>
      <c r="W355" s="340" t="n"/>
      <c r="X355" s="340" t="n"/>
      <c r="Y355" s="340" t="n"/>
      <c r="Z355" s="340" t="n"/>
      <c r="AA355" s="340" t="n"/>
      <c r="AB355" s="340" t="n"/>
      <c r="AC355" s="340" t="n"/>
      <c r="AD355" s="340" t="n"/>
      <c r="AE355" s="340" t="n"/>
      <c r="AF355" s="340" t="n"/>
      <c r="AG355" s="340" t="n"/>
      <c r="AH355" s="340" t="n"/>
      <c r="AI355" s="340" t="n"/>
      <c r="AJ355" s="340" t="n"/>
      <c r="AK355" s="340" t="n"/>
      <c r="AL355" s="340" t="n"/>
    </row>
    <row r="356" ht="12.75" customHeight="1">
      <c r="K356" s="340" t="n"/>
      <c r="L356" s="340" t="n"/>
      <c r="M356" s="340" t="n"/>
      <c r="N356" s="340" t="n"/>
      <c r="O356" s="340" t="n"/>
      <c r="P356" s="340" t="n"/>
      <c r="Q356" s="340" t="n"/>
      <c r="R356" s="340" t="n"/>
      <c r="S356" s="340" t="n"/>
      <c r="T356" s="340" t="n"/>
      <c r="U356" s="340" t="n"/>
      <c r="V356" s="340" t="n"/>
      <c r="W356" s="340" t="n"/>
      <c r="X356" s="340" t="n"/>
      <c r="Y356" s="340" t="n"/>
      <c r="Z356" s="340" t="n"/>
      <c r="AA356" s="340" t="n"/>
      <c r="AB356" s="340" t="n"/>
      <c r="AC356" s="340" t="n"/>
      <c r="AD356" s="340" t="n"/>
      <c r="AE356" s="340" t="n"/>
      <c r="AF356" s="340" t="n"/>
      <c r="AG356" s="340" t="n"/>
      <c r="AH356" s="340" t="n"/>
      <c r="AI356" s="340" t="n"/>
      <c r="AJ356" s="340" t="n"/>
      <c r="AK356" s="340" t="n"/>
      <c r="AL356" s="340" t="n"/>
    </row>
    <row r="357" ht="12.75" customHeight="1">
      <c r="K357" s="340" t="n"/>
      <c r="L357" s="340" t="n"/>
      <c r="M357" s="340" t="n"/>
      <c r="N357" s="340" t="n"/>
      <c r="O357" s="340" t="n"/>
      <c r="P357" s="340" t="n"/>
      <c r="Q357" s="340" t="n"/>
      <c r="R357" s="340" t="n"/>
      <c r="S357" s="340" t="n"/>
      <c r="T357" s="340" t="n"/>
      <c r="U357" s="340" t="n"/>
      <c r="V357" s="340" t="n"/>
      <c r="W357" s="340" t="n"/>
      <c r="X357" s="340" t="n"/>
      <c r="Y357" s="340" t="n"/>
      <c r="Z357" s="340" t="n"/>
      <c r="AA357" s="340" t="n"/>
      <c r="AB357" s="340" t="n"/>
      <c r="AC357" s="340" t="n"/>
      <c r="AD357" s="340" t="n"/>
      <c r="AE357" s="340" t="n"/>
      <c r="AF357" s="340" t="n"/>
      <c r="AG357" s="340" t="n"/>
      <c r="AH357" s="340" t="n"/>
      <c r="AI357" s="340" t="n"/>
      <c r="AJ357" s="340" t="n"/>
      <c r="AK357" s="340" t="n"/>
      <c r="AL357" s="340" t="n"/>
    </row>
    <row r="358" ht="12.75" customHeight="1">
      <c r="K358" s="340" t="n"/>
      <c r="L358" s="340" t="n"/>
      <c r="M358" s="340" t="n"/>
      <c r="N358" s="340" t="n"/>
      <c r="O358" s="340" t="n"/>
      <c r="P358" s="340" t="n"/>
      <c r="Q358" s="340" t="n"/>
      <c r="R358" s="340" t="n"/>
      <c r="S358" s="340" t="n"/>
      <c r="T358" s="340" t="n"/>
      <c r="U358" s="340" t="n"/>
      <c r="V358" s="340" t="n"/>
      <c r="W358" s="340" t="n"/>
      <c r="X358" s="340" t="n"/>
      <c r="Y358" s="340" t="n"/>
      <c r="Z358" s="340" t="n"/>
      <c r="AA358" s="340" t="n"/>
      <c r="AB358" s="340" t="n"/>
      <c r="AC358" s="340" t="n"/>
      <c r="AD358" s="340" t="n"/>
      <c r="AE358" s="340" t="n"/>
      <c r="AF358" s="340" t="n"/>
      <c r="AG358" s="340" t="n"/>
      <c r="AH358" s="340" t="n"/>
      <c r="AI358" s="340" t="n"/>
      <c r="AJ358" s="340" t="n"/>
      <c r="AK358" s="340" t="n"/>
      <c r="AL358" s="340" t="n"/>
    </row>
    <row r="359" ht="12.75" customHeight="1">
      <c r="K359" s="340" t="n"/>
      <c r="L359" s="340" t="n"/>
      <c r="M359" s="340" t="n"/>
      <c r="N359" s="340" t="n"/>
      <c r="O359" s="340" t="n"/>
      <c r="P359" s="340" t="n"/>
      <c r="Q359" s="340" t="n"/>
      <c r="R359" s="340" t="n"/>
      <c r="S359" s="340" t="n"/>
      <c r="T359" s="340" t="n"/>
      <c r="U359" s="340" t="n"/>
      <c r="V359" s="340" t="n"/>
      <c r="W359" s="340" t="n"/>
      <c r="X359" s="340" t="n"/>
      <c r="Y359" s="340" t="n"/>
      <c r="Z359" s="340" t="n"/>
      <c r="AA359" s="340" t="n"/>
      <c r="AB359" s="340" t="n"/>
      <c r="AC359" s="340" t="n"/>
      <c r="AD359" s="340" t="n"/>
      <c r="AE359" s="340" t="n"/>
      <c r="AF359" s="340" t="n"/>
      <c r="AG359" s="340" t="n"/>
      <c r="AH359" s="340" t="n"/>
      <c r="AI359" s="340" t="n"/>
      <c r="AJ359" s="340" t="n"/>
      <c r="AK359" s="340" t="n"/>
      <c r="AL359" s="340" t="n"/>
    </row>
    <row r="360" ht="12.75" customHeight="1">
      <c r="K360" s="340" t="n"/>
      <c r="L360" s="340" t="n"/>
      <c r="M360" s="340" t="n"/>
      <c r="N360" s="340" t="n"/>
      <c r="O360" s="340" t="n"/>
      <c r="P360" s="340" t="n"/>
      <c r="Q360" s="340" t="n"/>
      <c r="R360" s="340" t="n"/>
      <c r="S360" s="340" t="n"/>
      <c r="T360" s="340" t="n"/>
      <c r="U360" s="340" t="n"/>
      <c r="V360" s="340" t="n"/>
      <c r="W360" s="340" t="n"/>
      <c r="X360" s="340" t="n"/>
      <c r="Y360" s="340" t="n"/>
      <c r="Z360" s="340" t="n"/>
      <c r="AA360" s="340" t="n"/>
      <c r="AB360" s="340" t="n"/>
      <c r="AC360" s="340" t="n"/>
      <c r="AD360" s="340" t="n"/>
      <c r="AE360" s="340" t="n"/>
      <c r="AF360" s="340" t="n"/>
      <c r="AG360" s="340" t="n"/>
      <c r="AH360" s="340" t="n"/>
      <c r="AI360" s="340" t="n"/>
      <c r="AJ360" s="340" t="n"/>
      <c r="AK360" s="340" t="n"/>
      <c r="AL360" s="340" t="n"/>
    </row>
    <row r="361" ht="12.75" customHeight="1">
      <c r="K361" s="340" t="n"/>
      <c r="L361" s="340" t="n"/>
      <c r="M361" s="340" t="n"/>
      <c r="N361" s="340" t="n"/>
      <c r="O361" s="340" t="n"/>
      <c r="P361" s="340" t="n"/>
      <c r="Q361" s="340" t="n"/>
      <c r="R361" s="340" t="n"/>
      <c r="S361" s="340" t="n"/>
      <c r="T361" s="340" t="n"/>
      <c r="U361" s="340" t="n"/>
      <c r="V361" s="340" t="n"/>
      <c r="W361" s="340" t="n"/>
      <c r="X361" s="340" t="n"/>
      <c r="Y361" s="340" t="n"/>
      <c r="Z361" s="340" t="n"/>
      <c r="AA361" s="340" t="n"/>
      <c r="AB361" s="340" t="n"/>
      <c r="AC361" s="340" t="n"/>
      <c r="AD361" s="340" t="n"/>
      <c r="AE361" s="340" t="n"/>
      <c r="AF361" s="340" t="n"/>
      <c r="AG361" s="340" t="n"/>
      <c r="AH361" s="340" t="n"/>
      <c r="AI361" s="340" t="n"/>
      <c r="AJ361" s="340" t="n"/>
      <c r="AK361" s="340" t="n"/>
      <c r="AL361" s="340" t="n"/>
    </row>
    <row r="362" ht="12.75" customHeight="1">
      <c r="K362" s="340" t="n"/>
      <c r="L362" s="340" t="n"/>
      <c r="M362" s="340" t="n"/>
      <c r="N362" s="340" t="n"/>
      <c r="O362" s="340" t="n"/>
      <c r="P362" s="340" t="n"/>
      <c r="Q362" s="340" t="n"/>
      <c r="R362" s="340" t="n"/>
      <c r="S362" s="340" t="n"/>
      <c r="T362" s="340" t="n"/>
      <c r="U362" s="340" t="n"/>
      <c r="V362" s="340" t="n"/>
      <c r="W362" s="340" t="n"/>
      <c r="X362" s="340" t="n"/>
      <c r="Y362" s="340" t="n"/>
      <c r="Z362" s="340" t="n"/>
      <c r="AA362" s="340" t="n"/>
      <c r="AB362" s="340" t="n"/>
      <c r="AC362" s="340" t="n"/>
      <c r="AD362" s="340" t="n"/>
      <c r="AE362" s="340" t="n"/>
      <c r="AF362" s="340" t="n"/>
      <c r="AG362" s="340" t="n"/>
      <c r="AH362" s="340" t="n"/>
      <c r="AI362" s="340" t="n"/>
      <c r="AJ362" s="340" t="n"/>
      <c r="AK362" s="340" t="n"/>
      <c r="AL362" s="340" t="n"/>
    </row>
    <row r="363" ht="12.75" customHeight="1">
      <c r="K363" s="340" t="n"/>
      <c r="L363" s="340" t="n"/>
      <c r="M363" s="340" t="n"/>
      <c r="N363" s="340" t="n"/>
      <c r="O363" s="340" t="n"/>
      <c r="P363" s="340" t="n"/>
      <c r="Q363" s="340" t="n"/>
      <c r="R363" s="340" t="n"/>
      <c r="S363" s="340" t="n"/>
      <c r="T363" s="340" t="n"/>
      <c r="U363" s="340" t="n"/>
      <c r="V363" s="340" t="n"/>
      <c r="W363" s="340" t="n"/>
      <c r="X363" s="340" t="n"/>
      <c r="Y363" s="340" t="n"/>
      <c r="Z363" s="340" t="n"/>
      <c r="AA363" s="340" t="n"/>
      <c r="AB363" s="340" t="n"/>
      <c r="AC363" s="340" t="n"/>
      <c r="AD363" s="340" t="n"/>
      <c r="AE363" s="340" t="n"/>
      <c r="AF363" s="340" t="n"/>
      <c r="AG363" s="340" t="n"/>
      <c r="AH363" s="340" t="n"/>
      <c r="AI363" s="340" t="n"/>
      <c r="AJ363" s="340" t="n"/>
      <c r="AK363" s="340" t="n"/>
      <c r="AL363" s="340" t="n"/>
    </row>
    <row r="364" ht="12.75" customHeight="1">
      <c r="K364" s="340" t="n"/>
      <c r="L364" s="340" t="n"/>
      <c r="M364" s="340" t="n"/>
      <c r="N364" s="340" t="n"/>
      <c r="O364" s="340" t="n"/>
      <c r="P364" s="340" t="n"/>
      <c r="Q364" s="340" t="n"/>
      <c r="R364" s="340" t="n"/>
      <c r="S364" s="340" t="n"/>
      <c r="T364" s="340" t="n"/>
      <c r="U364" s="340" t="n"/>
      <c r="V364" s="340" t="n"/>
      <c r="W364" s="340" t="n"/>
      <c r="X364" s="340" t="n"/>
      <c r="Y364" s="340" t="n"/>
      <c r="Z364" s="340" t="n"/>
      <c r="AA364" s="340" t="n"/>
      <c r="AB364" s="340" t="n"/>
      <c r="AC364" s="340" t="n"/>
      <c r="AD364" s="340" t="n"/>
      <c r="AE364" s="340" t="n"/>
      <c r="AF364" s="340" t="n"/>
      <c r="AG364" s="340" t="n"/>
      <c r="AH364" s="340" t="n"/>
      <c r="AI364" s="340" t="n"/>
      <c r="AJ364" s="340" t="n"/>
      <c r="AK364" s="340" t="n"/>
      <c r="AL364" s="340" t="n"/>
    </row>
    <row r="365" ht="12.75" customHeight="1">
      <c r="K365" s="340" t="n"/>
      <c r="L365" s="340" t="n"/>
      <c r="M365" s="340" t="n"/>
      <c r="N365" s="340" t="n"/>
      <c r="O365" s="340" t="n"/>
      <c r="P365" s="340" t="n"/>
      <c r="Q365" s="340" t="n"/>
      <c r="R365" s="340" t="n"/>
      <c r="S365" s="340" t="n"/>
      <c r="T365" s="340" t="n"/>
      <c r="U365" s="340" t="n"/>
      <c r="V365" s="340" t="n"/>
      <c r="W365" s="340" t="n"/>
      <c r="X365" s="340" t="n"/>
      <c r="Y365" s="340" t="n"/>
      <c r="Z365" s="340" t="n"/>
      <c r="AA365" s="340" t="n"/>
      <c r="AB365" s="340" t="n"/>
      <c r="AC365" s="340" t="n"/>
      <c r="AD365" s="340" t="n"/>
      <c r="AE365" s="340" t="n"/>
      <c r="AF365" s="340" t="n"/>
      <c r="AG365" s="340" t="n"/>
      <c r="AH365" s="340" t="n"/>
      <c r="AI365" s="340" t="n"/>
      <c r="AJ365" s="340" t="n"/>
      <c r="AK365" s="340" t="n"/>
      <c r="AL365" s="340" t="n"/>
    </row>
    <row r="366" ht="12.75" customHeight="1">
      <c r="K366" s="340" t="n"/>
      <c r="L366" s="340" t="n"/>
      <c r="M366" s="340" t="n"/>
      <c r="N366" s="340" t="n"/>
      <c r="O366" s="340" t="n"/>
      <c r="P366" s="340" t="n"/>
      <c r="Q366" s="340" t="n"/>
      <c r="R366" s="340" t="n"/>
      <c r="S366" s="340" t="n"/>
      <c r="T366" s="340" t="n"/>
      <c r="U366" s="340" t="n"/>
      <c r="V366" s="340" t="n"/>
      <c r="W366" s="340" t="n"/>
      <c r="X366" s="340" t="n"/>
      <c r="Y366" s="340" t="n"/>
      <c r="Z366" s="340" t="n"/>
      <c r="AA366" s="340" t="n"/>
      <c r="AB366" s="340" t="n"/>
      <c r="AC366" s="340" t="n"/>
      <c r="AD366" s="340" t="n"/>
      <c r="AE366" s="340" t="n"/>
      <c r="AF366" s="340" t="n"/>
      <c r="AG366" s="340" t="n"/>
      <c r="AH366" s="340" t="n"/>
      <c r="AI366" s="340" t="n"/>
      <c r="AJ366" s="340" t="n"/>
      <c r="AK366" s="340" t="n"/>
      <c r="AL366" s="340" t="n"/>
    </row>
    <row r="367" ht="12.75" customHeight="1">
      <c r="K367" s="340" t="n"/>
      <c r="L367" s="340" t="n"/>
      <c r="M367" s="340" t="n"/>
      <c r="N367" s="340" t="n"/>
      <c r="O367" s="340" t="n"/>
      <c r="P367" s="340" t="n"/>
      <c r="Q367" s="340" t="n"/>
      <c r="R367" s="340" t="n"/>
      <c r="S367" s="340" t="n"/>
      <c r="T367" s="340" t="n"/>
      <c r="U367" s="340" t="n"/>
      <c r="V367" s="340" t="n"/>
      <c r="W367" s="340" t="n"/>
      <c r="X367" s="340" t="n"/>
      <c r="Y367" s="340" t="n"/>
      <c r="Z367" s="340" t="n"/>
      <c r="AA367" s="340" t="n"/>
      <c r="AB367" s="340" t="n"/>
      <c r="AC367" s="340" t="n"/>
      <c r="AD367" s="340" t="n"/>
      <c r="AE367" s="340" t="n"/>
      <c r="AF367" s="340" t="n"/>
      <c r="AG367" s="340" t="n"/>
      <c r="AH367" s="340" t="n"/>
      <c r="AI367" s="340" t="n"/>
      <c r="AJ367" s="340" t="n"/>
      <c r="AK367" s="340" t="n"/>
      <c r="AL367" s="340" t="n"/>
    </row>
    <row r="368" ht="12.75" customHeight="1">
      <c r="K368" s="340" t="n"/>
      <c r="L368" s="340" t="n"/>
      <c r="M368" s="340" t="n"/>
      <c r="N368" s="340" t="n"/>
      <c r="O368" s="340" t="n"/>
      <c r="P368" s="340" t="n"/>
      <c r="Q368" s="340" t="n"/>
      <c r="R368" s="340" t="n"/>
      <c r="S368" s="340" t="n"/>
      <c r="T368" s="340" t="n"/>
      <c r="U368" s="340" t="n"/>
      <c r="V368" s="340" t="n"/>
      <c r="W368" s="340" t="n"/>
      <c r="X368" s="340" t="n"/>
      <c r="Y368" s="340" t="n"/>
      <c r="Z368" s="340" t="n"/>
      <c r="AA368" s="340" t="n"/>
      <c r="AB368" s="340" t="n"/>
      <c r="AC368" s="340" t="n"/>
      <c r="AD368" s="340" t="n"/>
      <c r="AE368" s="340" t="n"/>
      <c r="AF368" s="340" t="n"/>
      <c r="AG368" s="340" t="n"/>
      <c r="AH368" s="340" t="n"/>
      <c r="AI368" s="340" t="n"/>
      <c r="AJ368" s="340" t="n"/>
      <c r="AK368" s="340" t="n"/>
      <c r="AL368" s="340" t="n"/>
    </row>
    <row r="369" ht="12.75" customHeight="1">
      <c r="K369" s="340" t="n"/>
      <c r="L369" s="340" t="n"/>
      <c r="M369" s="340" t="n"/>
      <c r="N369" s="340" t="n"/>
      <c r="O369" s="340" t="n"/>
      <c r="P369" s="340" t="n"/>
      <c r="Q369" s="340" t="n"/>
      <c r="R369" s="340" t="n"/>
      <c r="S369" s="340" t="n"/>
      <c r="T369" s="340" t="n"/>
      <c r="U369" s="340" t="n"/>
      <c r="V369" s="340" t="n"/>
      <c r="W369" s="340" t="n"/>
      <c r="X369" s="340" t="n"/>
      <c r="Y369" s="340" t="n"/>
      <c r="Z369" s="340" t="n"/>
      <c r="AA369" s="340" t="n"/>
      <c r="AB369" s="340" t="n"/>
      <c r="AC369" s="340" t="n"/>
      <c r="AD369" s="340" t="n"/>
      <c r="AE369" s="340" t="n"/>
      <c r="AF369" s="340" t="n"/>
      <c r="AG369" s="340" t="n"/>
      <c r="AH369" s="340" t="n"/>
      <c r="AI369" s="340" t="n"/>
      <c r="AJ369" s="340" t="n"/>
      <c r="AK369" s="340" t="n"/>
      <c r="AL369" s="340" t="n"/>
    </row>
    <row r="370" ht="12.75" customHeight="1">
      <c r="K370" s="340" t="n"/>
      <c r="L370" s="340" t="n"/>
      <c r="M370" s="340" t="n"/>
      <c r="N370" s="340" t="n"/>
      <c r="O370" s="340" t="n"/>
      <c r="P370" s="340" t="n"/>
      <c r="Q370" s="340" t="n"/>
      <c r="R370" s="340" t="n"/>
      <c r="S370" s="340" t="n"/>
      <c r="T370" s="340" t="n"/>
      <c r="U370" s="340" t="n"/>
      <c r="V370" s="340" t="n"/>
      <c r="W370" s="340" t="n"/>
      <c r="X370" s="340" t="n"/>
      <c r="Y370" s="340" t="n"/>
      <c r="Z370" s="340" t="n"/>
      <c r="AA370" s="340" t="n"/>
      <c r="AB370" s="340" t="n"/>
      <c r="AC370" s="340" t="n"/>
      <c r="AD370" s="340" t="n"/>
      <c r="AE370" s="340" t="n"/>
      <c r="AF370" s="340" t="n"/>
      <c r="AG370" s="340" t="n"/>
      <c r="AH370" s="340" t="n"/>
      <c r="AI370" s="340" t="n"/>
      <c r="AJ370" s="340" t="n"/>
      <c r="AK370" s="340" t="n"/>
      <c r="AL370" s="340" t="n"/>
    </row>
    <row r="371" ht="12.75" customHeight="1">
      <c r="K371" s="340" t="n"/>
      <c r="L371" s="340" t="n"/>
      <c r="M371" s="340" t="n"/>
      <c r="N371" s="340" t="n"/>
      <c r="O371" s="340" t="n"/>
      <c r="P371" s="340" t="n"/>
      <c r="Q371" s="340" t="n"/>
      <c r="R371" s="340" t="n"/>
      <c r="S371" s="340" t="n"/>
      <c r="T371" s="340" t="n"/>
      <c r="U371" s="340" t="n"/>
      <c r="V371" s="340" t="n"/>
      <c r="W371" s="340" t="n"/>
      <c r="X371" s="340" t="n"/>
      <c r="Y371" s="340" t="n"/>
      <c r="Z371" s="340" t="n"/>
      <c r="AA371" s="340" t="n"/>
      <c r="AB371" s="340" t="n"/>
      <c r="AC371" s="340" t="n"/>
      <c r="AD371" s="340" t="n"/>
      <c r="AE371" s="340" t="n"/>
      <c r="AF371" s="340" t="n"/>
      <c r="AG371" s="340" t="n"/>
      <c r="AH371" s="340" t="n"/>
      <c r="AI371" s="340" t="n"/>
      <c r="AJ371" s="340" t="n"/>
      <c r="AK371" s="340" t="n"/>
      <c r="AL371" s="340" t="n"/>
    </row>
    <row r="372" ht="12.75" customHeight="1">
      <c r="K372" s="340" t="n"/>
      <c r="L372" s="340" t="n"/>
      <c r="M372" s="340" t="n"/>
      <c r="N372" s="340" t="n"/>
      <c r="O372" s="340" t="n"/>
      <c r="P372" s="340" t="n"/>
      <c r="Q372" s="340" t="n"/>
      <c r="R372" s="340" t="n"/>
      <c r="S372" s="340" t="n"/>
      <c r="T372" s="340" t="n"/>
      <c r="U372" s="340" t="n"/>
      <c r="V372" s="340" t="n"/>
      <c r="W372" s="340" t="n"/>
      <c r="X372" s="340" t="n"/>
      <c r="Y372" s="340" t="n"/>
      <c r="Z372" s="340" t="n"/>
      <c r="AA372" s="340" t="n"/>
      <c r="AB372" s="340" t="n"/>
      <c r="AC372" s="340" t="n"/>
      <c r="AD372" s="340" t="n"/>
      <c r="AE372" s="340" t="n"/>
      <c r="AF372" s="340" t="n"/>
      <c r="AG372" s="340" t="n"/>
      <c r="AH372" s="340" t="n"/>
      <c r="AI372" s="340" t="n"/>
      <c r="AJ372" s="340" t="n"/>
      <c r="AK372" s="340" t="n"/>
      <c r="AL372" s="340" t="n"/>
    </row>
    <row r="373" ht="12.75" customHeight="1">
      <c r="K373" s="340" t="n"/>
      <c r="L373" s="340" t="n"/>
      <c r="M373" s="340" t="n"/>
      <c r="N373" s="340" t="n"/>
      <c r="O373" s="340" t="n"/>
      <c r="P373" s="340" t="n"/>
      <c r="Q373" s="340" t="n"/>
      <c r="R373" s="340" t="n"/>
      <c r="S373" s="340" t="n"/>
      <c r="T373" s="340" t="n"/>
      <c r="U373" s="340" t="n"/>
      <c r="V373" s="340" t="n"/>
      <c r="W373" s="340" t="n"/>
      <c r="X373" s="340" t="n"/>
      <c r="Y373" s="340" t="n"/>
      <c r="Z373" s="340" t="n"/>
      <c r="AA373" s="340" t="n"/>
      <c r="AB373" s="340" t="n"/>
      <c r="AC373" s="340" t="n"/>
      <c r="AD373" s="340" t="n"/>
      <c r="AE373" s="340" t="n"/>
      <c r="AF373" s="340" t="n"/>
      <c r="AG373" s="340" t="n"/>
      <c r="AH373" s="340" t="n"/>
      <c r="AI373" s="340" t="n"/>
      <c r="AJ373" s="340" t="n"/>
      <c r="AK373" s="340" t="n"/>
      <c r="AL373" s="340" t="n"/>
    </row>
    <row r="374" ht="12.75" customHeight="1">
      <c r="K374" s="340" t="n"/>
      <c r="L374" s="340" t="n"/>
      <c r="M374" s="340" t="n"/>
      <c r="N374" s="340" t="n"/>
      <c r="O374" s="340" t="n"/>
      <c r="P374" s="340" t="n"/>
      <c r="Q374" s="340" t="n"/>
      <c r="R374" s="340" t="n"/>
      <c r="S374" s="340" t="n"/>
      <c r="T374" s="340" t="n"/>
      <c r="U374" s="340" t="n"/>
      <c r="V374" s="340" t="n"/>
      <c r="W374" s="340" t="n"/>
      <c r="X374" s="340" t="n"/>
      <c r="Y374" s="340" t="n"/>
      <c r="Z374" s="340" t="n"/>
      <c r="AA374" s="340" t="n"/>
      <c r="AB374" s="340" t="n"/>
      <c r="AC374" s="340" t="n"/>
      <c r="AD374" s="340" t="n"/>
      <c r="AE374" s="340" t="n"/>
      <c r="AF374" s="340" t="n"/>
      <c r="AG374" s="340" t="n"/>
      <c r="AH374" s="340" t="n"/>
      <c r="AI374" s="340" t="n"/>
      <c r="AJ374" s="340" t="n"/>
      <c r="AK374" s="340" t="n"/>
      <c r="AL374" s="340" t="n"/>
    </row>
    <row r="375" ht="12.75" customHeight="1">
      <c r="K375" s="340" t="n"/>
      <c r="L375" s="340" t="n"/>
      <c r="M375" s="340" t="n"/>
      <c r="N375" s="340" t="n"/>
      <c r="O375" s="340" t="n"/>
      <c r="P375" s="340" t="n"/>
      <c r="Q375" s="340" t="n"/>
      <c r="R375" s="340" t="n"/>
      <c r="S375" s="340" t="n"/>
      <c r="T375" s="340" t="n"/>
      <c r="U375" s="340" t="n"/>
      <c r="V375" s="340" t="n"/>
      <c r="W375" s="340" t="n"/>
      <c r="X375" s="340" t="n"/>
      <c r="Y375" s="340" t="n"/>
      <c r="Z375" s="340" t="n"/>
      <c r="AA375" s="340" t="n"/>
      <c r="AB375" s="340" t="n"/>
      <c r="AC375" s="340" t="n"/>
      <c r="AD375" s="340" t="n"/>
      <c r="AE375" s="340" t="n"/>
      <c r="AF375" s="340" t="n"/>
      <c r="AG375" s="340" t="n"/>
      <c r="AH375" s="340" t="n"/>
      <c r="AI375" s="340" t="n"/>
      <c r="AJ375" s="340" t="n"/>
      <c r="AK375" s="340" t="n"/>
      <c r="AL375" s="340" t="n"/>
    </row>
    <row r="376" ht="12.75" customHeight="1">
      <c r="K376" s="340" t="n"/>
      <c r="L376" s="340" t="n"/>
      <c r="M376" s="340" t="n"/>
      <c r="N376" s="340" t="n"/>
      <c r="O376" s="340" t="n"/>
      <c r="P376" s="340" t="n"/>
      <c r="Q376" s="340" t="n"/>
      <c r="R376" s="340" t="n"/>
      <c r="S376" s="340" t="n"/>
      <c r="T376" s="340" t="n"/>
      <c r="U376" s="340" t="n"/>
      <c r="V376" s="340" t="n"/>
      <c r="W376" s="340" t="n"/>
      <c r="X376" s="340" t="n"/>
      <c r="Y376" s="340" t="n"/>
      <c r="Z376" s="340" t="n"/>
      <c r="AA376" s="340" t="n"/>
      <c r="AB376" s="340" t="n"/>
      <c r="AC376" s="340" t="n"/>
      <c r="AD376" s="340" t="n"/>
      <c r="AE376" s="340" t="n"/>
      <c r="AF376" s="340" t="n"/>
      <c r="AG376" s="340" t="n"/>
      <c r="AH376" s="340" t="n"/>
      <c r="AI376" s="340" t="n"/>
      <c r="AJ376" s="340" t="n"/>
      <c r="AK376" s="340" t="n"/>
      <c r="AL376" s="340" t="n"/>
    </row>
    <row r="377" ht="12.75" customHeight="1">
      <c r="K377" s="340" t="n"/>
      <c r="L377" s="340" t="n"/>
      <c r="M377" s="340" t="n"/>
      <c r="N377" s="340" t="n"/>
      <c r="O377" s="340" t="n"/>
      <c r="P377" s="340" t="n"/>
      <c r="Q377" s="340" t="n"/>
      <c r="R377" s="340" t="n"/>
      <c r="S377" s="340" t="n"/>
      <c r="T377" s="340" t="n"/>
      <c r="U377" s="340" t="n"/>
      <c r="V377" s="340" t="n"/>
      <c r="W377" s="340" t="n"/>
      <c r="X377" s="340" t="n"/>
      <c r="Y377" s="340" t="n"/>
      <c r="Z377" s="340" t="n"/>
      <c r="AA377" s="340" t="n"/>
      <c r="AB377" s="340" t="n"/>
      <c r="AC377" s="340" t="n"/>
      <c r="AD377" s="340" t="n"/>
      <c r="AE377" s="340" t="n"/>
      <c r="AF377" s="340" t="n"/>
      <c r="AG377" s="340" t="n"/>
      <c r="AH377" s="340" t="n"/>
      <c r="AI377" s="340" t="n"/>
      <c r="AJ377" s="340" t="n"/>
      <c r="AK377" s="340" t="n"/>
      <c r="AL377" s="340" t="n"/>
    </row>
    <row r="378" ht="12.75" customHeight="1">
      <c r="K378" s="340" t="n"/>
      <c r="L378" s="340" t="n"/>
      <c r="M378" s="340" t="n"/>
      <c r="N378" s="340" t="n"/>
      <c r="O378" s="340" t="n"/>
      <c r="P378" s="340" t="n"/>
      <c r="Q378" s="340" t="n"/>
      <c r="R378" s="340" t="n"/>
      <c r="S378" s="340" t="n"/>
      <c r="T378" s="340" t="n"/>
      <c r="U378" s="340" t="n"/>
      <c r="V378" s="340" t="n"/>
      <c r="W378" s="340" t="n"/>
      <c r="X378" s="340" t="n"/>
      <c r="Y378" s="340" t="n"/>
      <c r="Z378" s="340" t="n"/>
      <c r="AA378" s="340" t="n"/>
      <c r="AB378" s="340" t="n"/>
      <c r="AC378" s="340" t="n"/>
      <c r="AD378" s="340" t="n"/>
      <c r="AE378" s="340" t="n"/>
      <c r="AF378" s="340" t="n"/>
      <c r="AG378" s="340" t="n"/>
      <c r="AH378" s="340" t="n"/>
      <c r="AI378" s="340" t="n"/>
      <c r="AJ378" s="340" t="n"/>
      <c r="AK378" s="340" t="n"/>
      <c r="AL378" s="340" t="n"/>
    </row>
    <row r="379" ht="12.75" customHeight="1">
      <c r="K379" s="340" t="n"/>
      <c r="L379" s="340" t="n"/>
      <c r="M379" s="340" t="n"/>
      <c r="N379" s="340" t="n"/>
      <c r="O379" s="340" t="n"/>
      <c r="P379" s="340" t="n"/>
      <c r="Q379" s="340" t="n"/>
      <c r="R379" s="340" t="n"/>
      <c r="S379" s="340" t="n"/>
      <c r="T379" s="340" t="n"/>
      <c r="U379" s="340" t="n"/>
      <c r="V379" s="340" t="n"/>
      <c r="W379" s="340" t="n"/>
      <c r="X379" s="340" t="n"/>
      <c r="Y379" s="340" t="n"/>
      <c r="Z379" s="340" t="n"/>
      <c r="AA379" s="340" t="n"/>
      <c r="AB379" s="340" t="n"/>
      <c r="AC379" s="340" t="n"/>
      <c r="AD379" s="340" t="n"/>
      <c r="AE379" s="340" t="n"/>
      <c r="AF379" s="340" t="n"/>
      <c r="AG379" s="340" t="n"/>
      <c r="AH379" s="340" t="n"/>
      <c r="AI379" s="340" t="n"/>
      <c r="AJ379" s="340" t="n"/>
      <c r="AK379" s="340" t="n"/>
      <c r="AL379" s="340" t="n"/>
    </row>
    <row r="380" ht="12.75" customHeight="1">
      <c r="K380" s="340" t="n"/>
      <c r="L380" s="340" t="n"/>
      <c r="M380" s="340" t="n"/>
      <c r="N380" s="340" t="n"/>
      <c r="O380" s="340" t="n"/>
      <c r="P380" s="340" t="n"/>
      <c r="Q380" s="340" t="n"/>
      <c r="R380" s="340" t="n"/>
      <c r="S380" s="340" t="n"/>
      <c r="T380" s="340" t="n"/>
      <c r="U380" s="340" t="n"/>
      <c r="V380" s="340" t="n"/>
      <c r="W380" s="340" t="n"/>
      <c r="X380" s="340" t="n"/>
      <c r="Y380" s="340" t="n"/>
      <c r="Z380" s="340" t="n"/>
      <c r="AA380" s="340" t="n"/>
      <c r="AB380" s="340" t="n"/>
      <c r="AC380" s="340" t="n"/>
      <c r="AD380" s="340" t="n"/>
      <c r="AE380" s="340" t="n"/>
      <c r="AF380" s="340" t="n"/>
      <c r="AG380" s="340" t="n"/>
      <c r="AH380" s="340" t="n"/>
      <c r="AI380" s="340" t="n"/>
      <c r="AJ380" s="340" t="n"/>
      <c r="AK380" s="340" t="n"/>
      <c r="AL380" s="340" t="n"/>
    </row>
    <row r="381" ht="12.75" customHeight="1">
      <c r="K381" s="340" t="n"/>
      <c r="L381" s="340" t="n"/>
      <c r="M381" s="340" t="n"/>
      <c r="N381" s="340" t="n"/>
      <c r="O381" s="340" t="n"/>
      <c r="P381" s="340" t="n"/>
      <c r="Q381" s="340" t="n"/>
      <c r="R381" s="340" t="n"/>
      <c r="S381" s="340" t="n"/>
      <c r="T381" s="340" t="n"/>
      <c r="U381" s="340" t="n"/>
      <c r="V381" s="340" t="n"/>
      <c r="W381" s="340" t="n"/>
      <c r="X381" s="340" t="n"/>
      <c r="Y381" s="340" t="n"/>
      <c r="Z381" s="340" t="n"/>
      <c r="AA381" s="340" t="n"/>
      <c r="AB381" s="340" t="n"/>
      <c r="AC381" s="340" t="n"/>
      <c r="AD381" s="340" t="n"/>
      <c r="AE381" s="340" t="n"/>
      <c r="AF381" s="340" t="n"/>
      <c r="AG381" s="340" t="n"/>
      <c r="AH381" s="340" t="n"/>
      <c r="AI381" s="340" t="n"/>
      <c r="AJ381" s="340" t="n"/>
      <c r="AK381" s="340" t="n"/>
      <c r="AL381" s="340" t="n"/>
    </row>
    <row r="382" ht="12.75" customHeight="1">
      <c r="K382" s="340" t="n"/>
      <c r="L382" s="340" t="n"/>
      <c r="M382" s="340" t="n"/>
      <c r="N382" s="340" t="n"/>
      <c r="O382" s="340" t="n"/>
      <c r="P382" s="340" t="n"/>
      <c r="Q382" s="340" t="n"/>
      <c r="R382" s="340" t="n"/>
      <c r="S382" s="340" t="n"/>
      <c r="T382" s="340" t="n"/>
      <c r="U382" s="340" t="n"/>
      <c r="V382" s="340" t="n"/>
      <c r="W382" s="340" t="n"/>
      <c r="X382" s="340" t="n"/>
      <c r="Y382" s="340" t="n"/>
      <c r="Z382" s="340" t="n"/>
      <c r="AA382" s="340" t="n"/>
      <c r="AB382" s="340" t="n"/>
      <c r="AC382" s="340" t="n"/>
      <c r="AD382" s="340" t="n"/>
      <c r="AE382" s="340" t="n"/>
      <c r="AF382" s="340" t="n"/>
      <c r="AG382" s="340" t="n"/>
      <c r="AH382" s="340" t="n"/>
      <c r="AI382" s="340" t="n"/>
      <c r="AJ382" s="340" t="n"/>
      <c r="AK382" s="340" t="n"/>
      <c r="AL382" s="340" t="n"/>
    </row>
    <row r="383" ht="12.75" customHeight="1">
      <c r="K383" s="340" t="n"/>
      <c r="L383" s="340" t="n"/>
      <c r="M383" s="340" t="n"/>
      <c r="N383" s="340" t="n"/>
      <c r="O383" s="340" t="n"/>
      <c r="P383" s="340" t="n"/>
      <c r="Q383" s="340" t="n"/>
      <c r="R383" s="340" t="n"/>
      <c r="S383" s="340" t="n"/>
      <c r="T383" s="340" t="n"/>
      <c r="U383" s="340" t="n"/>
      <c r="V383" s="340" t="n"/>
      <c r="W383" s="340" t="n"/>
      <c r="X383" s="340" t="n"/>
      <c r="Y383" s="340" t="n"/>
      <c r="Z383" s="340" t="n"/>
      <c r="AA383" s="340" t="n"/>
      <c r="AB383" s="340" t="n"/>
      <c r="AC383" s="340" t="n"/>
      <c r="AD383" s="340" t="n"/>
      <c r="AE383" s="340" t="n"/>
      <c r="AF383" s="340" t="n"/>
      <c r="AG383" s="340" t="n"/>
      <c r="AH383" s="340" t="n"/>
      <c r="AI383" s="340" t="n"/>
      <c r="AJ383" s="340" t="n"/>
      <c r="AK383" s="340" t="n"/>
      <c r="AL383" s="340" t="n"/>
    </row>
    <row r="384" ht="12.75" customHeight="1">
      <c r="K384" s="340" t="n"/>
      <c r="L384" s="340" t="n"/>
      <c r="M384" s="340" t="n"/>
      <c r="N384" s="340" t="n"/>
      <c r="O384" s="340" t="n"/>
      <c r="P384" s="340" t="n"/>
      <c r="Q384" s="340" t="n"/>
      <c r="R384" s="340" t="n"/>
      <c r="S384" s="340" t="n"/>
      <c r="T384" s="340" t="n"/>
      <c r="U384" s="340" t="n"/>
      <c r="V384" s="340" t="n"/>
      <c r="W384" s="340" t="n"/>
      <c r="X384" s="340" t="n"/>
      <c r="Y384" s="340" t="n"/>
      <c r="Z384" s="340" t="n"/>
      <c r="AA384" s="340" t="n"/>
      <c r="AB384" s="340" t="n"/>
      <c r="AC384" s="340" t="n"/>
      <c r="AD384" s="340" t="n"/>
      <c r="AE384" s="340" t="n"/>
      <c r="AF384" s="340" t="n"/>
      <c r="AG384" s="340" t="n"/>
      <c r="AH384" s="340" t="n"/>
      <c r="AI384" s="340" t="n"/>
      <c r="AJ384" s="340" t="n"/>
      <c r="AK384" s="340" t="n"/>
      <c r="AL384" s="340" t="n"/>
    </row>
    <row r="385" ht="12.75" customHeight="1">
      <c r="K385" s="340" t="n"/>
      <c r="L385" s="340" t="n"/>
      <c r="M385" s="340" t="n"/>
      <c r="N385" s="340" t="n"/>
      <c r="O385" s="340" t="n"/>
      <c r="P385" s="340" t="n"/>
      <c r="Q385" s="340" t="n"/>
      <c r="R385" s="340" t="n"/>
      <c r="S385" s="340" t="n"/>
      <c r="T385" s="340" t="n"/>
      <c r="U385" s="340" t="n"/>
      <c r="V385" s="340" t="n"/>
      <c r="W385" s="340" t="n"/>
      <c r="X385" s="340" t="n"/>
      <c r="Y385" s="340" t="n"/>
      <c r="Z385" s="340" t="n"/>
      <c r="AA385" s="340" t="n"/>
      <c r="AB385" s="340" t="n"/>
      <c r="AC385" s="340" t="n"/>
      <c r="AD385" s="340" t="n"/>
      <c r="AE385" s="340" t="n"/>
      <c r="AF385" s="340" t="n"/>
      <c r="AG385" s="340" t="n"/>
      <c r="AH385" s="340" t="n"/>
      <c r="AI385" s="340" t="n"/>
      <c r="AJ385" s="340" t="n"/>
      <c r="AK385" s="340" t="n"/>
      <c r="AL385" s="340" t="n"/>
    </row>
    <row r="386" ht="12.75" customHeight="1">
      <c r="K386" s="340" t="n"/>
      <c r="L386" s="340" t="n"/>
      <c r="M386" s="340" t="n"/>
      <c r="N386" s="340" t="n"/>
      <c r="O386" s="340" t="n"/>
      <c r="P386" s="340" t="n"/>
      <c r="Q386" s="340" t="n"/>
      <c r="R386" s="340" t="n"/>
      <c r="S386" s="340" t="n"/>
      <c r="T386" s="340" t="n"/>
      <c r="U386" s="340" t="n"/>
      <c r="V386" s="340" t="n"/>
      <c r="W386" s="340" t="n"/>
      <c r="X386" s="340" t="n"/>
      <c r="Y386" s="340" t="n"/>
      <c r="Z386" s="340" t="n"/>
      <c r="AA386" s="340" t="n"/>
      <c r="AB386" s="340" t="n"/>
      <c r="AC386" s="340" t="n"/>
      <c r="AD386" s="340" t="n"/>
      <c r="AE386" s="340" t="n"/>
      <c r="AF386" s="340" t="n"/>
      <c r="AG386" s="340" t="n"/>
      <c r="AH386" s="340" t="n"/>
      <c r="AI386" s="340" t="n"/>
      <c r="AJ386" s="340" t="n"/>
      <c r="AK386" s="340" t="n"/>
      <c r="AL386" s="340" t="n"/>
    </row>
    <row r="387" ht="12.75" customHeight="1">
      <c r="K387" s="340" t="n"/>
      <c r="L387" s="340" t="n"/>
      <c r="M387" s="340" t="n"/>
      <c r="N387" s="340" t="n"/>
      <c r="O387" s="340" t="n"/>
      <c r="P387" s="340" t="n"/>
      <c r="Q387" s="340" t="n"/>
      <c r="R387" s="340" t="n"/>
      <c r="S387" s="340" t="n"/>
      <c r="T387" s="340" t="n"/>
      <c r="U387" s="340" t="n"/>
      <c r="V387" s="340" t="n"/>
      <c r="W387" s="340" t="n"/>
      <c r="X387" s="340" t="n"/>
      <c r="Y387" s="340" t="n"/>
      <c r="Z387" s="340" t="n"/>
      <c r="AA387" s="340" t="n"/>
      <c r="AB387" s="340" t="n"/>
      <c r="AC387" s="340" t="n"/>
      <c r="AD387" s="340" t="n"/>
      <c r="AE387" s="340" t="n"/>
      <c r="AF387" s="340" t="n"/>
      <c r="AG387" s="340" t="n"/>
      <c r="AH387" s="340" t="n"/>
      <c r="AI387" s="340" t="n"/>
      <c r="AJ387" s="340" t="n"/>
      <c r="AK387" s="340" t="n"/>
      <c r="AL387" s="340" t="n"/>
    </row>
    <row r="388" ht="12.75" customHeight="1">
      <c r="K388" s="340" t="n"/>
      <c r="L388" s="340" t="n"/>
      <c r="M388" s="340" t="n"/>
      <c r="N388" s="340" t="n"/>
      <c r="O388" s="340" t="n"/>
      <c r="P388" s="340" t="n"/>
      <c r="Q388" s="340" t="n"/>
      <c r="R388" s="340" t="n"/>
      <c r="S388" s="340" t="n"/>
      <c r="T388" s="340" t="n"/>
      <c r="U388" s="340" t="n"/>
      <c r="V388" s="340" t="n"/>
      <c r="W388" s="340" t="n"/>
      <c r="X388" s="340" t="n"/>
      <c r="Y388" s="340" t="n"/>
      <c r="Z388" s="340" t="n"/>
      <c r="AA388" s="340" t="n"/>
      <c r="AB388" s="340" t="n"/>
      <c r="AC388" s="340" t="n"/>
      <c r="AD388" s="340" t="n"/>
      <c r="AE388" s="340" t="n"/>
      <c r="AF388" s="340" t="n"/>
      <c r="AG388" s="340" t="n"/>
      <c r="AH388" s="340" t="n"/>
      <c r="AI388" s="340" t="n"/>
      <c r="AJ388" s="340" t="n"/>
      <c r="AK388" s="340" t="n"/>
      <c r="AL388" s="340" t="n"/>
    </row>
    <row r="389" ht="12.75" customHeight="1">
      <c r="K389" s="340" t="n"/>
      <c r="L389" s="340" t="n"/>
      <c r="M389" s="340" t="n"/>
      <c r="N389" s="340" t="n"/>
      <c r="O389" s="340" t="n"/>
      <c r="P389" s="340" t="n"/>
      <c r="Q389" s="340" t="n"/>
      <c r="R389" s="340" t="n"/>
      <c r="S389" s="340" t="n"/>
      <c r="T389" s="340" t="n"/>
      <c r="U389" s="340" t="n"/>
      <c r="V389" s="340" t="n"/>
      <c r="W389" s="340" t="n"/>
      <c r="X389" s="340" t="n"/>
      <c r="Y389" s="340" t="n"/>
      <c r="Z389" s="340" t="n"/>
      <c r="AA389" s="340" t="n"/>
      <c r="AB389" s="340" t="n"/>
      <c r="AC389" s="340" t="n"/>
      <c r="AD389" s="340" t="n"/>
      <c r="AE389" s="340" t="n"/>
      <c r="AF389" s="340" t="n"/>
      <c r="AG389" s="340" t="n"/>
      <c r="AH389" s="340" t="n"/>
      <c r="AI389" s="340" t="n"/>
      <c r="AJ389" s="340" t="n"/>
      <c r="AK389" s="340" t="n"/>
      <c r="AL389" s="340" t="n"/>
    </row>
    <row r="390" ht="12.75" customHeight="1">
      <c r="K390" s="340" t="n"/>
      <c r="L390" s="340" t="n"/>
      <c r="M390" s="340" t="n"/>
      <c r="N390" s="340" t="n"/>
      <c r="O390" s="340" t="n"/>
      <c r="P390" s="340" t="n"/>
      <c r="Q390" s="340" t="n"/>
      <c r="R390" s="340" t="n"/>
      <c r="S390" s="340" t="n"/>
      <c r="T390" s="340" t="n"/>
      <c r="U390" s="340" t="n"/>
      <c r="V390" s="340" t="n"/>
      <c r="W390" s="340" t="n"/>
      <c r="X390" s="340" t="n"/>
      <c r="Y390" s="340" t="n"/>
      <c r="Z390" s="340" t="n"/>
      <c r="AA390" s="340" t="n"/>
      <c r="AB390" s="340" t="n"/>
      <c r="AC390" s="340" t="n"/>
      <c r="AD390" s="340" t="n"/>
      <c r="AE390" s="340" t="n"/>
      <c r="AF390" s="340" t="n"/>
      <c r="AG390" s="340" t="n"/>
      <c r="AH390" s="340" t="n"/>
      <c r="AI390" s="340" t="n"/>
      <c r="AJ390" s="340" t="n"/>
      <c r="AK390" s="340" t="n"/>
      <c r="AL390" s="340" t="n"/>
    </row>
    <row r="391" ht="12.75" customHeight="1">
      <c r="K391" s="340" t="n"/>
      <c r="L391" s="340" t="n"/>
      <c r="M391" s="340" t="n"/>
      <c r="N391" s="340" t="n"/>
      <c r="O391" s="340" t="n"/>
      <c r="P391" s="340" t="n"/>
      <c r="Q391" s="340" t="n"/>
      <c r="R391" s="340" t="n"/>
      <c r="S391" s="340" t="n"/>
      <c r="T391" s="340" t="n"/>
      <c r="U391" s="340" t="n"/>
      <c r="V391" s="340" t="n"/>
      <c r="W391" s="340" t="n"/>
      <c r="X391" s="340" t="n"/>
      <c r="Y391" s="340" t="n"/>
      <c r="Z391" s="340" t="n"/>
      <c r="AA391" s="340" t="n"/>
      <c r="AB391" s="340" t="n"/>
      <c r="AC391" s="340" t="n"/>
      <c r="AD391" s="340" t="n"/>
      <c r="AE391" s="340" t="n"/>
      <c r="AF391" s="340" t="n"/>
      <c r="AG391" s="340" t="n"/>
      <c r="AH391" s="340" t="n"/>
      <c r="AI391" s="340" t="n"/>
      <c r="AJ391" s="340" t="n"/>
      <c r="AK391" s="340" t="n"/>
      <c r="AL391" s="340" t="n"/>
    </row>
    <row r="392" ht="12.75" customHeight="1">
      <c r="K392" s="340" t="n"/>
      <c r="L392" s="340" t="n"/>
      <c r="M392" s="340" t="n"/>
      <c r="N392" s="340" t="n"/>
      <c r="O392" s="340" t="n"/>
      <c r="P392" s="340" t="n"/>
      <c r="Q392" s="340" t="n"/>
      <c r="R392" s="340" t="n"/>
      <c r="S392" s="340" t="n"/>
      <c r="T392" s="340" t="n"/>
      <c r="U392" s="340" t="n"/>
      <c r="V392" s="340" t="n"/>
      <c r="W392" s="340" t="n"/>
      <c r="X392" s="340" t="n"/>
      <c r="Y392" s="340" t="n"/>
      <c r="Z392" s="340" t="n"/>
      <c r="AA392" s="340" t="n"/>
      <c r="AB392" s="340" t="n"/>
      <c r="AC392" s="340" t="n"/>
      <c r="AD392" s="340" t="n"/>
      <c r="AE392" s="340" t="n"/>
      <c r="AF392" s="340" t="n"/>
      <c r="AG392" s="340" t="n"/>
      <c r="AH392" s="340" t="n"/>
      <c r="AI392" s="340" t="n"/>
      <c r="AJ392" s="340" t="n"/>
      <c r="AK392" s="340" t="n"/>
      <c r="AL392" s="340" t="n"/>
    </row>
    <row r="393" ht="12.75" customHeight="1">
      <c r="K393" s="340" t="n"/>
      <c r="L393" s="340" t="n"/>
      <c r="M393" s="340" t="n"/>
      <c r="N393" s="340" t="n"/>
      <c r="O393" s="340" t="n"/>
      <c r="P393" s="340" t="n"/>
      <c r="Q393" s="340" t="n"/>
      <c r="R393" s="340" t="n"/>
      <c r="S393" s="340" t="n"/>
      <c r="T393" s="340" t="n"/>
      <c r="U393" s="340" t="n"/>
      <c r="V393" s="340" t="n"/>
      <c r="W393" s="340" t="n"/>
      <c r="X393" s="340" t="n"/>
      <c r="Y393" s="340" t="n"/>
      <c r="Z393" s="340" t="n"/>
      <c r="AA393" s="340" t="n"/>
      <c r="AB393" s="340" t="n"/>
      <c r="AC393" s="340" t="n"/>
      <c r="AD393" s="340" t="n"/>
      <c r="AE393" s="340" t="n"/>
      <c r="AF393" s="340" t="n"/>
      <c r="AG393" s="340" t="n"/>
      <c r="AH393" s="340" t="n"/>
      <c r="AI393" s="340" t="n"/>
      <c r="AJ393" s="340" t="n"/>
      <c r="AK393" s="340" t="n"/>
      <c r="AL393" s="340" t="n"/>
    </row>
    <row r="394" ht="12.75" customHeight="1">
      <c r="K394" s="340" t="n"/>
      <c r="L394" s="340" t="n"/>
      <c r="M394" s="340" t="n"/>
      <c r="N394" s="340" t="n"/>
      <c r="O394" s="340" t="n"/>
      <c r="P394" s="340" t="n"/>
      <c r="Q394" s="340" t="n"/>
      <c r="R394" s="340" t="n"/>
      <c r="S394" s="340" t="n"/>
      <c r="T394" s="340" t="n"/>
      <c r="U394" s="340" t="n"/>
      <c r="V394" s="340" t="n"/>
      <c r="W394" s="340" t="n"/>
      <c r="X394" s="340" t="n"/>
      <c r="Y394" s="340" t="n"/>
      <c r="Z394" s="340" t="n"/>
      <c r="AA394" s="340" t="n"/>
      <c r="AB394" s="340" t="n"/>
      <c r="AC394" s="340" t="n"/>
      <c r="AD394" s="340" t="n"/>
      <c r="AE394" s="340" t="n"/>
      <c r="AF394" s="340" t="n"/>
      <c r="AG394" s="340" t="n"/>
      <c r="AH394" s="340" t="n"/>
      <c r="AI394" s="340" t="n"/>
      <c r="AJ394" s="340" t="n"/>
      <c r="AK394" s="340" t="n"/>
      <c r="AL394" s="340" t="n"/>
    </row>
    <row r="395" ht="12.75" customHeight="1">
      <c r="K395" s="340" t="n"/>
      <c r="L395" s="340" t="n"/>
      <c r="M395" s="340" t="n"/>
      <c r="N395" s="340" t="n"/>
      <c r="O395" s="340" t="n"/>
      <c r="P395" s="340" t="n"/>
      <c r="Q395" s="340" t="n"/>
      <c r="R395" s="340" t="n"/>
      <c r="S395" s="340" t="n"/>
      <c r="T395" s="340" t="n"/>
      <c r="U395" s="340" t="n"/>
      <c r="V395" s="340" t="n"/>
      <c r="W395" s="340" t="n"/>
      <c r="X395" s="340" t="n"/>
      <c r="Y395" s="340" t="n"/>
      <c r="Z395" s="340" t="n"/>
      <c r="AA395" s="340" t="n"/>
      <c r="AB395" s="340" t="n"/>
      <c r="AC395" s="340" t="n"/>
      <c r="AD395" s="340" t="n"/>
      <c r="AE395" s="340" t="n"/>
      <c r="AF395" s="340" t="n"/>
      <c r="AG395" s="340" t="n"/>
      <c r="AH395" s="340" t="n"/>
      <c r="AI395" s="340" t="n"/>
      <c r="AJ395" s="340" t="n"/>
      <c r="AK395" s="340" t="n"/>
      <c r="AL395" s="340" t="n"/>
    </row>
    <row r="396" ht="12.75" customHeight="1">
      <c r="K396" s="340" t="n"/>
      <c r="L396" s="340" t="n"/>
      <c r="M396" s="340" t="n"/>
      <c r="N396" s="340" t="n"/>
      <c r="O396" s="340" t="n"/>
      <c r="P396" s="340" t="n"/>
      <c r="Q396" s="340" t="n"/>
      <c r="R396" s="340" t="n"/>
      <c r="S396" s="340" t="n"/>
      <c r="T396" s="340" t="n"/>
      <c r="U396" s="340" t="n"/>
      <c r="V396" s="340" t="n"/>
      <c r="W396" s="340" t="n"/>
      <c r="X396" s="340" t="n"/>
      <c r="Y396" s="340" t="n"/>
      <c r="Z396" s="340" t="n"/>
      <c r="AA396" s="340" t="n"/>
      <c r="AB396" s="340" t="n"/>
      <c r="AC396" s="340" t="n"/>
      <c r="AD396" s="340" t="n"/>
      <c r="AE396" s="340" t="n"/>
      <c r="AF396" s="340" t="n"/>
      <c r="AG396" s="340" t="n"/>
      <c r="AH396" s="340" t="n"/>
      <c r="AI396" s="340" t="n"/>
      <c r="AJ396" s="340" t="n"/>
      <c r="AK396" s="340" t="n"/>
      <c r="AL396" s="340" t="n"/>
    </row>
    <row r="397" ht="12.75" customHeight="1">
      <c r="K397" s="340" t="n"/>
      <c r="L397" s="340" t="n"/>
      <c r="M397" s="340" t="n"/>
      <c r="N397" s="340" t="n"/>
      <c r="O397" s="340" t="n"/>
      <c r="P397" s="340" t="n"/>
      <c r="Q397" s="340" t="n"/>
      <c r="R397" s="340" t="n"/>
      <c r="S397" s="340" t="n"/>
      <c r="T397" s="340" t="n"/>
      <c r="U397" s="340" t="n"/>
      <c r="V397" s="340" t="n"/>
      <c r="W397" s="340" t="n"/>
      <c r="X397" s="340" t="n"/>
      <c r="Y397" s="340" t="n"/>
      <c r="Z397" s="340" t="n"/>
      <c r="AA397" s="340" t="n"/>
      <c r="AB397" s="340" t="n"/>
      <c r="AC397" s="340" t="n"/>
      <c r="AD397" s="340" t="n"/>
      <c r="AE397" s="340" t="n"/>
      <c r="AF397" s="340" t="n"/>
      <c r="AG397" s="340" t="n"/>
      <c r="AH397" s="340" t="n"/>
      <c r="AI397" s="340" t="n"/>
      <c r="AJ397" s="340" t="n"/>
      <c r="AK397" s="340" t="n"/>
      <c r="AL397" s="340" t="n"/>
    </row>
    <row r="398" ht="12.75" customHeight="1">
      <c r="K398" s="340" t="n"/>
      <c r="L398" s="340" t="n"/>
      <c r="M398" s="340" t="n"/>
      <c r="N398" s="340" t="n"/>
      <c r="O398" s="340" t="n"/>
      <c r="P398" s="340" t="n"/>
      <c r="Q398" s="340" t="n"/>
      <c r="R398" s="340" t="n"/>
      <c r="S398" s="340" t="n"/>
      <c r="T398" s="340" t="n"/>
      <c r="U398" s="340" t="n"/>
      <c r="V398" s="340" t="n"/>
      <c r="W398" s="340" t="n"/>
      <c r="X398" s="340" t="n"/>
      <c r="Y398" s="340" t="n"/>
      <c r="Z398" s="340" t="n"/>
      <c r="AA398" s="340" t="n"/>
      <c r="AB398" s="340" t="n"/>
      <c r="AC398" s="340" t="n"/>
      <c r="AD398" s="340" t="n"/>
      <c r="AE398" s="340" t="n"/>
      <c r="AF398" s="340" t="n"/>
      <c r="AG398" s="340" t="n"/>
      <c r="AH398" s="340" t="n"/>
      <c r="AI398" s="340" t="n"/>
      <c r="AJ398" s="340" t="n"/>
      <c r="AK398" s="340" t="n"/>
      <c r="AL398" s="340" t="n"/>
    </row>
    <row r="399" ht="12.75" customHeight="1">
      <c r="K399" s="340" t="n"/>
      <c r="L399" s="340" t="n"/>
      <c r="M399" s="340" t="n"/>
      <c r="N399" s="340" t="n"/>
      <c r="O399" s="340" t="n"/>
      <c r="P399" s="340" t="n"/>
      <c r="Q399" s="340" t="n"/>
      <c r="R399" s="340" t="n"/>
      <c r="S399" s="340" t="n"/>
      <c r="T399" s="340" t="n"/>
      <c r="U399" s="340" t="n"/>
      <c r="V399" s="340" t="n"/>
      <c r="W399" s="340" t="n"/>
      <c r="X399" s="340" t="n"/>
      <c r="Y399" s="340" t="n"/>
      <c r="Z399" s="340" t="n"/>
      <c r="AA399" s="340" t="n"/>
      <c r="AB399" s="340" t="n"/>
      <c r="AC399" s="340" t="n"/>
      <c r="AD399" s="340" t="n"/>
      <c r="AE399" s="340" t="n"/>
      <c r="AF399" s="340" t="n"/>
      <c r="AG399" s="340" t="n"/>
      <c r="AH399" s="340" t="n"/>
      <c r="AI399" s="340" t="n"/>
      <c r="AJ399" s="340" t="n"/>
      <c r="AK399" s="340" t="n"/>
      <c r="AL399" s="340" t="n"/>
    </row>
    <row r="400" ht="12.75" customHeight="1">
      <c r="K400" s="340" t="n"/>
      <c r="L400" s="340" t="n"/>
      <c r="M400" s="340" t="n"/>
      <c r="N400" s="340" t="n"/>
      <c r="O400" s="340" t="n"/>
      <c r="P400" s="340" t="n"/>
      <c r="Q400" s="340" t="n"/>
      <c r="R400" s="340" t="n"/>
      <c r="S400" s="340" t="n"/>
      <c r="T400" s="340" t="n"/>
      <c r="U400" s="340" t="n"/>
      <c r="V400" s="340" t="n"/>
      <c r="W400" s="340" t="n"/>
      <c r="X400" s="340" t="n"/>
      <c r="Y400" s="340" t="n"/>
      <c r="Z400" s="340" t="n"/>
      <c r="AA400" s="340" t="n"/>
      <c r="AB400" s="340" t="n"/>
      <c r="AC400" s="340" t="n"/>
      <c r="AD400" s="340" t="n"/>
      <c r="AE400" s="340" t="n"/>
      <c r="AF400" s="340" t="n"/>
      <c r="AG400" s="340" t="n"/>
      <c r="AH400" s="340" t="n"/>
      <c r="AI400" s="340" t="n"/>
      <c r="AJ400" s="340" t="n"/>
      <c r="AK400" s="340" t="n"/>
      <c r="AL400" s="340" t="n"/>
    </row>
    <row r="401" ht="12.75" customHeight="1">
      <c r="K401" s="340" t="n"/>
      <c r="L401" s="340" t="n"/>
      <c r="M401" s="340" t="n"/>
      <c r="N401" s="340" t="n"/>
      <c r="O401" s="340" t="n"/>
      <c r="P401" s="340" t="n"/>
      <c r="Q401" s="340" t="n"/>
      <c r="R401" s="340" t="n"/>
      <c r="S401" s="340" t="n"/>
      <c r="T401" s="340" t="n"/>
      <c r="U401" s="340" t="n"/>
      <c r="V401" s="340" t="n"/>
      <c r="W401" s="340" t="n"/>
      <c r="X401" s="340" t="n"/>
      <c r="Y401" s="340" t="n"/>
      <c r="Z401" s="340" t="n"/>
      <c r="AA401" s="340" t="n"/>
      <c r="AB401" s="340" t="n"/>
      <c r="AC401" s="340" t="n"/>
      <c r="AD401" s="340" t="n"/>
      <c r="AE401" s="340" t="n"/>
      <c r="AF401" s="340" t="n"/>
      <c r="AG401" s="340" t="n"/>
      <c r="AH401" s="340" t="n"/>
      <c r="AI401" s="340" t="n"/>
      <c r="AJ401" s="340" t="n"/>
      <c r="AK401" s="340" t="n"/>
      <c r="AL401" s="340" t="n"/>
    </row>
    <row r="402" ht="12.75" customHeight="1">
      <c r="K402" s="340" t="n"/>
      <c r="L402" s="340" t="n"/>
      <c r="M402" s="340" t="n"/>
      <c r="N402" s="340" t="n"/>
      <c r="O402" s="340" t="n"/>
      <c r="P402" s="340" t="n"/>
      <c r="Q402" s="340" t="n"/>
      <c r="R402" s="340" t="n"/>
      <c r="S402" s="340" t="n"/>
      <c r="T402" s="340" t="n"/>
      <c r="U402" s="340" t="n"/>
      <c r="V402" s="340" t="n"/>
      <c r="W402" s="340" t="n"/>
      <c r="X402" s="340" t="n"/>
      <c r="Y402" s="340" t="n"/>
      <c r="Z402" s="340" t="n"/>
      <c r="AA402" s="340" t="n"/>
      <c r="AB402" s="340" t="n"/>
      <c r="AC402" s="340" t="n"/>
      <c r="AD402" s="340" t="n"/>
      <c r="AE402" s="340" t="n"/>
      <c r="AF402" s="340" t="n"/>
      <c r="AG402" s="340" t="n"/>
      <c r="AH402" s="340" t="n"/>
      <c r="AI402" s="340" t="n"/>
      <c r="AJ402" s="340" t="n"/>
      <c r="AK402" s="340" t="n"/>
      <c r="AL402" s="340" t="n"/>
    </row>
    <row r="403" ht="12.75" customHeight="1">
      <c r="K403" s="340" t="n"/>
      <c r="L403" s="340" t="n"/>
      <c r="M403" s="340" t="n"/>
      <c r="N403" s="340" t="n"/>
      <c r="O403" s="340" t="n"/>
      <c r="P403" s="340" t="n"/>
      <c r="Q403" s="340" t="n"/>
      <c r="R403" s="340" t="n"/>
      <c r="S403" s="340" t="n"/>
      <c r="T403" s="340" t="n"/>
      <c r="U403" s="340" t="n"/>
      <c r="V403" s="340" t="n"/>
      <c r="W403" s="340" t="n"/>
      <c r="X403" s="340" t="n"/>
      <c r="Y403" s="340" t="n"/>
      <c r="Z403" s="340" t="n"/>
      <c r="AA403" s="340" t="n"/>
      <c r="AB403" s="340" t="n"/>
      <c r="AC403" s="340" t="n"/>
      <c r="AD403" s="340" t="n"/>
      <c r="AE403" s="340" t="n"/>
      <c r="AF403" s="340" t="n"/>
      <c r="AG403" s="340" t="n"/>
      <c r="AH403" s="340" t="n"/>
      <c r="AI403" s="340" t="n"/>
      <c r="AJ403" s="340" t="n"/>
      <c r="AK403" s="340" t="n"/>
      <c r="AL403" s="340" t="n"/>
    </row>
    <row r="404" ht="12.75" customHeight="1">
      <c r="K404" s="340" t="n"/>
      <c r="L404" s="340" t="n"/>
      <c r="M404" s="340" t="n"/>
      <c r="N404" s="340" t="n"/>
      <c r="O404" s="340" t="n"/>
      <c r="P404" s="340" t="n"/>
      <c r="Q404" s="340" t="n"/>
      <c r="R404" s="340" t="n"/>
      <c r="S404" s="340" t="n"/>
      <c r="T404" s="340" t="n"/>
      <c r="U404" s="340" t="n"/>
      <c r="V404" s="340" t="n"/>
      <c r="W404" s="340" t="n"/>
      <c r="X404" s="340" t="n"/>
      <c r="Y404" s="340" t="n"/>
      <c r="Z404" s="340" t="n"/>
      <c r="AA404" s="340" t="n"/>
      <c r="AB404" s="340" t="n"/>
      <c r="AC404" s="340" t="n"/>
      <c r="AD404" s="340" t="n"/>
      <c r="AE404" s="340" t="n"/>
      <c r="AF404" s="340" t="n"/>
      <c r="AG404" s="340" t="n"/>
      <c r="AH404" s="340" t="n"/>
      <c r="AI404" s="340" t="n"/>
      <c r="AJ404" s="340" t="n"/>
      <c r="AK404" s="340" t="n"/>
      <c r="AL404" s="340" t="n"/>
    </row>
    <row r="405" ht="12.75" customHeight="1">
      <c r="K405" s="340" t="n"/>
      <c r="L405" s="340" t="n"/>
      <c r="M405" s="340" t="n"/>
      <c r="N405" s="340" t="n"/>
      <c r="O405" s="340" t="n"/>
      <c r="P405" s="340" t="n"/>
      <c r="Q405" s="340" t="n"/>
      <c r="R405" s="340" t="n"/>
      <c r="S405" s="340" t="n"/>
      <c r="T405" s="340" t="n"/>
      <c r="U405" s="340" t="n"/>
      <c r="V405" s="340" t="n"/>
      <c r="W405" s="340" t="n"/>
      <c r="X405" s="340" t="n"/>
      <c r="Y405" s="340" t="n"/>
      <c r="Z405" s="340" t="n"/>
      <c r="AA405" s="340" t="n"/>
      <c r="AB405" s="340" t="n"/>
      <c r="AC405" s="340" t="n"/>
      <c r="AD405" s="340" t="n"/>
      <c r="AE405" s="340" t="n"/>
      <c r="AF405" s="340" t="n"/>
      <c r="AG405" s="340" t="n"/>
      <c r="AH405" s="340" t="n"/>
      <c r="AI405" s="340" t="n"/>
      <c r="AJ405" s="340" t="n"/>
      <c r="AK405" s="340" t="n"/>
      <c r="AL405" s="340" t="n"/>
    </row>
    <row r="406" ht="12.75" customHeight="1">
      <c r="K406" s="340" t="n"/>
      <c r="L406" s="340" t="n"/>
      <c r="M406" s="340" t="n"/>
      <c r="N406" s="340" t="n"/>
      <c r="O406" s="340" t="n"/>
      <c r="P406" s="340" t="n"/>
      <c r="Q406" s="340" t="n"/>
      <c r="R406" s="340" t="n"/>
      <c r="S406" s="340" t="n"/>
      <c r="T406" s="340" t="n"/>
      <c r="U406" s="340" t="n"/>
      <c r="V406" s="340" t="n"/>
      <c r="W406" s="340" t="n"/>
      <c r="X406" s="340" t="n"/>
      <c r="Y406" s="340" t="n"/>
      <c r="Z406" s="340" t="n"/>
      <c r="AA406" s="340" t="n"/>
      <c r="AB406" s="340" t="n"/>
      <c r="AC406" s="340" t="n"/>
      <c r="AD406" s="340" t="n"/>
      <c r="AE406" s="340" t="n"/>
      <c r="AF406" s="340" t="n"/>
      <c r="AG406" s="340" t="n"/>
      <c r="AH406" s="340" t="n"/>
      <c r="AI406" s="340" t="n"/>
      <c r="AJ406" s="340" t="n"/>
      <c r="AK406" s="340" t="n"/>
      <c r="AL406" s="340" t="n"/>
    </row>
    <row r="407" ht="12.75" customHeight="1">
      <c r="K407" s="340" t="n"/>
      <c r="L407" s="340" t="n"/>
      <c r="M407" s="340" t="n"/>
      <c r="N407" s="340" t="n"/>
      <c r="O407" s="340" t="n"/>
      <c r="P407" s="340" t="n"/>
      <c r="Q407" s="340" t="n"/>
      <c r="R407" s="340" t="n"/>
      <c r="S407" s="340" t="n"/>
      <c r="T407" s="340" t="n"/>
      <c r="U407" s="340" t="n"/>
      <c r="V407" s="340" t="n"/>
      <c r="W407" s="340" t="n"/>
      <c r="X407" s="340" t="n"/>
      <c r="Y407" s="340" t="n"/>
      <c r="Z407" s="340" t="n"/>
      <c r="AA407" s="340" t="n"/>
      <c r="AB407" s="340" t="n"/>
      <c r="AC407" s="340" t="n"/>
      <c r="AD407" s="340" t="n"/>
      <c r="AE407" s="340" t="n"/>
      <c r="AF407" s="340" t="n"/>
      <c r="AG407" s="340" t="n"/>
      <c r="AH407" s="340" t="n"/>
      <c r="AI407" s="340" t="n"/>
      <c r="AJ407" s="340" t="n"/>
      <c r="AK407" s="340" t="n"/>
      <c r="AL407" s="340" t="n"/>
    </row>
    <row r="408" ht="12.75" customHeight="1">
      <c r="K408" s="340" t="n"/>
      <c r="L408" s="340" t="n"/>
      <c r="M408" s="340" t="n"/>
      <c r="N408" s="340" t="n"/>
      <c r="O408" s="340" t="n"/>
      <c r="P408" s="340" t="n"/>
      <c r="Q408" s="340" t="n"/>
      <c r="R408" s="340" t="n"/>
      <c r="S408" s="340" t="n"/>
      <c r="T408" s="340" t="n"/>
      <c r="U408" s="340" t="n"/>
      <c r="V408" s="340" t="n"/>
      <c r="W408" s="340" t="n"/>
      <c r="X408" s="340" t="n"/>
      <c r="Y408" s="340" t="n"/>
      <c r="Z408" s="340" t="n"/>
      <c r="AA408" s="340" t="n"/>
      <c r="AB408" s="340" t="n"/>
      <c r="AC408" s="340" t="n"/>
      <c r="AD408" s="340" t="n"/>
      <c r="AE408" s="340" t="n"/>
      <c r="AF408" s="340" t="n"/>
      <c r="AG408" s="340" t="n"/>
      <c r="AH408" s="340" t="n"/>
      <c r="AI408" s="340" t="n"/>
      <c r="AJ408" s="340" t="n"/>
      <c r="AK408" s="340" t="n"/>
      <c r="AL408" s="340" t="n"/>
    </row>
    <row r="409" ht="12.75" customHeight="1">
      <c r="K409" s="340" t="n"/>
      <c r="L409" s="340" t="n"/>
      <c r="M409" s="340" t="n"/>
      <c r="N409" s="340" t="n"/>
      <c r="O409" s="340" t="n"/>
      <c r="P409" s="340" t="n"/>
      <c r="Q409" s="340" t="n"/>
      <c r="R409" s="340" t="n"/>
      <c r="S409" s="340" t="n"/>
      <c r="T409" s="340" t="n"/>
      <c r="U409" s="340" t="n"/>
      <c r="V409" s="340" t="n"/>
      <c r="W409" s="340" t="n"/>
      <c r="X409" s="340" t="n"/>
      <c r="Y409" s="340" t="n"/>
      <c r="Z409" s="340" t="n"/>
      <c r="AA409" s="340" t="n"/>
      <c r="AB409" s="340" t="n"/>
      <c r="AC409" s="340" t="n"/>
      <c r="AD409" s="340" t="n"/>
      <c r="AE409" s="340" t="n"/>
      <c r="AF409" s="340" t="n"/>
      <c r="AG409" s="340" t="n"/>
      <c r="AH409" s="340" t="n"/>
      <c r="AI409" s="340" t="n"/>
      <c r="AJ409" s="340" t="n"/>
      <c r="AK409" s="340" t="n"/>
      <c r="AL409" s="340" t="n"/>
    </row>
    <row r="410" ht="12.75" customHeight="1">
      <c r="K410" s="340" t="n"/>
      <c r="L410" s="340" t="n"/>
      <c r="M410" s="340" t="n"/>
      <c r="N410" s="340" t="n"/>
      <c r="O410" s="340" t="n"/>
      <c r="P410" s="340" t="n"/>
      <c r="Q410" s="340" t="n"/>
      <c r="R410" s="340" t="n"/>
      <c r="S410" s="340" t="n"/>
      <c r="T410" s="340" t="n"/>
      <c r="U410" s="340" t="n"/>
      <c r="V410" s="340" t="n"/>
      <c r="W410" s="340" t="n"/>
      <c r="X410" s="340" t="n"/>
      <c r="Y410" s="340" t="n"/>
      <c r="Z410" s="340" t="n"/>
      <c r="AA410" s="340" t="n"/>
      <c r="AB410" s="340" t="n"/>
      <c r="AC410" s="340" t="n"/>
      <c r="AD410" s="340" t="n"/>
      <c r="AE410" s="340" t="n"/>
      <c r="AF410" s="340" t="n"/>
      <c r="AG410" s="340" t="n"/>
      <c r="AH410" s="340" t="n"/>
      <c r="AI410" s="340" t="n"/>
      <c r="AJ410" s="340" t="n"/>
      <c r="AK410" s="340" t="n"/>
      <c r="AL410" s="340" t="n"/>
    </row>
    <row r="411" ht="12.75" customHeight="1">
      <c r="K411" s="340" t="n"/>
      <c r="L411" s="340" t="n"/>
      <c r="M411" s="340" t="n"/>
      <c r="N411" s="340" t="n"/>
      <c r="O411" s="340" t="n"/>
      <c r="P411" s="340" t="n"/>
      <c r="Q411" s="340" t="n"/>
      <c r="R411" s="340" t="n"/>
      <c r="S411" s="340" t="n"/>
      <c r="T411" s="340" t="n"/>
      <c r="U411" s="340" t="n"/>
      <c r="V411" s="340" t="n"/>
      <c r="W411" s="340" t="n"/>
      <c r="X411" s="340" t="n"/>
      <c r="Y411" s="340" t="n"/>
      <c r="Z411" s="340" t="n"/>
      <c r="AA411" s="340" t="n"/>
      <c r="AB411" s="340" t="n"/>
      <c r="AC411" s="340" t="n"/>
      <c r="AD411" s="340" t="n"/>
      <c r="AE411" s="340" t="n"/>
      <c r="AF411" s="340" t="n"/>
      <c r="AG411" s="340" t="n"/>
      <c r="AH411" s="340" t="n"/>
      <c r="AI411" s="340" t="n"/>
      <c r="AJ411" s="340" t="n"/>
      <c r="AK411" s="340" t="n"/>
      <c r="AL411" s="340" t="n"/>
    </row>
    <row r="412" ht="12.75" customHeight="1">
      <c r="K412" s="340" t="n"/>
      <c r="L412" s="340" t="n"/>
      <c r="M412" s="340" t="n"/>
      <c r="N412" s="340" t="n"/>
      <c r="O412" s="340" t="n"/>
      <c r="P412" s="340" t="n"/>
      <c r="Q412" s="340" t="n"/>
      <c r="R412" s="340" t="n"/>
      <c r="S412" s="340" t="n"/>
      <c r="T412" s="340" t="n"/>
      <c r="U412" s="340" t="n"/>
      <c r="V412" s="340" t="n"/>
      <c r="W412" s="340" t="n"/>
      <c r="X412" s="340" t="n"/>
      <c r="Y412" s="340" t="n"/>
      <c r="Z412" s="340" t="n"/>
      <c r="AA412" s="340" t="n"/>
      <c r="AB412" s="340" t="n"/>
      <c r="AC412" s="340" t="n"/>
      <c r="AD412" s="340" t="n"/>
      <c r="AE412" s="340" t="n"/>
      <c r="AF412" s="340" t="n"/>
      <c r="AG412" s="340" t="n"/>
      <c r="AH412" s="340" t="n"/>
      <c r="AI412" s="340" t="n"/>
      <c r="AJ412" s="340" t="n"/>
      <c r="AK412" s="340" t="n"/>
      <c r="AL412" s="340" t="n"/>
    </row>
    <row r="413" ht="12.75" customHeight="1">
      <c r="K413" s="340" t="n"/>
      <c r="L413" s="340" t="n"/>
      <c r="M413" s="340" t="n"/>
      <c r="N413" s="340" t="n"/>
      <c r="O413" s="340" t="n"/>
      <c r="P413" s="340" t="n"/>
      <c r="Q413" s="340" t="n"/>
      <c r="R413" s="340" t="n"/>
      <c r="S413" s="340" t="n"/>
      <c r="T413" s="340" t="n"/>
      <c r="U413" s="340" t="n"/>
      <c r="V413" s="340" t="n"/>
      <c r="W413" s="340" t="n"/>
      <c r="X413" s="340" t="n"/>
      <c r="Y413" s="340" t="n"/>
      <c r="Z413" s="340" t="n"/>
      <c r="AA413" s="340" t="n"/>
      <c r="AB413" s="340" t="n"/>
      <c r="AC413" s="340" t="n"/>
      <c r="AD413" s="340" t="n"/>
      <c r="AE413" s="340" t="n"/>
      <c r="AF413" s="340" t="n"/>
      <c r="AG413" s="340" t="n"/>
      <c r="AH413" s="340" t="n"/>
      <c r="AI413" s="340" t="n"/>
      <c r="AJ413" s="340" t="n"/>
      <c r="AK413" s="340" t="n"/>
      <c r="AL413" s="340" t="n"/>
    </row>
    <row r="414" ht="12.75" customHeight="1">
      <c r="K414" s="340" t="n"/>
      <c r="L414" s="340" t="n"/>
      <c r="M414" s="340" t="n"/>
      <c r="N414" s="340" t="n"/>
      <c r="O414" s="340" t="n"/>
      <c r="P414" s="340" t="n"/>
      <c r="Q414" s="340" t="n"/>
      <c r="R414" s="340" t="n"/>
      <c r="S414" s="340" t="n"/>
      <c r="T414" s="340" t="n"/>
      <c r="U414" s="340" t="n"/>
      <c r="V414" s="340" t="n"/>
      <c r="W414" s="340" t="n"/>
      <c r="X414" s="340" t="n"/>
      <c r="Y414" s="340" t="n"/>
      <c r="Z414" s="340" t="n"/>
      <c r="AA414" s="340" t="n"/>
      <c r="AB414" s="340" t="n"/>
      <c r="AC414" s="340" t="n"/>
      <c r="AD414" s="340" t="n"/>
      <c r="AE414" s="340" t="n"/>
      <c r="AF414" s="340" t="n"/>
      <c r="AG414" s="340" t="n"/>
      <c r="AH414" s="340" t="n"/>
      <c r="AI414" s="340" t="n"/>
      <c r="AJ414" s="340" t="n"/>
      <c r="AK414" s="340" t="n"/>
      <c r="AL414" s="340" t="n"/>
    </row>
    <row r="415" ht="12.75" customHeight="1">
      <c r="K415" s="340" t="n"/>
      <c r="L415" s="340" t="n"/>
      <c r="M415" s="340" t="n"/>
      <c r="N415" s="340" t="n"/>
      <c r="O415" s="340" t="n"/>
      <c r="P415" s="340" t="n"/>
      <c r="Q415" s="340" t="n"/>
      <c r="R415" s="340" t="n"/>
      <c r="S415" s="340" t="n"/>
      <c r="T415" s="340" t="n"/>
      <c r="U415" s="340" t="n"/>
      <c r="V415" s="340" t="n"/>
      <c r="W415" s="340" t="n"/>
      <c r="X415" s="340" t="n"/>
      <c r="Y415" s="340" t="n"/>
      <c r="Z415" s="340" t="n"/>
      <c r="AA415" s="340" t="n"/>
      <c r="AB415" s="340" t="n"/>
      <c r="AC415" s="340" t="n"/>
      <c r="AD415" s="340" t="n"/>
      <c r="AE415" s="340" t="n"/>
      <c r="AF415" s="340" t="n"/>
      <c r="AG415" s="340" t="n"/>
      <c r="AH415" s="340" t="n"/>
      <c r="AI415" s="340" t="n"/>
      <c r="AJ415" s="340" t="n"/>
      <c r="AK415" s="340" t="n"/>
      <c r="AL415" s="340" t="n"/>
    </row>
    <row r="416" ht="12.75" customHeight="1">
      <c r="K416" s="340" t="n"/>
      <c r="L416" s="340" t="n"/>
      <c r="M416" s="340" t="n"/>
      <c r="N416" s="340" t="n"/>
      <c r="O416" s="340" t="n"/>
      <c r="P416" s="340" t="n"/>
      <c r="Q416" s="340" t="n"/>
      <c r="R416" s="340" t="n"/>
      <c r="S416" s="340" t="n"/>
      <c r="T416" s="340" t="n"/>
      <c r="U416" s="340" t="n"/>
      <c r="V416" s="340" t="n"/>
      <c r="W416" s="340" t="n"/>
      <c r="X416" s="340" t="n"/>
      <c r="Y416" s="340" t="n"/>
      <c r="Z416" s="340" t="n"/>
      <c r="AA416" s="340" t="n"/>
      <c r="AB416" s="340" t="n"/>
      <c r="AC416" s="340" t="n"/>
      <c r="AD416" s="340" t="n"/>
      <c r="AE416" s="340" t="n"/>
      <c r="AF416" s="340" t="n"/>
      <c r="AG416" s="340" t="n"/>
      <c r="AH416" s="340" t="n"/>
      <c r="AI416" s="340" t="n"/>
      <c r="AJ416" s="340" t="n"/>
      <c r="AK416" s="340" t="n"/>
      <c r="AL416" s="340" t="n"/>
    </row>
    <row r="417" ht="12.75" customHeight="1">
      <c r="K417" s="340" t="n"/>
      <c r="L417" s="340" t="n"/>
      <c r="M417" s="340" t="n"/>
      <c r="N417" s="340" t="n"/>
      <c r="O417" s="340" t="n"/>
      <c r="P417" s="340" t="n"/>
      <c r="Q417" s="340" t="n"/>
      <c r="R417" s="340" t="n"/>
      <c r="S417" s="340" t="n"/>
      <c r="T417" s="340" t="n"/>
      <c r="U417" s="340" t="n"/>
      <c r="V417" s="340" t="n"/>
      <c r="W417" s="340" t="n"/>
      <c r="X417" s="340" t="n"/>
      <c r="Y417" s="340" t="n"/>
      <c r="Z417" s="340" t="n"/>
      <c r="AA417" s="340" t="n"/>
      <c r="AB417" s="340" t="n"/>
      <c r="AC417" s="340" t="n"/>
      <c r="AD417" s="340" t="n"/>
      <c r="AE417" s="340" t="n"/>
      <c r="AF417" s="340" t="n"/>
      <c r="AG417" s="340" t="n"/>
      <c r="AH417" s="340" t="n"/>
      <c r="AI417" s="340" t="n"/>
      <c r="AJ417" s="340" t="n"/>
      <c r="AK417" s="340" t="n"/>
      <c r="AL417" s="340" t="n"/>
    </row>
    <row r="418" ht="12.75" customHeight="1">
      <c r="K418" s="340" t="n"/>
      <c r="L418" s="340" t="n"/>
      <c r="M418" s="340" t="n"/>
      <c r="N418" s="340" t="n"/>
      <c r="O418" s="340" t="n"/>
      <c r="P418" s="340" t="n"/>
      <c r="Q418" s="340" t="n"/>
      <c r="R418" s="340" t="n"/>
      <c r="S418" s="340" t="n"/>
      <c r="T418" s="340" t="n"/>
      <c r="U418" s="340" t="n"/>
      <c r="V418" s="340" t="n"/>
      <c r="W418" s="340" t="n"/>
      <c r="X418" s="340" t="n"/>
      <c r="Y418" s="340" t="n"/>
      <c r="Z418" s="340" t="n"/>
      <c r="AA418" s="340" t="n"/>
      <c r="AB418" s="340" t="n"/>
      <c r="AC418" s="340" t="n"/>
      <c r="AD418" s="340" t="n"/>
      <c r="AE418" s="340" t="n"/>
      <c r="AF418" s="340" t="n"/>
      <c r="AG418" s="340" t="n"/>
      <c r="AH418" s="340" t="n"/>
      <c r="AI418" s="340" t="n"/>
      <c r="AJ418" s="340" t="n"/>
      <c r="AK418" s="340" t="n"/>
      <c r="AL418" s="340" t="n"/>
    </row>
    <row r="419" ht="12.75" customHeight="1">
      <c r="K419" s="340" t="n"/>
      <c r="L419" s="340" t="n"/>
      <c r="M419" s="340" t="n"/>
      <c r="N419" s="340" t="n"/>
      <c r="O419" s="340" t="n"/>
      <c r="P419" s="340" t="n"/>
      <c r="Q419" s="340" t="n"/>
      <c r="R419" s="340" t="n"/>
      <c r="S419" s="340" t="n"/>
      <c r="T419" s="340" t="n"/>
      <c r="U419" s="340" t="n"/>
      <c r="V419" s="340" t="n"/>
      <c r="W419" s="340" t="n"/>
      <c r="X419" s="340" t="n"/>
      <c r="Y419" s="340" t="n"/>
      <c r="Z419" s="340" t="n"/>
      <c r="AA419" s="340" t="n"/>
      <c r="AB419" s="340" t="n"/>
      <c r="AC419" s="340" t="n"/>
      <c r="AD419" s="340" t="n"/>
      <c r="AE419" s="340" t="n"/>
      <c r="AF419" s="340" t="n"/>
      <c r="AG419" s="340" t="n"/>
      <c r="AH419" s="340" t="n"/>
      <c r="AI419" s="340" t="n"/>
      <c r="AJ419" s="340" t="n"/>
      <c r="AK419" s="340" t="n"/>
      <c r="AL419" s="340" t="n"/>
    </row>
    <row r="420" ht="12.75" customHeight="1">
      <c r="K420" s="340" t="n"/>
      <c r="L420" s="340" t="n"/>
      <c r="M420" s="340" t="n"/>
      <c r="N420" s="340" t="n"/>
      <c r="O420" s="340" t="n"/>
      <c r="P420" s="340" t="n"/>
      <c r="Q420" s="340" t="n"/>
      <c r="R420" s="340" t="n"/>
      <c r="S420" s="340" t="n"/>
      <c r="T420" s="340" t="n"/>
      <c r="U420" s="340" t="n"/>
      <c r="V420" s="340" t="n"/>
      <c r="W420" s="340" t="n"/>
      <c r="X420" s="340" t="n"/>
      <c r="Y420" s="340" t="n"/>
      <c r="Z420" s="340" t="n"/>
      <c r="AA420" s="340" t="n"/>
      <c r="AB420" s="340" t="n"/>
      <c r="AC420" s="340" t="n"/>
      <c r="AD420" s="340" t="n"/>
      <c r="AE420" s="340" t="n"/>
      <c r="AF420" s="340" t="n"/>
      <c r="AG420" s="340" t="n"/>
      <c r="AH420" s="340" t="n"/>
      <c r="AI420" s="340" t="n"/>
      <c r="AJ420" s="340" t="n"/>
      <c r="AK420" s="340" t="n"/>
      <c r="AL420" s="340" t="n"/>
    </row>
    <row r="421" ht="12.75" customHeight="1">
      <c r="K421" s="340" t="n"/>
      <c r="L421" s="340" t="n"/>
      <c r="M421" s="340" t="n"/>
      <c r="N421" s="340" t="n"/>
      <c r="O421" s="340" t="n"/>
      <c r="P421" s="340" t="n"/>
      <c r="Q421" s="340" t="n"/>
      <c r="R421" s="340" t="n"/>
      <c r="S421" s="340" t="n"/>
      <c r="T421" s="340" t="n"/>
      <c r="U421" s="340" t="n"/>
      <c r="V421" s="340" t="n"/>
      <c r="W421" s="340" t="n"/>
      <c r="X421" s="340" t="n"/>
      <c r="Y421" s="340" t="n"/>
      <c r="Z421" s="340" t="n"/>
      <c r="AA421" s="340" t="n"/>
      <c r="AB421" s="340" t="n"/>
      <c r="AC421" s="340" t="n"/>
      <c r="AD421" s="340" t="n"/>
      <c r="AE421" s="340" t="n"/>
      <c r="AF421" s="340" t="n"/>
      <c r="AG421" s="340" t="n"/>
      <c r="AH421" s="340" t="n"/>
      <c r="AI421" s="340" t="n"/>
      <c r="AJ421" s="340" t="n"/>
      <c r="AK421" s="340" t="n"/>
      <c r="AL421" s="340" t="n"/>
    </row>
    <row r="422" ht="12.75" customHeight="1">
      <c r="K422" s="340" t="n"/>
      <c r="L422" s="340" t="n"/>
      <c r="M422" s="340" t="n"/>
      <c r="N422" s="340" t="n"/>
      <c r="O422" s="340" t="n"/>
      <c r="P422" s="340" t="n"/>
      <c r="Q422" s="340" t="n"/>
      <c r="R422" s="340" t="n"/>
      <c r="S422" s="340" t="n"/>
      <c r="T422" s="340" t="n"/>
      <c r="U422" s="340" t="n"/>
      <c r="V422" s="340" t="n"/>
      <c r="W422" s="340" t="n"/>
      <c r="X422" s="340" t="n"/>
      <c r="Y422" s="340" t="n"/>
      <c r="Z422" s="340" t="n"/>
      <c r="AA422" s="340" t="n"/>
      <c r="AB422" s="340" t="n"/>
      <c r="AC422" s="340" t="n"/>
      <c r="AD422" s="340" t="n"/>
      <c r="AE422" s="340" t="n"/>
      <c r="AF422" s="340" t="n"/>
      <c r="AG422" s="340" t="n"/>
      <c r="AH422" s="340" t="n"/>
      <c r="AI422" s="340" t="n"/>
      <c r="AJ422" s="340" t="n"/>
      <c r="AK422" s="340" t="n"/>
      <c r="AL422" s="340" t="n"/>
    </row>
    <row r="423" ht="12.75" customHeight="1">
      <c r="K423" s="340" t="n"/>
      <c r="L423" s="340" t="n"/>
      <c r="M423" s="340" t="n"/>
      <c r="N423" s="340" t="n"/>
      <c r="O423" s="340" t="n"/>
      <c r="P423" s="340" t="n"/>
      <c r="Q423" s="340" t="n"/>
      <c r="R423" s="340" t="n"/>
      <c r="S423" s="340" t="n"/>
      <c r="T423" s="340" t="n"/>
      <c r="U423" s="340" t="n"/>
      <c r="V423" s="340" t="n"/>
      <c r="W423" s="340" t="n"/>
      <c r="X423" s="340" t="n"/>
      <c r="Y423" s="340" t="n"/>
      <c r="Z423" s="340" t="n"/>
      <c r="AA423" s="340" t="n"/>
      <c r="AB423" s="340" t="n"/>
      <c r="AC423" s="340" t="n"/>
      <c r="AD423" s="340" t="n"/>
      <c r="AE423" s="340" t="n"/>
      <c r="AF423" s="340" t="n"/>
      <c r="AG423" s="340" t="n"/>
      <c r="AH423" s="340" t="n"/>
      <c r="AI423" s="340" t="n"/>
      <c r="AJ423" s="340" t="n"/>
      <c r="AK423" s="340" t="n"/>
      <c r="AL423" s="340" t="n"/>
    </row>
    <row r="424" ht="12.75" customHeight="1">
      <c r="K424" s="340" t="n"/>
      <c r="L424" s="340" t="n"/>
      <c r="M424" s="340" t="n"/>
      <c r="N424" s="340" t="n"/>
      <c r="O424" s="340" t="n"/>
      <c r="P424" s="340" t="n"/>
      <c r="Q424" s="340" t="n"/>
      <c r="R424" s="340" t="n"/>
      <c r="S424" s="340" t="n"/>
      <c r="T424" s="340" t="n"/>
      <c r="U424" s="340" t="n"/>
      <c r="V424" s="340" t="n"/>
      <c r="W424" s="340" t="n"/>
      <c r="X424" s="340" t="n"/>
      <c r="Y424" s="340" t="n"/>
      <c r="Z424" s="340" t="n"/>
      <c r="AA424" s="340" t="n"/>
      <c r="AB424" s="340" t="n"/>
      <c r="AC424" s="340" t="n"/>
      <c r="AD424" s="340" t="n"/>
      <c r="AE424" s="340" t="n"/>
      <c r="AF424" s="340" t="n"/>
      <c r="AG424" s="340" t="n"/>
      <c r="AH424" s="340" t="n"/>
      <c r="AI424" s="340" t="n"/>
      <c r="AJ424" s="340" t="n"/>
      <c r="AK424" s="340" t="n"/>
      <c r="AL424" s="340" t="n"/>
    </row>
    <row r="425" ht="12.75" customHeight="1">
      <c r="K425" s="340" t="n"/>
      <c r="L425" s="340" t="n"/>
      <c r="M425" s="340" t="n"/>
      <c r="N425" s="340" t="n"/>
      <c r="O425" s="340" t="n"/>
      <c r="P425" s="340" t="n"/>
      <c r="Q425" s="340" t="n"/>
      <c r="R425" s="340" t="n"/>
      <c r="S425" s="340" t="n"/>
      <c r="T425" s="340" t="n"/>
      <c r="U425" s="340" t="n"/>
      <c r="V425" s="340" t="n"/>
      <c r="W425" s="340" t="n"/>
      <c r="X425" s="340" t="n"/>
      <c r="Y425" s="340" t="n"/>
      <c r="Z425" s="340" t="n"/>
      <c r="AA425" s="340" t="n"/>
      <c r="AB425" s="340" t="n"/>
      <c r="AC425" s="340" t="n"/>
      <c r="AD425" s="340" t="n"/>
      <c r="AE425" s="340" t="n"/>
      <c r="AF425" s="340" t="n"/>
      <c r="AG425" s="340" t="n"/>
      <c r="AH425" s="340" t="n"/>
      <c r="AI425" s="340" t="n"/>
      <c r="AJ425" s="340" t="n"/>
      <c r="AK425" s="340" t="n"/>
      <c r="AL425" s="340" t="n"/>
    </row>
    <row r="426" ht="12.75" customHeight="1">
      <c r="K426" s="340" t="n"/>
      <c r="L426" s="340" t="n"/>
      <c r="M426" s="340" t="n"/>
      <c r="N426" s="340" t="n"/>
      <c r="O426" s="340" t="n"/>
      <c r="P426" s="340" t="n"/>
      <c r="Q426" s="340" t="n"/>
      <c r="R426" s="340" t="n"/>
      <c r="S426" s="340" t="n"/>
      <c r="T426" s="340" t="n"/>
      <c r="U426" s="340" t="n"/>
      <c r="V426" s="340" t="n"/>
      <c r="W426" s="340" t="n"/>
      <c r="X426" s="340" t="n"/>
      <c r="Y426" s="340" t="n"/>
      <c r="Z426" s="340" t="n"/>
      <c r="AA426" s="340" t="n"/>
      <c r="AB426" s="340" t="n"/>
      <c r="AC426" s="340" t="n"/>
      <c r="AD426" s="340" t="n"/>
      <c r="AE426" s="340" t="n"/>
      <c r="AF426" s="340" t="n"/>
      <c r="AG426" s="340" t="n"/>
      <c r="AH426" s="340" t="n"/>
      <c r="AI426" s="340" t="n"/>
      <c r="AJ426" s="340" t="n"/>
      <c r="AK426" s="340" t="n"/>
      <c r="AL426" s="340" t="n"/>
    </row>
    <row r="427" ht="12.75" customHeight="1">
      <c r="K427" s="340" t="n"/>
      <c r="L427" s="340" t="n"/>
      <c r="M427" s="340" t="n"/>
      <c r="N427" s="340" t="n"/>
      <c r="O427" s="340" t="n"/>
      <c r="P427" s="340" t="n"/>
      <c r="Q427" s="340" t="n"/>
      <c r="R427" s="340" t="n"/>
      <c r="S427" s="340" t="n"/>
      <c r="T427" s="340" t="n"/>
      <c r="U427" s="340" t="n"/>
      <c r="V427" s="340" t="n"/>
      <c r="W427" s="340" t="n"/>
      <c r="X427" s="340" t="n"/>
      <c r="Y427" s="340" t="n"/>
      <c r="Z427" s="340" t="n"/>
      <c r="AA427" s="340" t="n"/>
      <c r="AB427" s="340" t="n"/>
      <c r="AC427" s="340" t="n"/>
      <c r="AD427" s="340" t="n"/>
      <c r="AE427" s="340" t="n"/>
      <c r="AF427" s="340" t="n"/>
      <c r="AG427" s="340" t="n"/>
      <c r="AH427" s="340" t="n"/>
      <c r="AI427" s="340" t="n"/>
      <c r="AJ427" s="340" t="n"/>
      <c r="AK427" s="340" t="n"/>
      <c r="AL427" s="340" t="n"/>
    </row>
    <row r="428" ht="12.75" customHeight="1">
      <c r="K428" s="340" t="n"/>
      <c r="L428" s="340" t="n"/>
      <c r="M428" s="340" t="n"/>
      <c r="N428" s="340" t="n"/>
      <c r="O428" s="340" t="n"/>
      <c r="P428" s="340" t="n"/>
      <c r="Q428" s="340" t="n"/>
      <c r="R428" s="340" t="n"/>
      <c r="S428" s="340" t="n"/>
      <c r="T428" s="340" t="n"/>
      <c r="U428" s="340" t="n"/>
      <c r="V428" s="340" t="n"/>
      <c r="W428" s="340" t="n"/>
      <c r="X428" s="340" t="n"/>
      <c r="Y428" s="340" t="n"/>
      <c r="Z428" s="340" t="n"/>
      <c r="AA428" s="340" t="n"/>
      <c r="AB428" s="340" t="n"/>
      <c r="AC428" s="340" t="n"/>
      <c r="AD428" s="340" t="n"/>
      <c r="AE428" s="340" t="n"/>
      <c r="AF428" s="340" t="n"/>
      <c r="AG428" s="340" t="n"/>
      <c r="AH428" s="340" t="n"/>
      <c r="AI428" s="340" t="n"/>
      <c r="AJ428" s="340" t="n"/>
      <c r="AK428" s="340" t="n"/>
      <c r="AL428" s="340" t="n"/>
    </row>
    <row r="429" ht="12.75" customHeight="1">
      <c r="K429" s="340" t="n"/>
      <c r="L429" s="340" t="n"/>
      <c r="M429" s="340" t="n"/>
      <c r="N429" s="340" t="n"/>
      <c r="O429" s="340" t="n"/>
      <c r="P429" s="340" t="n"/>
      <c r="Q429" s="340" t="n"/>
      <c r="R429" s="340" t="n"/>
      <c r="S429" s="340" t="n"/>
      <c r="T429" s="340" t="n"/>
      <c r="U429" s="340" t="n"/>
      <c r="V429" s="340" t="n"/>
      <c r="W429" s="340" t="n"/>
      <c r="X429" s="340" t="n"/>
      <c r="Y429" s="340" t="n"/>
      <c r="Z429" s="340" t="n"/>
      <c r="AA429" s="340" t="n"/>
      <c r="AB429" s="340" t="n"/>
      <c r="AC429" s="340" t="n"/>
      <c r="AD429" s="340" t="n"/>
      <c r="AE429" s="340" t="n"/>
      <c r="AF429" s="340" t="n"/>
      <c r="AG429" s="340" t="n"/>
      <c r="AH429" s="340" t="n"/>
      <c r="AI429" s="340" t="n"/>
      <c r="AJ429" s="340" t="n"/>
      <c r="AK429" s="340" t="n"/>
      <c r="AL429" s="340" t="n"/>
    </row>
    <row r="430" ht="12.75" customHeight="1">
      <c r="K430" s="340" t="n"/>
      <c r="L430" s="340" t="n"/>
      <c r="M430" s="340" t="n"/>
      <c r="N430" s="340" t="n"/>
      <c r="O430" s="340" t="n"/>
      <c r="P430" s="340" t="n"/>
      <c r="Q430" s="340" t="n"/>
      <c r="R430" s="340" t="n"/>
      <c r="S430" s="340" t="n"/>
      <c r="T430" s="340" t="n"/>
      <c r="U430" s="340" t="n"/>
      <c r="V430" s="340" t="n"/>
      <c r="W430" s="340" t="n"/>
      <c r="X430" s="340" t="n"/>
      <c r="Y430" s="340" t="n"/>
      <c r="Z430" s="340" t="n"/>
      <c r="AA430" s="340" t="n"/>
      <c r="AB430" s="340" t="n"/>
      <c r="AC430" s="340" t="n"/>
      <c r="AD430" s="340" t="n"/>
      <c r="AE430" s="340" t="n"/>
      <c r="AF430" s="340" t="n"/>
      <c r="AG430" s="340" t="n"/>
      <c r="AH430" s="340" t="n"/>
      <c r="AI430" s="340" t="n"/>
      <c r="AJ430" s="340" t="n"/>
      <c r="AK430" s="340" t="n"/>
      <c r="AL430" s="340" t="n"/>
    </row>
    <row r="431" ht="12.75" customHeight="1">
      <c r="K431" s="340" t="n"/>
      <c r="L431" s="340" t="n"/>
      <c r="M431" s="340" t="n"/>
      <c r="N431" s="340" t="n"/>
      <c r="O431" s="340" t="n"/>
      <c r="P431" s="340" t="n"/>
      <c r="Q431" s="340" t="n"/>
      <c r="R431" s="340" t="n"/>
      <c r="S431" s="340" t="n"/>
      <c r="T431" s="340" t="n"/>
      <c r="U431" s="340" t="n"/>
      <c r="V431" s="340" t="n"/>
      <c r="W431" s="340" t="n"/>
      <c r="X431" s="340" t="n"/>
      <c r="Y431" s="340" t="n"/>
      <c r="Z431" s="340" t="n"/>
      <c r="AA431" s="340" t="n"/>
      <c r="AB431" s="340" t="n"/>
      <c r="AC431" s="340" t="n"/>
      <c r="AD431" s="340" t="n"/>
      <c r="AE431" s="340" t="n"/>
      <c r="AF431" s="340" t="n"/>
      <c r="AG431" s="340" t="n"/>
      <c r="AH431" s="340" t="n"/>
      <c r="AI431" s="340" t="n"/>
      <c r="AJ431" s="340" t="n"/>
      <c r="AK431" s="340" t="n"/>
      <c r="AL431" s="340" t="n"/>
    </row>
    <row r="432" ht="12.75" customHeight="1">
      <c r="K432" s="340" t="n"/>
      <c r="L432" s="340" t="n"/>
      <c r="M432" s="340" t="n"/>
      <c r="N432" s="340" t="n"/>
      <c r="O432" s="340" t="n"/>
      <c r="P432" s="340" t="n"/>
      <c r="Q432" s="340" t="n"/>
      <c r="R432" s="340" t="n"/>
      <c r="S432" s="340" t="n"/>
      <c r="T432" s="340" t="n"/>
      <c r="U432" s="340" t="n"/>
      <c r="V432" s="340" t="n"/>
      <c r="W432" s="340" t="n"/>
      <c r="X432" s="340" t="n"/>
      <c r="Y432" s="340" t="n"/>
      <c r="Z432" s="340" t="n"/>
      <c r="AA432" s="340" t="n"/>
      <c r="AB432" s="340" t="n"/>
      <c r="AC432" s="340" t="n"/>
      <c r="AD432" s="340" t="n"/>
      <c r="AE432" s="340" t="n"/>
      <c r="AF432" s="340" t="n"/>
      <c r="AG432" s="340" t="n"/>
      <c r="AH432" s="340" t="n"/>
      <c r="AI432" s="340" t="n"/>
      <c r="AJ432" s="340" t="n"/>
      <c r="AK432" s="340" t="n"/>
      <c r="AL432" s="340" t="n"/>
    </row>
    <row r="433" ht="12.75" customHeight="1">
      <c r="K433" s="340" t="n"/>
      <c r="L433" s="340" t="n"/>
      <c r="M433" s="340" t="n"/>
      <c r="N433" s="340" t="n"/>
      <c r="O433" s="340" t="n"/>
      <c r="P433" s="340" t="n"/>
      <c r="Q433" s="340" t="n"/>
      <c r="R433" s="340" t="n"/>
      <c r="S433" s="340" t="n"/>
      <c r="T433" s="340" t="n"/>
      <c r="U433" s="340" t="n"/>
      <c r="V433" s="340" t="n"/>
      <c r="W433" s="340" t="n"/>
      <c r="X433" s="340" t="n"/>
      <c r="Y433" s="340" t="n"/>
      <c r="Z433" s="340" t="n"/>
      <c r="AA433" s="340" t="n"/>
      <c r="AB433" s="340" t="n"/>
      <c r="AC433" s="340" t="n"/>
      <c r="AD433" s="340" t="n"/>
      <c r="AE433" s="340" t="n"/>
      <c r="AF433" s="340" t="n"/>
      <c r="AG433" s="340" t="n"/>
      <c r="AH433" s="340" t="n"/>
      <c r="AI433" s="340" t="n"/>
      <c r="AJ433" s="340" t="n"/>
      <c r="AK433" s="340" t="n"/>
      <c r="AL433" s="340" t="n"/>
    </row>
    <row r="434" ht="12.75" customHeight="1">
      <c r="K434" s="340" t="n"/>
      <c r="L434" s="340" t="n"/>
      <c r="M434" s="340" t="n"/>
      <c r="N434" s="340" t="n"/>
      <c r="O434" s="340" t="n"/>
      <c r="P434" s="340" t="n"/>
      <c r="Q434" s="340" t="n"/>
      <c r="R434" s="340" t="n"/>
      <c r="S434" s="340" t="n"/>
      <c r="T434" s="340" t="n"/>
      <c r="U434" s="340" t="n"/>
      <c r="V434" s="340" t="n"/>
      <c r="W434" s="340" t="n"/>
      <c r="X434" s="340" t="n"/>
      <c r="Y434" s="340" t="n"/>
      <c r="Z434" s="340" t="n"/>
      <c r="AA434" s="340" t="n"/>
      <c r="AB434" s="340" t="n"/>
      <c r="AC434" s="340" t="n"/>
      <c r="AD434" s="340" t="n"/>
      <c r="AE434" s="340" t="n"/>
      <c r="AF434" s="340" t="n"/>
      <c r="AG434" s="340" t="n"/>
      <c r="AH434" s="340" t="n"/>
      <c r="AI434" s="340" t="n"/>
      <c r="AJ434" s="340" t="n"/>
      <c r="AK434" s="340" t="n"/>
      <c r="AL434" s="340" t="n"/>
    </row>
    <row r="435" ht="12.75" customHeight="1">
      <c r="K435" s="340" t="n"/>
      <c r="L435" s="340" t="n"/>
      <c r="M435" s="340" t="n"/>
      <c r="N435" s="340" t="n"/>
      <c r="O435" s="340" t="n"/>
      <c r="P435" s="340" t="n"/>
      <c r="Q435" s="340" t="n"/>
      <c r="R435" s="340" t="n"/>
      <c r="S435" s="340" t="n"/>
      <c r="T435" s="340" t="n"/>
      <c r="U435" s="340" t="n"/>
      <c r="V435" s="340" t="n"/>
      <c r="W435" s="340" t="n"/>
      <c r="X435" s="340" t="n"/>
      <c r="Y435" s="340" t="n"/>
      <c r="Z435" s="340" t="n"/>
      <c r="AA435" s="340" t="n"/>
      <c r="AB435" s="340" t="n"/>
      <c r="AC435" s="340" t="n"/>
      <c r="AD435" s="340" t="n"/>
      <c r="AE435" s="340" t="n"/>
      <c r="AF435" s="340" t="n"/>
      <c r="AG435" s="340" t="n"/>
      <c r="AH435" s="340" t="n"/>
      <c r="AI435" s="340" t="n"/>
      <c r="AJ435" s="340" t="n"/>
      <c r="AK435" s="340" t="n"/>
      <c r="AL435" s="340" t="n"/>
    </row>
    <row r="436" ht="12.75" customHeight="1">
      <c r="K436" s="340" t="n"/>
      <c r="L436" s="340" t="n"/>
      <c r="M436" s="340" t="n"/>
      <c r="N436" s="340" t="n"/>
      <c r="O436" s="340" t="n"/>
      <c r="P436" s="340" t="n"/>
      <c r="Q436" s="340" t="n"/>
      <c r="R436" s="340" t="n"/>
      <c r="S436" s="340" t="n"/>
      <c r="T436" s="340" t="n"/>
      <c r="U436" s="340" t="n"/>
      <c r="V436" s="340" t="n"/>
      <c r="W436" s="340" t="n"/>
      <c r="X436" s="340" t="n"/>
      <c r="Y436" s="340" t="n"/>
      <c r="Z436" s="340" t="n"/>
      <c r="AA436" s="340" t="n"/>
      <c r="AB436" s="340" t="n"/>
      <c r="AC436" s="340" t="n"/>
      <c r="AD436" s="340" t="n"/>
      <c r="AE436" s="340" t="n"/>
      <c r="AF436" s="340" t="n"/>
      <c r="AG436" s="340" t="n"/>
      <c r="AH436" s="340" t="n"/>
      <c r="AI436" s="340" t="n"/>
      <c r="AJ436" s="340" t="n"/>
      <c r="AK436" s="340" t="n"/>
      <c r="AL436" s="340" t="n"/>
    </row>
    <row r="437" ht="12.75" customHeight="1">
      <c r="K437" s="340" t="n"/>
      <c r="L437" s="340" t="n"/>
      <c r="M437" s="340" t="n"/>
      <c r="N437" s="340" t="n"/>
      <c r="O437" s="340" t="n"/>
      <c r="P437" s="340" t="n"/>
      <c r="Q437" s="340" t="n"/>
      <c r="R437" s="340" t="n"/>
      <c r="S437" s="340" t="n"/>
      <c r="T437" s="340" t="n"/>
      <c r="U437" s="340" t="n"/>
      <c r="V437" s="340" t="n"/>
      <c r="W437" s="340" t="n"/>
      <c r="X437" s="340" t="n"/>
      <c r="Y437" s="340" t="n"/>
      <c r="Z437" s="340" t="n"/>
      <c r="AA437" s="340" t="n"/>
      <c r="AB437" s="340" t="n"/>
      <c r="AC437" s="340" t="n"/>
      <c r="AD437" s="340" t="n"/>
      <c r="AE437" s="340" t="n"/>
      <c r="AF437" s="340" t="n"/>
      <c r="AG437" s="340" t="n"/>
      <c r="AH437" s="340" t="n"/>
      <c r="AI437" s="340" t="n"/>
      <c r="AJ437" s="340" t="n"/>
      <c r="AK437" s="340" t="n"/>
      <c r="AL437" s="340" t="n"/>
    </row>
    <row r="438" ht="12.75" customHeight="1">
      <c r="K438" s="340" t="n"/>
      <c r="L438" s="340" t="n"/>
      <c r="M438" s="340" t="n"/>
      <c r="N438" s="340" t="n"/>
      <c r="O438" s="340" t="n"/>
      <c r="P438" s="340" t="n"/>
      <c r="Q438" s="340" t="n"/>
      <c r="R438" s="340" t="n"/>
      <c r="S438" s="340" t="n"/>
      <c r="T438" s="340" t="n"/>
      <c r="U438" s="340" t="n"/>
      <c r="V438" s="340" t="n"/>
      <c r="W438" s="340" t="n"/>
      <c r="X438" s="340" t="n"/>
      <c r="Y438" s="340" t="n"/>
      <c r="Z438" s="340" t="n"/>
      <c r="AA438" s="340" t="n"/>
      <c r="AB438" s="340" t="n"/>
      <c r="AC438" s="340" t="n"/>
      <c r="AD438" s="340" t="n"/>
      <c r="AE438" s="340" t="n"/>
      <c r="AF438" s="340" t="n"/>
      <c r="AG438" s="340" t="n"/>
      <c r="AH438" s="340" t="n"/>
      <c r="AI438" s="340" t="n"/>
      <c r="AJ438" s="340" t="n"/>
      <c r="AK438" s="340" t="n"/>
      <c r="AL438" s="340" t="n"/>
    </row>
    <row r="439" ht="12.75" customHeight="1">
      <c r="K439" s="340" t="n"/>
      <c r="L439" s="340" t="n"/>
      <c r="M439" s="340" t="n"/>
      <c r="N439" s="340" t="n"/>
      <c r="O439" s="340" t="n"/>
      <c r="P439" s="340" t="n"/>
      <c r="Q439" s="340" t="n"/>
      <c r="R439" s="340" t="n"/>
      <c r="S439" s="340" t="n"/>
      <c r="T439" s="340" t="n"/>
      <c r="U439" s="340" t="n"/>
      <c r="V439" s="340" t="n"/>
      <c r="W439" s="340" t="n"/>
      <c r="X439" s="340" t="n"/>
      <c r="Y439" s="340" t="n"/>
      <c r="Z439" s="340" t="n"/>
      <c r="AA439" s="340" t="n"/>
      <c r="AB439" s="340" t="n"/>
      <c r="AC439" s="340" t="n"/>
      <c r="AD439" s="340" t="n"/>
      <c r="AE439" s="340" t="n"/>
      <c r="AF439" s="340" t="n"/>
      <c r="AG439" s="340" t="n"/>
      <c r="AH439" s="340" t="n"/>
      <c r="AI439" s="340" t="n"/>
      <c r="AJ439" s="340" t="n"/>
      <c r="AK439" s="340" t="n"/>
      <c r="AL439" s="340" t="n"/>
    </row>
    <row r="440" ht="12.75" customHeight="1">
      <c r="K440" s="340" t="n"/>
      <c r="L440" s="340" t="n"/>
      <c r="M440" s="340" t="n"/>
      <c r="N440" s="340" t="n"/>
      <c r="O440" s="340" t="n"/>
      <c r="P440" s="340" t="n"/>
      <c r="Q440" s="340" t="n"/>
      <c r="R440" s="340" t="n"/>
      <c r="S440" s="340" t="n"/>
      <c r="T440" s="340" t="n"/>
      <c r="U440" s="340" t="n"/>
      <c r="V440" s="340" t="n"/>
      <c r="W440" s="340" t="n"/>
      <c r="X440" s="340" t="n"/>
      <c r="Y440" s="340" t="n"/>
      <c r="Z440" s="340" t="n"/>
      <c r="AA440" s="340" t="n"/>
      <c r="AB440" s="340" t="n"/>
      <c r="AC440" s="340" t="n"/>
      <c r="AD440" s="340" t="n"/>
      <c r="AE440" s="340" t="n"/>
      <c r="AF440" s="340" t="n"/>
      <c r="AG440" s="340" t="n"/>
      <c r="AH440" s="340" t="n"/>
      <c r="AI440" s="340" t="n"/>
      <c r="AJ440" s="340" t="n"/>
      <c r="AK440" s="340" t="n"/>
      <c r="AL440" s="340" t="n"/>
    </row>
    <row r="441" ht="12.75" customHeight="1">
      <c r="K441" s="340" t="n"/>
      <c r="L441" s="340" t="n"/>
      <c r="M441" s="340" t="n"/>
      <c r="N441" s="340" t="n"/>
      <c r="O441" s="340" t="n"/>
      <c r="P441" s="340" t="n"/>
      <c r="Q441" s="340" t="n"/>
      <c r="R441" s="340" t="n"/>
      <c r="S441" s="340" t="n"/>
      <c r="T441" s="340" t="n"/>
      <c r="U441" s="340" t="n"/>
      <c r="V441" s="340" t="n"/>
      <c r="W441" s="340" t="n"/>
      <c r="X441" s="340" t="n"/>
      <c r="Y441" s="340" t="n"/>
      <c r="Z441" s="340" t="n"/>
      <c r="AA441" s="340" t="n"/>
      <c r="AB441" s="340" t="n"/>
      <c r="AC441" s="340" t="n"/>
      <c r="AD441" s="340" t="n"/>
      <c r="AE441" s="340" t="n"/>
      <c r="AF441" s="340" t="n"/>
      <c r="AG441" s="340" t="n"/>
      <c r="AH441" s="340" t="n"/>
      <c r="AI441" s="340" t="n"/>
      <c r="AJ441" s="340" t="n"/>
      <c r="AK441" s="340" t="n"/>
      <c r="AL441" s="340" t="n"/>
    </row>
    <row r="442" ht="12.75" customHeight="1">
      <c r="K442" s="340" t="n"/>
      <c r="L442" s="340" t="n"/>
      <c r="M442" s="340" t="n"/>
      <c r="N442" s="340" t="n"/>
      <c r="O442" s="340" t="n"/>
      <c r="P442" s="340" t="n"/>
      <c r="Q442" s="340" t="n"/>
      <c r="R442" s="340" t="n"/>
      <c r="S442" s="340" t="n"/>
      <c r="T442" s="340" t="n"/>
      <c r="U442" s="340" t="n"/>
      <c r="V442" s="340" t="n"/>
      <c r="W442" s="340" t="n"/>
      <c r="X442" s="340" t="n"/>
      <c r="Y442" s="340" t="n"/>
      <c r="Z442" s="340" t="n"/>
      <c r="AA442" s="340" t="n"/>
      <c r="AB442" s="340" t="n"/>
      <c r="AC442" s="340" t="n"/>
      <c r="AD442" s="340" t="n"/>
      <c r="AE442" s="340" t="n"/>
      <c r="AF442" s="340" t="n"/>
      <c r="AG442" s="340" t="n"/>
      <c r="AH442" s="340" t="n"/>
      <c r="AI442" s="340" t="n"/>
      <c r="AJ442" s="340" t="n"/>
      <c r="AK442" s="340" t="n"/>
      <c r="AL442" s="340" t="n"/>
    </row>
    <row r="443" ht="12.75" customHeight="1">
      <c r="K443" s="340" t="n"/>
      <c r="L443" s="340" t="n"/>
      <c r="M443" s="340" t="n"/>
      <c r="N443" s="340" t="n"/>
      <c r="O443" s="340" t="n"/>
      <c r="P443" s="340" t="n"/>
      <c r="Q443" s="340" t="n"/>
      <c r="R443" s="340" t="n"/>
      <c r="S443" s="340" t="n"/>
      <c r="T443" s="340" t="n"/>
      <c r="U443" s="340" t="n"/>
      <c r="V443" s="340" t="n"/>
      <c r="W443" s="340" t="n"/>
      <c r="X443" s="340" t="n"/>
      <c r="Y443" s="340" t="n"/>
      <c r="Z443" s="340" t="n"/>
      <c r="AA443" s="340" t="n"/>
      <c r="AB443" s="340" t="n"/>
      <c r="AC443" s="340" t="n"/>
      <c r="AD443" s="340" t="n"/>
      <c r="AE443" s="340" t="n"/>
      <c r="AF443" s="340" t="n"/>
      <c r="AG443" s="340" t="n"/>
      <c r="AH443" s="340" t="n"/>
      <c r="AI443" s="340" t="n"/>
      <c r="AJ443" s="340" t="n"/>
      <c r="AK443" s="340" t="n"/>
      <c r="AL443" s="340" t="n"/>
    </row>
    <row r="444" ht="12.75" customHeight="1">
      <c r="K444" s="340" t="n"/>
      <c r="L444" s="340" t="n"/>
      <c r="M444" s="340" t="n"/>
      <c r="N444" s="340" t="n"/>
      <c r="O444" s="340" t="n"/>
      <c r="P444" s="340" t="n"/>
      <c r="Q444" s="340" t="n"/>
      <c r="R444" s="340" t="n"/>
      <c r="S444" s="340" t="n"/>
      <c r="T444" s="340" t="n"/>
      <c r="U444" s="340" t="n"/>
      <c r="V444" s="340" t="n"/>
      <c r="W444" s="340" t="n"/>
      <c r="X444" s="340" t="n"/>
      <c r="Y444" s="340" t="n"/>
      <c r="Z444" s="340" t="n"/>
      <c r="AA444" s="340" t="n"/>
      <c r="AB444" s="340" t="n"/>
      <c r="AC444" s="340" t="n"/>
      <c r="AD444" s="340" t="n"/>
      <c r="AE444" s="340" t="n"/>
      <c r="AF444" s="340" t="n"/>
      <c r="AG444" s="340" t="n"/>
      <c r="AH444" s="340" t="n"/>
      <c r="AI444" s="340" t="n"/>
      <c r="AJ444" s="340" t="n"/>
      <c r="AK444" s="340" t="n"/>
      <c r="AL444" s="340" t="n"/>
    </row>
    <row r="445" ht="12.75" customHeight="1">
      <c r="K445" s="340" t="n"/>
      <c r="L445" s="340" t="n"/>
      <c r="M445" s="340" t="n"/>
      <c r="N445" s="340" t="n"/>
      <c r="O445" s="340" t="n"/>
      <c r="P445" s="340" t="n"/>
      <c r="Q445" s="340" t="n"/>
      <c r="R445" s="340" t="n"/>
      <c r="S445" s="340" t="n"/>
      <c r="T445" s="340" t="n"/>
      <c r="U445" s="340" t="n"/>
      <c r="V445" s="340" t="n"/>
      <c r="W445" s="340" t="n"/>
      <c r="X445" s="340" t="n"/>
      <c r="Y445" s="340" t="n"/>
      <c r="Z445" s="340" t="n"/>
      <c r="AA445" s="340" t="n"/>
      <c r="AB445" s="340" t="n"/>
      <c r="AC445" s="340" t="n"/>
      <c r="AD445" s="340" t="n"/>
      <c r="AE445" s="340" t="n"/>
      <c r="AF445" s="340" t="n"/>
      <c r="AG445" s="340" t="n"/>
      <c r="AH445" s="340" t="n"/>
      <c r="AI445" s="340" t="n"/>
      <c r="AJ445" s="340" t="n"/>
      <c r="AK445" s="340" t="n"/>
      <c r="AL445" s="340" t="n"/>
    </row>
    <row r="446" ht="12.75" customHeight="1">
      <c r="K446" s="340" t="n"/>
      <c r="L446" s="340" t="n"/>
      <c r="M446" s="340" t="n"/>
      <c r="N446" s="340" t="n"/>
      <c r="O446" s="340" t="n"/>
      <c r="P446" s="340" t="n"/>
      <c r="Q446" s="340" t="n"/>
      <c r="R446" s="340" t="n"/>
      <c r="S446" s="340" t="n"/>
      <c r="T446" s="340" t="n"/>
      <c r="U446" s="340" t="n"/>
      <c r="V446" s="340" t="n"/>
      <c r="W446" s="340" t="n"/>
      <c r="X446" s="340" t="n"/>
      <c r="Y446" s="340" t="n"/>
      <c r="Z446" s="340" t="n"/>
      <c r="AA446" s="340" t="n"/>
      <c r="AB446" s="340" t="n"/>
      <c r="AC446" s="340" t="n"/>
      <c r="AD446" s="340" t="n"/>
      <c r="AE446" s="340" t="n"/>
      <c r="AF446" s="340" t="n"/>
      <c r="AG446" s="340" t="n"/>
      <c r="AH446" s="340" t="n"/>
      <c r="AI446" s="340" t="n"/>
      <c r="AJ446" s="340" t="n"/>
      <c r="AK446" s="340" t="n"/>
      <c r="AL446" s="340" t="n"/>
    </row>
    <row r="447" ht="12.75" customHeight="1">
      <c r="K447" s="340" t="n"/>
      <c r="L447" s="340" t="n"/>
      <c r="M447" s="340" t="n"/>
      <c r="N447" s="340" t="n"/>
      <c r="O447" s="340" t="n"/>
      <c r="P447" s="340" t="n"/>
      <c r="Q447" s="340" t="n"/>
      <c r="R447" s="340" t="n"/>
      <c r="S447" s="340" t="n"/>
      <c r="T447" s="340" t="n"/>
      <c r="U447" s="340" t="n"/>
      <c r="V447" s="340" t="n"/>
      <c r="W447" s="340" t="n"/>
      <c r="X447" s="340" t="n"/>
      <c r="Y447" s="340" t="n"/>
      <c r="Z447" s="340" t="n"/>
      <c r="AA447" s="340" t="n"/>
      <c r="AB447" s="340" t="n"/>
      <c r="AC447" s="340" t="n"/>
      <c r="AD447" s="340" t="n"/>
      <c r="AE447" s="340" t="n"/>
      <c r="AF447" s="340" t="n"/>
      <c r="AG447" s="340" t="n"/>
      <c r="AH447" s="340" t="n"/>
      <c r="AI447" s="340" t="n"/>
      <c r="AJ447" s="340" t="n"/>
      <c r="AK447" s="340" t="n"/>
      <c r="AL447" s="340" t="n"/>
    </row>
    <row r="448" ht="12.75" customHeight="1">
      <c r="K448" s="340" t="n"/>
      <c r="L448" s="340" t="n"/>
      <c r="M448" s="340" t="n"/>
      <c r="N448" s="340" t="n"/>
      <c r="O448" s="340" t="n"/>
      <c r="P448" s="340" t="n"/>
      <c r="Q448" s="340" t="n"/>
      <c r="R448" s="340" t="n"/>
      <c r="S448" s="340" t="n"/>
      <c r="T448" s="340" t="n"/>
      <c r="U448" s="340" t="n"/>
      <c r="V448" s="340" t="n"/>
      <c r="W448" s="340" t="n"/>
      <c r="X448" s="340" t="n"/>
      <c r="Y448" s="340" t="n"/>
      <c r="Z448" s="340" t="n"/>
      <c r="AA448" s="340" t="n"/>
      <c r="AB448" s="340" t="n"/>
      <c r="AC448" s="340" t="n"/>
      <c r="AD448" s="340" t="n"/>
      <c r="AE448" s="340" t="n"/>
      <c r="AF448" s="340" t="n"/>
      <c r="AG448" s="340" t="n"/>
      <c r="AH448" s="340" t="n"/>
      <c r="AI448" s="340" t="n"/>
      <c r="AJ448" s="340" t="n"/>
      <c r="AK448" s="340" t="n"/>
      <c r="AL448" s="340" t="n"/>
    </row>
    <row r="449" ht="12.75" customHeight="1">
      <c r="K449" s="340" t="n"/>
      <c r="L449" s="340" t="n"/>
      <c r="M449" s="340" t="n"/>
      <c r="N449" s="340" t="n"/>
      <c r="O449" s="340" t="n"/>
      <c r="P449" s="340" t="n"/>
      <c r="Q449" s="340" t="n"/>
      <c r="R449" s="340" t="n"/>
      <c r="S449" s="340" t="n"/>
      <c r="T449" s="340" t="n"/>
      <c r="U449" s="340" t="n"/>
      <c r="V449" s="340" t="n"/>
      <c r="W449" s="340" t="n"/>
      <c r="X449" s="340" t="n"/>
      <c r="Y449" s="340" t="n"/>
      <c r="Z449" s="340" t="n"/>
      <c r="AA449" s="340" t="n"/>
      <c r="AB449" s="340" t="n"/>
      <c r="AC449" s="340" t="n"/>
      <c r="AD449" s="340" t="n"/>
      <c r="AE449" s="340" t="n"/>
      <c r="AF449" s="340" t="n"/>
      <c r="AG449" s="340" t="n"/>
      <c r="AH449" s="340" t="n"/>
      <c r="AI449" s="340" t="n"/>
      <c r="AJ449" s="340" t="n"/>
      <c r="AK449" s="340" t="n"/>
      <c r="AL449" s="340" t="n"/>
    </row>
    <row r="450" ht="12.75" customHeight="1">
      <c r="K450" s="340" t="n"/>
      <c r="L450" s="340" t="n"/>
      <c r="M450" s="340" t="n"/>
      <c r="N450" s="340" t="n"/>
      <c r="O450" s="340" t="n"/>
      <c r="P450" s="340" t="n"/>
      <c r="Q450" s="340" t="n"/>
      <c r="R450" s="340" t="n"/>
      <c r="S450" s="340" t="n"/>
      <c r="T450" s="340" t="n"/>
      <c r="U450" s="340" t="n"/>
      <c r="V450" s="340" t="n"/>
      <c r="W450" s="340" t="n"/>
      <c r="X450" s="340" t="n"/>
      <c r="Y450" s="340" t="n"/>
      <c r="Z450" s="340" t="n"/>
      <c r="AA450" s="340" t="n"/>
      <c r="AB450" s="340" t="n"/>
      <c r="AC450" s="340" t="n"/>
      <c r="AD450" s="340" t="n"/>
      <c r="AE450" s="340" t="n"/>
      <c r="AF450" s="340" t="n"/>
      <c r="AG450" s="340" t="n"/>
      <c r="AH450" s="340" t="n"/>
      <c r="AI450" s="340" t="n"/>
      <c r="AJ450" s="340" t="n"/>
      <c r="AK450" s="340" t="n"/>
      <c r="AL450" s="340" t="n"/>
    </row>
    <row r="451" ht="12.75" customHeight="1">
      <c r="K451" s="340" t="n"/>
      <c r="L451" s="340" t="n"/>
      <c r="M451" s="340" t="n"/>
      <c r="N451" s="340" t="n"/>
      <c r="O451" s="340" t="n"/>
      <c r="P451" s="340" t="n"/>
      <c r="Q451" s="340" t="n"/>
      <c r="R451" s="340" t="n"/>
      <c r="S451" s="340" t="n"/>
      <c r="T451" s="340" t="n"/>
      <c r="U451" s="340" t="n"/>
      <c r="V451" s="340" t="n"/>
      <c r="W451" s="340" t="n"/>
      <c r="X451" s="340" t="n"/>
      <c r="Y451" s="340" t="n"/>
      <c r="Z451" s="340" t="n"/>
      <c r="AA451" s="340" t="n"/>
      <c r="AB451" s="340" t="n"/>
      <c r="AC451" s="340" t="n"/>
      <c r="AD451" s="340" t="n"/>
      <c r="AE451" s="340" t="n"/>
      <c r="AF451" s="340" t="n"/>
      <c r="AG451" s="340" t="n"/>
      <c r="AH451" s="340" t="n"/>
      <c r="AI451" s="340" t="n"/>
      <c r="AJ451" s="340" t="n"/>
      <c r="AK451" s="340" t="n"/>
      <c r="AL451" s="340" t="n"/>
    </row>
    <row r="452" ht="12.75" customHeight="1">
      <c r="K452" s="340" t="n"/>
      <c r="L452" s="340" t="n"/>
      <c r="M452" s="340" t="n"/>
      <c r="N452" s="340" t="n"/>
      <c r="O452" s="340" t="n"/>
      <c r="P452" s="340" t="n"/>
      <c r="Q452" s="340" t="n"/>
      <c r="R452" s="340" t="n"/>
      <c r="S452" s="340" t="n"/>
      <c r="T452" s="340" t="n"/>
      <c r="U452" s="340" t="n"/>
      <c r="V452" s="340" t="n"/>
      <c r="W452" s="340" t="n"/>
      <c r="X452" s="340" t="n"/>
      <c r="Y452" s="340" t="n"/>
      <c r="Z452" s="340" t="n"/>
      <c r="AA452" s="340" t="n"/>
      <c r="AB452" s="340" t="n"/>
      <c r="AC452" s="340" t="n"/>
      <c r="AD452" s="340" t="n"/>
      <c r="AE452" s="340" t="n"/>
      <c r="AF452" s="340" t="n"/>
      <c r="AG452" s="340" t="n"/>
      <c r="AH452" s="340" t="n"/>
      <c r="AI452" s="340" t="n"/>
      <c r="AJ452" s="340" t="n"/>
      <c r="AK452" s="340" t="n"/>
      <c r="AL452" s="340" t="n"/>
    </row>
    <row r="453" ht="12.75" customHeight="1">
      <c r="K453" s="340" t="n"/>
      <c r="L453" s="340" t="n"/>
      <c r="M453" s="340" t="n"/>
      <c r="N453" s="340" t="n"/>
      <c r="O453" s="340" t="n"/>
      <c r="P453" s="340" t="n"/>
      <c r="Q453" s="340" t="n"/>
      <c r="R453" s="340" t="n"/>
      <c r="S453" s="340" t="n"/>
      <c r="T453" s="340" t="n"/>
      <c r="U453" s="340" t="n"/>
      <c r="V453" s="340" t="n"/>
      <c r="W453" s="340" t="n"/>
      <c r="X453" s="340" t="n"/>
      <c r="Y453" s="340" t="n"/>
      <c r="Z453" s="340" t="n"/>
      <c r="AA453" s="340" t="n"/>
      <c r="AB453" s="340" t="n"/>
      <c r="AC453" s="340" t="n"/>
      <c r="AD453" s="340" t="n"/>
      <c r="AE453" s="340" t="n"/>
      <c r="AF453" s="340" t="n"/>
      <c r="AG453" s="340" t="n"/>
      <c r="AH453" s="340" t="n"/>
      <c r="AI453" s="340" t="n"/>
      <c r="AJ453" s="340" t="n"/>
      <c r="AK453" s="340" t="n"/>
      <c r="AL453" s="340" t="n"/>
    </row>
    <row r="454" ht="12.75" customHeight="1">
      <c r="K454" s="340" t="n"/>
      <c r="L454" s="340" t="n"/>
      <c r="M454" s="340" t="n"/>
      <c r="N454" s="340" t="n"/>
      <c r="O454" s="340" t="n"/>
      <c r="P454" s="340" t="n"/>
      <c r="Q454" s="340" t="n"/>
      <c r="R454" s="340" t="n"/>
      <c r="S454" s="340" t="n"/>
      <c r="T454" s="340" t="n"/>
      <c r="U454" s="340" t="n"/>
      <c r="V454" s="340" t="n"/>
      <c r="W454" s="340" t="n"/>
      <c r="X454" s="340" t="n"/>
      <c r="Y454" s="340" t="n"/>
      <c r="Z454" s="340" t="n"/>
      <c r="AA454" s="340" t="n"/>
      <c r="AB454" s="340" t="n"/>
      <c r="AC454" s="340" t="n"/>
      <c r="AD454" s="340" t="n"/>
      <c r="AE454" s="340" t="n"/>
      <c r="AF454" s="340" t="n"/>
      <c r="AG454" s="340" t="n"/>
      <c r="AH454" s="340" t="n"/>
      <c r="AI454" s="340" t="n"/>
      <c r="AJ454" s="340" t="n"/>
      <c r="AK454" s="340" t="n"/>
      <c r="AL454" s="340" t="n"/>
    </row>
    <row r="455" ht="12.75" customHeight="1">
      <c r="K455" s="340" t="n"/>
      <c r="L455" s="340" t="n"/>
      <c r="M455" s="340" t="n"/>
      <c r="N455" s="340" t="n"/>
      <c r="O455" s="340" t="n"/>
      <c r="P455" s="340" t="n"/>
      <c r="Q455" s="340" t="n"/>
      <c r="R455" s="340" t="n"/>
      <c r="S455" s="340" t="n"/>
      <c r="T455" s="340" t="n"/>
      <c r="U455" s="340" t="n"/>
      <c r="V455" s="340" t="n"/>
      <c r="W455" s="340" t="n"/>
      <c r="X455" s="340" t="n"/>
      <c r="Y455" s="340" t="n"/>
      <c r="Z455" s="340" t="n"/>
      <c r="AA455" s="340" t="n"/>
      <c r="AB455" s="340" t="n"/>
      <c r="AC455" s="340" t="n"/>
      <c r="AD455" s="340" t="n"/>
      <c r="AE455" s="340" t="n"/>
      <c r="AF455" s="340" t="n"/>
      <c r="AG455" s="340" t="n"/>
      <c r="AH455" s="340" t="n"/>
      <c r="AI455" s="340" t="n"/>
      <c r="AJ455" s="340" t="n"/>
      <c r="AK455" s="340" t="n"/>
      <c r="AL455" s="340" t="n"/>
    </row>
    <row r="456" ht="12.75" customHeight="1">
      <c r="K456" s="340" t="n"/>
      <c r="L456" s="340" t="n"/>
      <c r="M456" s="340" t="n"/>
      <c r="N456" s="340" t="n"/>
      <c r="O456" s="340" t="n"/>
      <c r="P456" s="340" t="n"/>
      <c r="Q456" s="340" t="n"/>
      <c r="R456" s="340" t="n"/>
      <c r="S456" s="340" t="n"/>
      <c r="T456" s="340" t="n"/>
      <c r="U456" s="340" t="n"/>
      <c r="V456" s="340" t="n"/>
      <c r="W456" s="340" t="n"/>
      <c r="X456" s="340" t="n"/>
      <c r="Y456" s="340" t="n"/>
      <c r="Z456" s="340" t="n"/>
      <c r="AA456" s="340" t="n"/>
      <c r="AB456" s="340" t="n"/>
      <c r="AC456" s="340" t="n"/>
      <c r="AD456" s="340" t="n"/>
      <c r="AE456" s="340" t="n"/>
      <c r="AF456" s="340" t="n"/>
      <c r="AG456" s="340" t="n"/>
      <c r="AH456" s="340" t="n"/>
      <c r="AI456" s="340" t="n"/>
      <c r="AJ456" s="340" t="n"/>
      <c r="AK456" s="340" t="n"/>
      <c r="AL456" s="340" t="n"/>
    </row>
    <row r="457" ht="12.75" customHeight="1">
      <c r="K457" s="340" t="n"/>
      <c r="L457" s="340" t="n"/>
      <c r="M457" s="340" t="n"/>
      <c r="N457" s="340" t="n"/>
      <c r="O457" s="340" t="n"/>
      <c r="P457" s="340" t="n"/>
      <c r="Q457" s="340" t="n"/>
      <c r="R457" s="340" t="n"/>
      <c r="S457" s="340" t="n"/>
      <c r="T457" s="340" t="n"/>
      <c r="U457" s="340" t="n"/>
      <c r="V457" s="340" t="n"/>
      <c r="W457" s="340" t="n"/>
      <c r="X457" s="340" t="n"/>
      <c r="Y457" s="340" t="n"/>
      <c r="Z457" s="340" t="n"/>
      <c r="AA457" s="340" t="n"/>
      <c r="AB457" s="340" t="n"/>
      <c r="AC457" s="340" t="n"/>
      <c r="AD457" s="340" t="n"/>
      <c r="AE457" s="340" t="n"/>
      <c r="AF457" s="340" t="n"/>
      <c r="AG457" s="340" t="n"/>
      <c r="AH457" s="340" t="n"/>
      <c r="AI457" s="340" t="n"/>
      <c r="AJ457" s="340" t="n"/>
      <c r="AK457" s="340" t="n"/>
      <c r="AL457" s="340" t="n"/>
    </row>
    <row r="458" ht="12.75" customHeight="1">
      <c r="K458" s="340" t="n"/>
      <c r="L458" s="340" t="n"/>
      <c r="M458" s="340" t="n"/>
      <c r="N458" s="340" t="n"/>
      <c r="O458" s="340" t="n"/>
      <c r="P458" s="340" t="n"/>
      <c r="Q458" s="340" t="n"/>
      <c r="R458" s="340" t="n"/>
      <c r="S458" s="340" t="n"/>
      <c r="T458" s="340" t="n"/>
      <c r="U458" s="340" t="n"/>
      <c r="V458" s="340" t="n"/>
      <c r="W458" s="340" t="n"/>
      <c r="X458" s="340" t="n"/>
      <c r="Y458" s="340" t="n"/>
      <c r="Z458" s="340" t="n"/>
      <c r="AA458" s="340" t="n"/>
      <c r="AB458" s="340" t="n"/>
      <c r="AC458" s="340" t="n"/>
      <c r="AD458" s="340" t="n"/>
      <c r="AE458" s="340" t="n"/>
      <c r="AF458" s="340" t="n"/>
      <c r="AG458" s="340" t="n"/>
      <c r="AH458" s="340" t="n"/>
      <c r="AI458" s="340" t="n"/>
      <c r="AJ458" s="340" t="n"/>
      <c r="AK458" s="340" t="n"/>
      <c r="AL458" s="340" t="n"/>
    </row>
    <row r="459" ht="12.75" customHeight="1">
      <c r="K459" s="340" t="n"/>
      <c r="L459" s="340" t="n"/>
      <c r="M459" s="340" t="n"/>
      <c r="N459" s="340" t="n"/>
      <c r="O459" s="340" t="n"/>
      <c r="P459" s="340" t="n"/>
      <c r="Q459" s="340" t="n"/>
      <c r="R459" s="340" t="n"/>
      <c r="S459" s="340" t="n"/>
      <c r="T459" s="340" t="n"/>
      <c r="U459" s="340" t="n"/>
      <c r="V459" s="340" t="n"/>
      <c r="W459" s="340" t="n"/>
      <c r="X459" s="340" t="n"/>
      <c r="Y459" s="340" t="n"/>
      <c r="Z459" s="340" t="n"/>
      <c r="AA459" s="340" t="n"/>
      <c r="AB459" s="340" t="n"/>
      <c r="AC459" s="340" t="n"/>
      <c r="AD459" s="340" t="n"/>
      <c r="AE459" s="340" t="n"/>
      <c r="AF459" s="340" t="n"/>
      <c r="AG459" s="340" t="n"/>
      <c r="AH459" s="340" t="n"/>
      <c r="AI459" s="340" t="n"/>
      <c r="AJ459" s="340" t="n"/>
      <c r="AK459" s="340" t="n"/>
      <c r="AL459" s="340" t="n"/>
    </row>
    <row r="460" ht="12.75" customHeight="1">
      <c r="K460" s="340" t="n"/>
      <c r="L460" s="340" t="n"/>
      <c r="M460" s="340" t="n"/>
      <c r="N460" s="340" t="n"/>
      <c r="O460" s="340" t="n"/>
      <c r="P460" s="340" t="n"/>
      <c r="Q460" s="340" t="n"/>
      <c r="R460" s="340" t="n"/>
      <c r="S460" s="340" t="n"/>
      <c r="T460" s="340" t="n"/>
      <c r="U460" s="340" t="n"/>
      <c r="V460" s="340" t="n"/>
      <c r="W460" s="340" t="n"/>
      <c r="X460" s="340" t="n"/>
      <c r="Y460" s="340" t="n"/>
      <c r="Z460" s="340" t="n"/>
      <c r="AA460" s="340" t="n"/>
      <c r="AB460" s="340" t="n"/>
      <c r="AC460" s="340" t="n"/>
      <c r="AD460" s="340" t="n"/>
      <c r="AE460" s="340" t="n"/>
      <c r="AF460" s="340" t="n"/>
      <c r="AG460" s="340" t="n"/>
      <c r="AH460" s="340" t="n"/>
      <c r="AI460" s="340" t="n"/>
      <c r="AJ460" s="340" t="n"/>
      <c r="AK460" s="340" t="n"/>
      <c r="AL460" s="340" t="n"/>
    </row>
    <row r="461" ht="12.75" customHeight="1">
      <c r="K461" s="340" t="n"/>
      <c r="L461" s="340" t="n"/>
      <c r="M461" s="340" t="n"/>
      <c r="N461" s="340" t="n"/>
      <c r="O461" s="340" t="n"/>
      <c r="P461" s="340" t="n"/>
      <c r="Q461" s="340" t="n"/>
      <c r="R461" s="340" t="n"/>
      <c r="S461" s="340" t="n"/>
      <c r="T461" s="340" t="n"/>
      <c r="U461" s="340" t="n"/>
      <c r="V461" s="340" t="n"/>
      <c r="W461" s="340" t="n"/>
      <c r="X461" s="340" t="n"/>
      <c r="Y461" s="340" t="n"/>
      <c r="Z461" s="340" t="n"/>
      <c r="AA461" s="340" t="n"/>
      <c r="AB461" s="340" t="n"/>
      <c r="AC461" s="340" t="n"/>
      <c r="AD461" s="340" t="n"/>
      <c r="AE461" s="340" t="n"/>
      <c r="AF461" s="340" t="n"/>
      <c r="AG461" s="340" t="n"/>
      <c r="AH461" s="340" t="n"/>
      <c r="AI461" s="340" t="n"/>
      <c r="AJ461" s="340" t="n"/>
      <c r="AK461" s="340" t="n"/>
      <c r="AL461" s="340" t="n"/>
    </row>
    <row r="462" ht="12.75" customHeight="1">
      <c r="K462" s="340" t="n"/>
      <c r="L462" s="340" t="n"/>
      <c r="M462" s="340" t="n"/>
      <c r="N462" s="340" t="n"/>
      <c r="O462" s="340" t="n"/>
      <c r="P462" s="340" t="n"/>
      <c r="Q462" s="340" t="n"/>
      <c r="R462" s="340" t="n"/>
      <c r="S462" s="340" t="n"/>
      <c r="T462" s="340" t="n"/>
      <c r="U462" s="340" t="n"/>
      <c r="V462" s="340" t="n"/>
      <c r="W462" s="340" t="n"/>
      <c r="X462" s="340" t="n"/>
      <c r="Y462" s="340" t="n"/>
      <c r="Z462" s="340" t="n"/>
      <c r="AA462" s="340" t="n"/>
      <c r="AB462" s="340" t="n"/>
      <c r="AC462" s="340" t="n"/>
      <c r="AD462" s="340" t="n"/>
      <c r="AE462" s="340" t="n"/>
      <c r="AF462" s="340" t="n"/>
      <c r="AG462" s="340" t="n"/>
      <c r="AH462" s="340" t="n"/>
      <c r="AI462" s="340" t="n"/>
      <c r="AJ462" s="340" t="n"/>
      <c r="AK462" s="340" t="n"/>
      <c r="AL462" s="340" t="n"/>
    </row>
    <row r="463" ht="12.75" customHeight="1">
      <c r="K463" s="340" t="n"/>
      <c r="L463" s="340" t="n"/>
      <c r="M463" s="340" t="n"/>
      <c r="N463" s="340" t="n"/>
      <c r="O463" s="340" t="n"/>
      <c r="P463" s="340" t="n"/>
      <c r="Q463" s="340" t="n"/>
      <c r="R463" s="340" t="n"/>
      <c r="S463" s="340" t="n"/>
      <c r="T463" s="340" t="n"/>
      <c r="U463" s="340" t="n"/>
      <c r="V463" s="340" t="n"/>
      <c r="W463" s="340" t="n"/>
      <c r="X463" s="340" t="n"/>
      <c r="Y463" s="340" t="n"/>
      <c r="Z463" s="340" t="n"/>
      <c r="AA463" s="340" t="n"/>
      <c r="AB463" s="340" t="n"/>
      <c r="AC463" s="340" t="n"/>
      <c r="AD463" s="340" t="n"/>
      <c r="AE463" s="340" t="n"/>
      <c r="AF463" s="340" t="n"/>
      <c r="AG463" s="340" t="n"/>
      <c r="AH463" s="340" t="n"/>
      <c r="AI463" s="340" t="n"/>
      <c r="AJ463" s="340" t="n"/>
      <c r="AK463" s="340" t="n"/>
      <c r="AL463" s="340" t="n"/>
    </row>
    <row r="464" ht="12.75" customHeight="1">
      <c r="K464" s="340" t="n"/>
      <c r="L464" s="340" t="n"/>
      <c r="M464" s="340" t="n"/>
      <c r="N464" s="340" t="n"/>
      <c r="O464" s="340" t="n"/>
      <c r="P464" s="340" t="n"/>
      <c r="Q464" s="340" t="n"/>
      <c r="R464" s="340" t="n"/>
      <c r="S464" s="340" t="n"/>
      <c r="T464" s="340" t="n"/>
      <c r="U464" s="340" t="n"/>
      <c r="V464" s="340" t="n"/>
      <c r="W464" s="340" t="n"/>
      <c r="X464" s="340" t="n"/>
      <c r="Y464" s="340" t="n"/>
      <c r="Z464" s="340" t="n"/>
      <c r="AA464" s="340" t="n"/>
      <c r="AB464" s="340" t="n"/>
      <c r="AC464" s="340" t="n"/>
      <c r="AD464" s="340" t="n"/>
      <c r="AE464" s="340" t="n"/>
      <c r="AF464" s="340" t="n"/>
      <c r="AG464" s="340" t="n"/>
      <c r="AH464" s="340" t="n"/>
      <c r="AI464" s="340" t="n"/>
      <c r="AJ464" s="340" t="n"/>
      <c r="AK464" s="340" t="n"/>
      <c r="AL464" s="340" t="n"/>
    </row>
    <row r="465" ht="12.75" customHeight="1">
      <c r="K465" s="340" t="n"/>
      <c r="L465" s="340" t="n"/>
      <c r="M465" s="340" t="n"/>
      <c r="N465" s="340" t="n"/>
      <c r="O465" s="340" t="n"/>
      <c r="P465" s="340" t="n"/>
      <c r="Q465" s="340" t="n"/>
      <c r="R465" s="340" t="n"/>
      <c r="S465" s="340" t="n"/>
      <c r="T465" s="340" t="n"/>
      <c r="U465" s="340" t="n"/>
      <c r="V465" s="340" t="n"/>
      <c r="W465" s="340" t="n"/>
      <c r="X465" s="340" t="n"/>
      <c r="Y465" s="340" t="n"/>
      <c r="Z465" s="340" t="n"/>
      <c r="AA465" s="340" t="n"/>
      <c r="AB465" s="340" t="n"/>
      <c r="AC465" s="340" t="n"/>
      <c r="AD465" s="340" t="n"/>
      <c r="AE465" s="340" t="n"/>
      <c r="AF465" s="340" t="n"/>
      <c r="AG465" s="340" t="n"/>
      <c r="AH465" s="340" t="n"/>
      <c r="AI465" s="340" t="n"/>
      <c r="AJ465" s="340" t="n"/>
      <c r="AK465" s="340" t="n"/>
      <c r="AL465" s="340" t="n"/>
    </row>
    <row r="466" ht="12.75" customHeight="1">
      <c r="K466" s="340" t="n"/>
      <c r="L466" s="340" t="n"/>
      <c r="M466" s="340" t="n"/>
      <c r="N466" s="340" t="n"/>
      <c r="O466" s="340" t="n"/>
      <c r="P466" s="340" t="n"/>
      <c r="Q466" s="340" t="n"/>
      <c r="R466" s="340" t="n"/>
      <c r="S466" s="340" t="n"/>
      <c r="T466" s="340" t="n"/>
      <c r="U466" s="340" t="n"/>
      <c r="V466" s="340" t="n"/>
      <c r="W466" s="340" t="n"/>
      <c r="X466" s="340" t="n"/>
      <c r="Y466" s="340" t="n"/>
      <c r="Z466" s="340" t="n"/>
      <c r="AA466" s="340" t="n"/>
      <c r="AB466" s="340" t="n"/>
      <c r="AC466" s="340" t="n"/>
      <c r="AD466" s="340" t="n"/>
      <c r="AE466" s="340" t="n"/>
      <c r="AF466" s="340" t="n"/>
      <c r="AG466" s="340" t="n"/>
      <c r="AH466" s="340" t="n"/>
      <c r="AI466" s="340" t="n"/>
      <c r="AJ466" s="340" t="n"/>
      <c r="AK466" s="340" t="n"/>
      <c r="AL466" s="340" t="n"/>
    </row>
    <row r="467" ht="12.75" customHeight="1">
      <c r="K467" s="340" t="n"/>
      <c r="L467" s="340" t="n"/>
      <c r="M467" s="340" t="n"/>
      <c r="N467" s="340" t="n"/>
      <c r="O467" s="340" t="n"/>
      <c r="P467" s="340" t="n"/>
      <c r="Q467" s="340" t="n"/>
      <c r="R467" s="340" t="n"/>
      <c r="S467" s="340" t="n"/>
      <c r="T467" s="340" t="n"/>
      <c r="U467" s="340" t="n"/>
      <c r="V467" s="340" t="n"/>
      <c r="W467" s="340" t="n"/>
      <c r="X467" s="340" t="n"/>
      <c r="Y467" s="340" t="n"/>
      <c r="Z467" s="340" t="n"/>
      <c r="AA467" s="340" t="n"/>
      <c r="AB467" s="340" t="n"/>
      <c r="AC467" s="340" t="n"/>
      <c r="AD467" s="340" t="n"/>
      <c r="AE467" s="340" t="n"/>
      <c r="AF467" s="340" t="n"/>
      <c r="AG467" s="340" t="n"/>
      <c r="AH467" s="340" t="n"/>
      <c r="AI467" s="340" t="n"/>
      <c r="AJ467" s="340" t="n"/>
      <c r="AK467" s="340" t="n"/>
      <c r="AL467" s="340" t="n"/>
    </row>
    <row r="468" ht="12.75" customHeight="1">
      <c r="K468" s="340" t="n"/>
      <c r="L468" s="340" t="n"/>
      <c r="M468" s="340" t="n"/>
      <c r="N468" s="340" t="n"/>
      <c r="O468" s="340" t="n"/>
      <c r="P468" s="340" t="n"/>
      <c r="Q468" s="340" t="n"/>
      <c r="R468" s="340" t="n"/>
      <c r="S468" s="340" t="n"/>
      <c r="T468" s="340" t="n"/>
      <c r="U468" s="340" t="n"/>
      <c r="V468" s="340" t="n"/>
      <c r="W468" s="340" t="n"/>
      <c r="X468" s="340" t="n"/>
      <c r="Y468" s="340" t="n"/>
      <c r="Z468" s="340" t="n"/>
      <c r="AA468" s="340" t="n"/>
      <c r="AB468" s="340" t="n"/>
      <c r="AC468" s="340" t="n"/>
      <c r="AD468" s="340" t="n"/>
      <c r="AE468" s="340" t="n"/>
      <c r="AF468" s="340" t="n"/>
      <c r="AG468" s="340" t="n"/>
      <c r="AH468" s="340" t="n"/>
      <c r="AI468" s="340" t="n"/>
      <c r="AJ468" s="340" t="n"/>
      <c r="AK468" s="340" t="n"/>
      <c r="AL468" s="340" t="n"/>
    </row>
    <row r="469" ht="12.75" customHeight="1">
      <c r="K469" s="340" t="n"/>
      <c r="L469" s="340" t="n"/>
      <c r="M469" s="340" t="n"/>
      <c r="N469" s="340" t="n"/>
      <c r="O469" s="340" t="n"/>
      <c r="P469" s="340" t="n"/>
      <c r="Q469" s="340" t="n"/>
      <c r="R469" s="340" t="n"/>
      <c r="S469" s="340" t="n"/>
      <c r="T469" s="340" t="n"/>
      <c r="U469" s="340" t="n"/>
      <c r="V469" s="340" t="n"/>
      <c r="W469" s="340" t="n"/>
      <c r="X469" s="340" t="n"/>
      <c r="Y469" s="340" t="n"/>
      <c r="Z469" s="340" t="n"/>
      <c r="AA469" s="340" t="n"/>
      <c r="AB469" s="340" t="n"/>
      <c r="AC469" s="340" t="n"/>
      <c r="AD469" s="340" t="n"/>
      <c r="AE469" s="340" t="n"/>
      <c r="AF469" s="340" t="n"/>
      <c r="AG469" s="340" t="n"/>
      <c r="AH469" s="340" t="n"/>
      <c r="AI469" s="340" t="n"/>
      <c r="AJ469" s="340" t="n"/>
      <c r="AK469" s="340" t="n"/>
      <c r="AL469" s="340" t="n"/>
    </row>
    <row r="470" ht="12.75" customHeight="1">
      <c r="K470" s="340" t="n"/>
      <c r="L470" s="340" t="n"/>
      <c r="M470" s="340" t="n"/>
      <c r="N470" s="340" t="n"/>
      <c r="O470" s="340" t="n"/>
      <c r="P470" s="340" t="n"/>
      <c r="Q470" s="340" t="n"/>
      <c r="R470" s="340" t="n"/>
      <c r="S470" s="340" t="n"/>
      <c r="T470" s="340" t="n"/>
      <c r="U470" s="340" t="n"/>
      <c r="V470" s="340" t="n"/>
      <c r="W470" s="340" t="n"/>
      <c r="X470" s="340" t="n"/>
      <c r="Y470" s="340" t="n"/>
      <c r="Z470" s="340" t="n"/>
      <c r="AA470" s="340" t="n"/>
      <c r="AB470" s="340" t="n"/>
      <c r="AC470" s="340" t="n"/>
      <c r="AD470" s="340" t="n"/>
      <c r="AE470" s="340" t="n"/>
      <c r="AF470" s="340" t="n"/>
      <c r="AG470" s="340" t="n"/>
      <c r="AH470" s="340" t="n"/>
      <c r="AI470" s="340" t="n"/>
      <c r="AJ470" s="340" t="n"/>
      <c r="AK470" s="340" t="n"/>
      <c r="AL470" s="340" t="n"/>
    </row>
    <row r="471" ht="12.75" customHeight="1">
      <c r="K471" s="340" t="n"/>
      <c r="L471" s="340" t="n"/>
      <c r="M471" s="340" t="n"/>
      <c r="N471" s="340" t="n"/>
      <c r="O471" s="340" t="n"/>
      <c r="P471" s="340" t="n"/>
      <c r="Q471" s="340" t="n"/>
      <c r="R471" s="340" t="n"/>
      <c r="S471" s="340" t="n"/>
      <c r="T471" s="340" t="n"/>
      <c r="U471" s="340" t="n"/>
      <c r="V471" s="340" t="n"/>
      <c r="W471" s="340" t="n"/>
      <c r="X471" s="340" t="n"/>
      <c r="Y471" s="340" t="n"/>
      <c r="Z471" s="340" t="n"/>
      <c r="AA471" s="340" t="n"/>
      <c r="AB471" s="340" t="n"/>
      <c r="AC471" s="340" t="n"/>
      <c r="AD471" s="340" t="n"/>
      <c r="AE471" s="340" t="n"/>
      <c r="AF471" s="340" t="n"/>
      <c r="AG471" s="340" t="n"/>
      <c r="AH471" s="340" t="n"/>
      <c r="AI471" s="340" t="n"/>
      <c r="AJ471" s="340" t="n"/>
      <c r="AK471" s="340" t="n"/>
      <c r="AL471" s="340" t="n"/>
    </row>
    <row r="472" ht="12.75" customHeight="1">
      <c r="K472" s="340" t="n"/>
      <c r="L472" s="340" t="n"/>
      <c r="M472" s="340" t="n"/>
      <c r="N472" s="340" t="n"/>
      <c r="O472" s="340" t="n"/>
      <c r="P472" s="340" t="n"/>
      <c r="Q472" s="340" t="n"/>
      <c r="R472" s="340" t="n"/>
      <c r="S472" s="340" t="n"/>
      <c r="T472" s="340" t="n"/>
      <c r="U472" s="340" t="n"/>
      <c r="V472" s="340" t="n"/>
      <c r="W472" s="340" t="n"/>
      <c r="X472" s="340" t="n"/>
      <c r="Y472" s="340" t="n"/>
      <c r="Z472" s="340" t="n"/>
      <c r="AA472" s="340" t="n"/>
      <c r="AB472" s="340" t="n"/>
      <c r="AC472" s="340" t="n"/>
      <c r="AD472" s="340" t="n"/>
      <c r="AE472" s="340" t="n"/>
      <c r="AF472" s="340" t="n"/>
      <c r="AG472" s="340" t="n"/>
      <c r="AH472" s="340" t="n"/>
      <c r="AI472" s="340" t="n"/>
      <c r="AJ472" s="340" t="n"/>
      <c r="AK472" s="340" t="n"/>
      <c r="AL472" s="340" t="n"/>
    </row>
    <row r="473" ht="12.75" customHeight="1">
      <c r="K473" s="340" t="n"/>
      <c r="L473" s="340" t="n"/>
      <c r="M473" s="340" t="n"/>
      <c r="N473" s="340" t="n"/>
      <c r="O473" s="340" t="n"/>
      <c r="P473" s="340" t="n"/>
      <c r="Q473" s="340" t="n"/>
      <c r="R473" s="340" t="n"/>
      <c r="S473" s="340" t="n"/>
      <c r="T473" s="340" t="n"/>
      <c r="U473" s="340" t="n"/>
      <c r="V473" s="340" t="n"/>
      <c r="W473" s="340" t="n"/>
      <c r="X473" s="340" t="n"/>
      <c r="Y473" s="340" t="n"/>
      <c r="Z473" s="340" t="n"/>
      <c r="AA473" s="340" t="n"/>
      <c r="AB473" s="340" t="n"/>
      <c r="AC473" s="340" t="n"/>
      <c r="AD473" s="340" t="n"/>
      <c r="AE473" s="340" t="n"/>
      <c r="AF473" s="340" t="n"/>
      <c r="AG473" s="340" t="n"/>
      <c r="AH473" s="340" t="n"/>
      <c r="AI473" s="340" t="n"/>
      <c r="AJ473" s="340" t="n"/>
      <c r="AK473" s="340" t="n"/>
      <c r="AL473" s="340" t="n"/>
    </row>
    <row r="474" ht="12.75" customHeight="1">
      <c r="K474" s="340" t="n"/>
      <c r="L474" s="340" t="n"/>
      <c r="M474" s="340" t="n"/>
      <c r="N474" s="340" t="n"/>
      <c r="O474" s="340" t="n"/>
      <c r="P474" s="340" t="n"/>
      <c r="Q474" s="340" t="n"/>
      <c r="R474" s="340" t="n"/>
      <c r="S474" s="340" t="n"/>
      <c r="T474" s="340" t="n"/>
      <c r="U474" s="340" t="n"/>
      <c r="V474" s="340" t="n"/>
      <c r="W474" s="340" t="n"/>
      <c r="X474" s="340" t="n"/>
      <c r="Y474" s="340" t="n"/>
      <c r="Z474" s="340" t="n"/>
      <c r="AA474" s="340" t="n"/>
      <c r="AB474" s="340" t="n"/>
      <c r="AC474" s="340" t="n"/>
      <c r="AD474" s="340" t="n"/>
      <c r="AE474" s="340" t="n"/>
      <c r="AF474" s="340" t="n"/>
      <c r="AG474" s="340" t="n"/>
      <c r="AH474" s="340" t="n"/>
      <c r="AI474" s="340" t="n"/>
      <c r="AJ474" s="340" t="n"/>
      <c r="AK474" s="340" t="n"/>
      <c r="AL474" s="340" t="n"/>
    </row>
    <row r="475" ht="12.75" customHeight="1">
      <c r="K475" s="340" t="n"/>
      <c r="L475" s="340" t="n"/>
      <c r="M475" s="340" t="n"/>
      <c r="N475" s="340" t="n"/>
      <c r="O475" s="340" t="n"/>
      <c r="P475" s="340" t="n"/>
      <c r="Q475" s="340" t="n"/>
      <c r="R475" s="340" t="n"/>
      <c r="S475" s="340" t="n"/>
      <c r="T475" s="340" t="n"/>
      <c r="U475" s="340" t="n"/>
      <c r="V475" s="340" t="n"/>
      <c r="W475" s="340" t="n"/>
      <c r="X475" s="340" t="n"/>
      <c r="Y475" s="340" t="n"/>
      <c r="Z475" s="340" t="n"/>
      <c r="AA475" s="340" t="n"/>
      <c r="AB475" s="340" t="n"/>
      <c r="AC475" s="340" t="n"/>
      <c r="AD475" s="340" t="n"/>
      <c r="AE475" s="340" t="n"/>
      <c r="AF475" s="340" t="n"/>
      <c r="AG475" s="340" t="n"/>
      <c r="AH475" s="340" t="n"/>
      <c r="AI475" s="340" t="n"/>
      <c r="AJ475" s="340" t="n"/>
      <c r="AK475" s="340" t="n"/>
      <c r="AL475" s="340" t="n"/>
    </row>
    <row r="476" ht="12.75" customHeight="1">
      <c r="K476" s="340" t="n"/>
      <c r="L476" s="340" t="n"/>
      <c r="M476" s="340" t="n"/>
      <c r="N476" s="340" t="n"/>
      <c r="O476" s="340" t="n"/>
      <c r="P476" s="340" t="n"/>
      <c r="Q476" s="340" t="n"/>
      <c r="R476" s="340" t="n"/>
      <c r="S476" s="340" t="n"/>
      <c r="T476" s="340" t="n"/>
      <c r="U476" s="340" t="n"/>
      <c r="V476" s="340" t="n"/>
      <c r="W476" s="340" t="n"/>
      <c r="X476" s="340" t="n"/>
      <c r="Y476" s="340" t="n"/>
      <c r="Z476" s="340" t="n"/>
      <c r="AA476" s="340" t="n"/>
      <c r="AB476" s="340" t="n"/>
      <c r="AC476" s="340" t="n"/>
      <c r="AD476" s="340" t="n"/>
      <c r="AE476" s="340" t="n"/>
      <c r="AF476" s="340" t="n"/>
      <c r="AG476" s="340" t="n"/>
      <c r="AH476" s="340" t="n"/>
      <c r="AI476" s="340" t="n"/>
      <c r="AJ476" s="340" t="n"/>
      <c r="AK476" s="340" t="n"/>
      <c r="AL476" s="340" t="n"/>
    </row>
    <row r="477" ht="12.75" customHeight="1">
      <c r="K477" s="340" t="n"/>
      <c r="L477" s="340" t="n"/>
      <c r="M477" s="340" t="n"/>
      <c r="N477" s="340" t="n"/>
      <c r="O477" s="340" t="n"/>
      <c r="P477" s="340" t="n"/>
      <c r="Q477" s="340" t="n"/>
      <c r="R477" s="340" t="n"/>
      <c r="S477" s="340" t="n"/>
      <c r="T477" s="340" t="n"/>
      <c r="U477" s="340" t="n"/>
      <c r="V477" s="340" t="n"/>
      <c r="W477" s="340" t="n"/>
      <c r="X477" s="340" t="n"/>
      <c r="Y477" s="340" t="n"/>
      <c r="Z477" s="340" t="n"/>
      <c r="AA477" s="340" t="n"/>
      <c r="AB477" s="340" t="n"/>
      <c r="AC477" s="340" t="n"/>
      <c r="AD477" s="340" t="n"/>
      <c r="AE477" s="340" t="n"/>
      <c r="AF477" s="340" t="n"/>
      <c r="AG477" s="340" t="n"/>
      <c r="AH477" s="340" t="n"/>
      <c r="AI477" s="340" t="n"/>
      <c r="AJ477" s="340" t="n"/>
      <c r="AK477" s="340" t="n"/>
      <c r="AL477" s="340" t="n"/>
    </row>
    <row r="478" ht="12.75" customHeight="1">
      <c r="K478" s="340" t="n"/>
      <c r="L478" s="340" t="n"/>
      <c r="M478" s="340" t="n"/>
      <c r="N478" s="340" t="n"/>
      <c r="O478" s="340" t="n"/>
      <c r="P478" s="340" t="n"/>
      <c r="Q478" s="340" t="n"/>
      <c r="R478" s="340" t="n"/>
      <c r="S478" s="340" t="n"/>
      <c r="T478" s="340" t="n"/>
      <c r="U478" s="340" t="n"/>
      <c r="V478" s="340" t="n"/>
      <c r="W478" s="340" t="n"/>
      <c r="X478" s="340" t="n"/>
      <c r="Y478" s="340" t="n"/>
      <c r="Z478" s="340" t="n"/>
      <c r="AA478" s="340" t="n"/>
      <c r="AB478" s="340" t="n"/>
      <c r="AC478" s="340" t="n"/>
      <c r="AD478" s="340" t="n"/>
      <c r="AE478" s="340" t="n"/>
      <c r="AF478" s="340" t="n"/>
      <c r="AG478" s="340" t="n"/>
      <c r="AH478" s="340" t="n"/>
      <c r="AI478" s="340" t="n"/>
      <c r="AJ478" s="340" t="n"/>
      <c r="AK478" s="340" t="n"/>
      <c r="AL478" s="340" t="n"/>
    </row>
    <row r="479" ht="12.75" customHeight="1">
      <c r="K479" s="340" t="n"/>
      <c r="L479" s="340" t="n"/>
      <c r="M479" s="340" t="n"/>
      <c r="N479" s="340" t="n"/>
      <c r="O479" s="340" t="n"/>
      <c r="P479" s="340" t="n"/>
      <c r="Q479" s="340" t="n"/>
      <c r="R479" s="340" t="n"/>
      <c r="S479" s="340" t="n"/>
      <c r="T479" s="340" t="n"/>
      <c r="U479" s="340" t="n"/>
      <c r="V479" s="340" t="n"/>
      <c r="W479" s="340" t="n"/>
      <c r="X479" s="340" t="n"/>
      <c r="Y479" s="340" t="n"/>
      <c r="Z479" s="340" t="n"/>
      <c r="AA479" s="340" t="n"/>
      <c r="AB479" s="340" t="n"/>
      <c r="AC479" s="340" t="n"/>
      <c r="AD479" s="340" t="n"/>
      <c r="AE479" s="340" t="n"/>
      <c r="AF479" s="340" t="n"/>
      <c r="AG479" s="340" t="n"/>
      <c r="AH479" s="340" t="n"/>
      <c r="AI479" s="340" t="n"/>
      <c r="AJ479" s="340" t="n"/>
      <c r="AK479" s="340" t="n"/>
      <c r="AL479" s="340" t="n"/>
    </row>
    <row r="480" ht="12.75" customHeight="1">
      <c r="K480" s="340" t="n"/>
      <c r="L480" s="340" t="n"/>
      <c r="M480" s="340" t="n"/>
      <c r="N480" s="340" t="n"/>
      <c r="O480" s="340" t="n"/>
      <c r="P480" s="340" t="n"/>
      <c r="Q480" s="340" t="n"/>
      <c r="R480" s="340" t="n"/>
      <c r="S480" s="340" t="n"/>
      <c r="T480" s="340" t="n"/>
      <c r="U480" s="340" t="n"/>
      <c r="V480" s="340" t="n"/>
      <c r="W480" s="340" t="n"/>
      <c r="X480" s="340" t="n"/>
      <c r="Y480" s="340" t="n"/>
      <c r="Z480" s="340" t="n"/>
      <c r="AA480" s="340" t="n"/>
      <c r="AB480" s="340" t="n"/>
      <c r="AC480" s="340" t="n"/>
      <c r="AD480" s="340" t="n"/>
      <c r="AE480" s="340" t="n"/>
      <c r="AF480" s="340" t="n"/>
      <c r="AG480" s="340" t="n"/>
      <c r="AH480" s="340" t="n"/>
      <c r="AI480" s="340" t="n"/>
      <c r="AJ480" s="340" t="n"/>
      <c r="AK480" s="340" t="n"/>
      <c r="AL480" s="340" t="n"/>
    </row>
    <row r="481" ht="12.75" customHeight="1">
      <c r="K481" s="340" t="n"/>
      <c r="L481" s="340" t="n"/>
      <c r="M481" s="340" t="n"/>
      <c r="N481" s="340" t="n"/>
      <c r="O481" s="340" t="n"/>
      <c r="P481" s="340" t="n"/>
      <c r="Q481" s="340" t="n"/>
      <c r="R481" s="340" t="n"/>
      <c r="S481" s="340" t="n"/>
      <c r="T481" s="340" t="n"/>
      <c r="U481" s="340" t="n"/>
      <c r="V481" s="340" t="n"/>
      <c r="W481" s="340" t="n"/>
      <c r="X481" s="340" t="n"/>
      <c r="Y481" s="340" t="n"/>
      <c r="Z481" s="340" t="n"/>
      <c r="AA481" s="340" t="n"/>
      <c r="AB481" s="340" t="n"/>
      <c r="AC481" s="340" t="n"/>
      <c r="AD481" s="340" t="n"/>
      <c r="AE481" s="340" t="n"/>
      <c r="AF481" s="340" t="n"/>
      <c r="AG481" s="340" t="n"/>
      <c r="AH481" s="340" t="n"/>
      <c r="AI481" s="340" t="n"/>
      <c r="AJ481" s="340" t="n"/>
      <c r="AK481" s="340" t="n"/>
      <c r="AL481" s="340" t="n"/>
    </row>
    <row r="482" ht="12.75" customHeight="1">
      <c r="K482" s="340" t="n"/>
      <c r="L482" s="340" t="n"/>
      <c r="M482" s="340" t="n"/>
      <c r="N482" s="340" t="n"/>
      <c r="O482" s="340" t="n"/>
      <c r="P482" s="340" t="n"/>
      <c r="Q482" s="340" t="n"/>
      <c r="R482" s="340" t="n"/>
      <c r="S482" s="340" t="n"/>
      <c r="T482" s="340" t="n"/>
      <c r="U482" s="340" t="n"/>
      <c r="V482" s="340" t="n"/>
      <c r="W482" s="340" t="n"/>
      <c r="X482" s="340" t="n"/>
      <c r="Y482" s="340" t="n"/>
      <c r="Z482" s="340" t="n"/>
      <c r="AA482" s="340" t="n"/>
      <c r="AB482" s="340" t="n"/>
      <c r="AC482" s="340" t="n"/>
      <c r="AD482" s="340" t="n"/>
      <c r="AE482" s="340" t="n"/>
      <c r="AF482" s="340" t="n"/>
      <c r="AG482" s="340" t="n"/>
      <c r="AH482" s="340" t="n"/>
      <c r="AI482" s="340" t="n"/>
      <c r="AJ482" s="340" t="n"/>
      <c r="AK482" s="340" t="n"/>
      <c r="AL482" s="340" t="n"/>
    </row>
    <row r="483" ht="12.75" customHeight="1">
      <c r="K483" s="340" t="n"/>
      <c r="L483" s="340" t="n"/>
      <c r="M483" s="340" t="n"/>
      <c r="N483" s="340" t="n"/>
      <c r="O483" s="340" t="n"/>
      <c r="P483" s="340" t="n"/>
      <c r="Q483" s="340" t="n"/>
      <c r="R483" s="340" t="n"/>
      <c r="S483" s="340" t="n"/>
      <c r="T483" s="340" t="n"/>
      <c r="U483" s="340" t="n"/>
      <c r="V483" s="340" t="n"/>
      <c r="W483" s="340" t="n"/>
      <c r="X483" s="340" t="n"/>
      <c r="Y483" s="340" t="n"/>
      <c r="Z483" s="340" t="n"/>
      <c r="AA483" s="340" t="n"/>
      <c r="AB483" s="340" t="n"/>
      <c r="AC483" s="340" t="n"/>
      <c r="AD483" s="340" t="n"/>
      <c r="AE483" s="340" t="n"/>
      <c r="AF483" s="340" t="n"/>
      <c r="AG483" s="340" t="n"/>
      <c r="AH483" s="340" t="n"/>
      <c r="AI483" s="340" t="n"/>
      <c r="AJ483" s="340" t="n"/>
      <c r="AK483" s="340" t="n"/>
      <c r="AL483" s="340" t="n"/>
    </row>
    <row r="484" ht="12.75" customHeight="1">
      <c r="K484" s="340" t="n"/>
      <c r="L484" s="340" t="n"/>
      <c r="M484" s="340" t="n"/>
      <c r="N484" s="340" t="n"/>
      <c r="O484" s="340" t="n"/>
      <c r="P484" s="340" t="n"/>
      <c r="Q484" s="340" t="n"/>
      <c r="R484" s="340" t="n"/>
      <c r="S484" s="340" t="n"/>
      <c r="T484" s="340" t="n"/>
      <c r="U484" s="340" t="n"/>
      <c r="V484" s="340" t="n"/>
      <c r="W484" s="340" t="n"/>
      <c r="X484" s="340" t="n"/>
      <c r="Y484" s="340" t="n"/>
      <c r="Z484" s="340" t="n"/>
      <c r="AA484" s="340" t="n"/>
      <c r="AB484" s="340" t="n"/>
      <c r="AC484" s="340" t="n"/>
      <c r="AD484" s="340" t="n"/>
      <c r="AE484" s="340" t="n"/>
      <c r="AF484" s="340" t="n"/>
      <c r="AG484" s="340" t="n"/>
      <c r="AH484" s="340" t="n"/>
      <c r="AI484" s="340" t="n"/>
      <c r="AJ484" s="340" t="n"/>
      <c r="AK484" s="340" t="n"/>
      <c r="AL484" s="340" t="n"/>
    </row>
    <row r="485" ht="12.75" customHeight="1">
      <c r="K485" s="340" t="n"/>
      <c r="L485" s="340" t="n"/>
      <c r="M485" s="340" t="n"/>
      <c r="N485" s="340" t="n"/>
      <c r="O485" s="340" t="n"/>
      <c r="P485" s="340" t="n"/>
      <c r="Q485" s="340" t="n"/>
      <c r="R485" s="340" t="n"/>
      <c r="S485" s="340" t="n"/>
      <c r="T485" s="340" t="n"/>
      <c r="U485" s="340" t="n"/>
      <c r="V485" s="340" t="n"/>
      <c r="W485" s="340" t="n"/>
      <c r="X485" s="340" t="n"/>
      <c r="Y485" s="340" t="n"/>
      <c r="Z485" s="340" t="n"/>
      <c r="AA485" s="340" t="n"/>
      <c r="AB485" s="340" t="n"/>
      <c r="AC485" s="340" t="n"/>
      <c r="AD485" s="340" t="n"/>
      <c r="AE485" s="340" t="n"/>
      <c r="AF485" s="340" t="n"/>
      <c r="AG485" s="340" t="n"/>
      <c r="AH485" s="340" t="n"/>
      <c r="AI485" s="340" t="n"/>
      <c r="AJ485" s="340" t="n"/>
      <c r="AK485" s="340" t="n"/>
      <c r="AL485" s="340" t="n"/>
    </row>
    <row r="486" ht="12.75" customHeight="1">
      <c r="K486" s="340" t="n"/>
      <c r="L486" s="340" t="n"/>
      <c r="M486" s="340" t="n"/>
      <c r="N486" s="340" t="n"/>
      <c r="O486" s="340" t="n"/>
      <c r="P486" s="340" t="n"/>
      <c r="Q486" s="340" t="n"/>
      <c r="R486" s="340" t="n"/>
      <c r="S486" s="340" t="n"/>
      <c r="T486" s="340" t="n"/>
      <c r="U486" s="340" t="n"/>
      <c r="V486" s="340" t="n"/>
      <c r="W486" s="340" t="n"/>
      <c r="X486" s="340" t="n"/>
      <c r="Y486" s="340" t="n"/>
      <c r="Z486" s="340" t="n"/>
      <c r="AA486" s="340" t="n"/>
      <c r="AB486" s="340" t="n"/>
      <c r="AC486" s="340" t="n"/>
      <c r="AD486" s="340" t="n"/>
      <c r="AE486" s="340" t="n"/>
      <c r="AF486" s="340" t="n"/>
      <c r="AG486" s="340" t="n"/>
      <c r="AH486" s="340" t="n"/>
      <c r="AI486" s="340" t="n"/>
      <c r="AJ486" s="340" t="n"/>
      <c r="AK486" s="340" t="n"/>
      <c r="AL486" s="340" t="n"/>
    </row>
    <row r="487" ht="12.75" customHeight="1">
      <c r="K487" s="340" t="n"/>
      <c r="L487" s="340" t="n"/>
      <c r="M487" s="340" t="n"/>
      <c r="N487" s="340" t="n"/>
      <c r="O487" s="340" t="n"/>
      <c r="P487" s="340" t="n"/>
      <c r="Q487" s="340" t="n"/>
      <c r="R487" s="340" t="n"/>
      <c r="S487" s="340" t="n"/>
      <c r="T487" s="340" t="n"/>
      <c r="U487" s="340" t="n"/>
      <c r="V487" s="340" t="n"/>
      <c r="W487" s="340" t="n"/>
      <c r="X487" s="340" t="n"/>
      <c r="Y487" s="340" t="n"/>
      <c r="Z487" s="340" t="n"/>
      <c r="AA487" s="340" t="n"/>
      <c r="AB487" s="340" t="n"/>
      <c r="AC487" s="340" t="n"/>
      <c r="AD487" s="340" t="n"/>
      <c r="AE487" s="340" t="n"/>
      <c r="AF487" s="340" t="n"/>
      <c r="AG487" s="340" t="n"/>
      <c r="AH487" s="340" t="n"/>
      <c r="AI487" s="340" t="n"/>
      <c r="AJ487" s="340" t="n"/>
      <c r="AK487" s="340" t="n"/>
      <c r="AL487" s="340" t="n"/>
    </row>
    <row r="488" ht="12.75" customHeight="1">
      <c r="K488" s="340" t="n"/>
      <c r="L488" s="340" t="n"/>
      <c r="M488" s="340" t="n"/>
      <c r="N488" s="340" t="n"/>
      <c r="O488" s="340" t="n"/>
      <c r="P488" s="340" t="n"/>
      <c r="Q488" s="340" t="n"/>
      <c r="R488" s="340" t="n"/>
      <c r="S488" s="340" t="n"/>
      <c r="T488" s="340" t="n"/>
      <c r="U488" s="340" t="n"/>
      <c r="V488" s="340" t="n"/>
      <c r="W488" s="340" t="n"/>
      <c r="X488" s="340" t="n"/>
      <c r="Y488" s="340" t="n"/>
      <c r="Z488" s="340" t="n"/>
      <c r="AA488" s="340" t="n"/>
      <c r="AB488" s="340" t="n"/>
      <c r="AC488" s="340" t="n"/>
      <c r="AD488" s="340" t="n"/>
      <c r="AE488" s="340" t="n"/>
      <c r="AF488" s="340" t="n"/>
      <c r="AG488" s="340" t="n"/>
      <c r="AH488" s="340" t="n"/>
      <c r="AI488" s="340" t="n"/>
      <c r="AJ488" s="340" t="n"/>
      <c r="AK488" s="340" t="n"/>
      <c r="AL488" s="340" t="n"/>
    </row>
    <row r="489" ht="12.75" customHeight="1">
      <c r="K489" s="340" t="n"/>
      <c r="L489" s="340" t="n"/>
      <c r="M489" s="340" t="n"/>
      <c r="N489" s="340" t="n"/>
      <c r="O489" s="340" t="n"/>
      <c r="P489" s="340" t="n"/>
      <c r="Q489" s="340" t="n"/>
      <c r="R489" s="340" t="n"/>
      <c r="S489" s="340" t="n"/>
      <c r="T489" s="340" t="n"/>
      <c r="U489" s="340" t="n"/>
      <c r="V489" s="340" t="n"/>
      <c r="W489" s="340" t="n"/>
      <c r="X489" s="340" t="n"/>
      <c r="Y489" s="340" t="n"/>
      <c r="Z489" s="340" t="n"/>
      <c r="AA489" s="340" t="n"/>
      <c r="AB489" s="340" t="n"/>
      <c r="AC489" s="340" t="n"/>
      <c r="AD489" s="340" t="n"/>
      <c r="AE489" s="340" t="n"/>
      <c r="AF489" s="340" t="n"/>
      <c r="AG489" s="340" t="n"/>
      <c r="AH489" s="340" t="n"/>
      <c r="AI489" s="340" t="n"/>
      <c r="AJ489" s="340" t="n"/>
      <c r="AK489" s="340" t="n"/>
      <c r="AL489" s="340" t="n"/>
    </row>
    <row r="490" ht="12.75" customHeight="1">
      <c r="K490" s="340" t="n"/>
      <c r="L490" s="340" t="n"/>
      <c r="M490" s="340" t="n"/>
      <c r="N490" s="340" t="n"/>
      <c r="O490" s="340" t="n"/>
      <c r="P490" s="340" t="n"/>
      <c r="Q490" s="340" t="n"/>
      <c r="R490" s="340" t="n"/>
      <c r="S490" s="340" t="n"/>
      <c r="T490" s="340" t="n"/>
      <c r="U490" s="340" t="n"/>
      <c r="V490" s="340" t="n"/>
      <c r="W490" s="340" t="n"/>
      <c r="X490" s="340" t="n"/>
      <c r="Y490" s="340" t="n"/>
      <c r="Z490" s="340" t="n"/>
      <c r="AA490" s="340" t="n"/>
      <c r="AB490" s="340" t="n"/>
      <c r="AC490" s="340" t="n"/>
      <c r="AD490" s="340" t="n"/>
      <c r="AE490" s="340" t="n"/>
      <c r="AF490" s="340" t="n"/>
      <c r="AG490" s="340" t="n"/>
      <c r="AH490" s="340" t="n"/>
      <c r="AI490" s="340" t="n"/>
      <c r="AJ490" s="340" t="n"/>
      <c r="AK490" s="340" t="n"/>
      <c r="AL490" s="340" t="n"/>
    </row>
    <row r="491" ht="12.75" customHeight="1">
      <c r="K491" s="340" t="n"/>
      <c r="L491" s="340" t="n"/>
      <c r="M491" s="340" t="n"/>
      <c r="N491" s="340" t="n"/>
      <c r="O491" s="340" t="n"/>
      <c r="P491" s="340" t="n"/>
      <c r="Q491" s="340" t="n"/>
      <c r="R491" s="340" t="n"/>
      <c r="S491" s="340" t="n"/>
      <c r="T491" s="340" t="n"/>
      <c r="U491" s="340" t="n"/>
      <c r="V491" s="340" t="n"/>
      <c r="W491" s="340" t="n"/>
      <c r="X491" s="340" t="n"/>
      <c r="Y491" s="340" t="n"/>
      <c r="Z491" s="340" t="n"/>
      <c r="AA491" s="340" t="n"/>
      <c r="AB491" s="340" t="n"/>
      <c r="AC491" s="340" t="n"/>
      <c r="AD491" s="340" t="n"/>
      <c r="AE491" s="340" t="n"/>
      <c r="AF491" s="340" t="n"/>
      <c r="AG491" s="340" t="n"/>
      <c r="AH491" s="340" t="n"/>
      <c r="AI491" s="340" t="n"/>
      <c r="AJ491" s="340" t="n"/>
      <c r="AK491" s="340" t="n"/>
      <c r="AL491" s="340" t="n"/>
    </row>
    <row r="492" ht="12.75" customHeight="1">
      <c r="K492" s="340" t="n"/>
      <c r="L492" s="340" t="n"/>
      <c r="M492" s="340" t="n"/>
      <c r="N492" s="340" t="n"/>
      <c r="O492" s="340" t="n"/>
      <c r="P492" s="340" t="n"/>
      <c r="Q492" s="340" t="n"/>
      <c r="R492" s="340" t="n"/>
      <c r="S492" s="340" t="n"/>
      <c r="T492" s="340" t="n"/>
      <c r="U492" s="340" t="n"/>
      <c r="V492" s="340" t="n"/>
      <c r="W492" s="340" t="n"/>
      <c r="X492" s="340" t="n"/>
      <c r="Y492" s="340" t="n"/>
      <c r="Z492" s="340" t="n"/>
      <c r="AA492" s="340" t="n"/>
      <c r="AB492" s="340" t="n"/>
      <c r="AC492" s="340" t="n"/>
      <c r="AD492" s="340" t="n"/>
      <c r="AE492" s="340" t="n"/>
      <c r="AF492" s="340" t="n"/>
      <c r="AG492" s="340" t="n"/>
      <c r="AH492" s="340" t="n"/>
      <c r="AI492" s="340" t="n"/>
      <c r="AJ492" s="340" t="n"/>
      <c r="AK492" s="340" t="n"/>
      <c r="AL492" s="340" t="n"/>
    </row>
    <row r="493" ht="12.75" customHeight="1">
      <c r="K493" s="340" t="n"/>
      <c r="L493" s="340" t="n"/>
      <c r="M493" s="340" t="n"/>
      <c r="N493" s="340" t="n"/>
      <c r="O493" s="340" t="n"/>
      <c r="P493" s="340" t="n"/>
      <c r="Q493" s="340" t="n"/>
      <c r="R493" s="340" t="n"/>
      <c r="S493" s="340" t="n"/>
      <c r="T493" s="340" t="n"/>
      <c r="U493" s="340" t="n"/>
      <c r="V493" s="340" t="n"/>
      <c r="W493" s="340" t="n"/>
      <c r="X493" s="340" t="n"/>
      <c r="Y493" s="340" t="n"/>
      <c r="Z493" s="340" t="n"/>
      <c r="AA493" s="340" t="n"/>
      <c r="AB493" s="340" t="n"/>
      <c r="AC493" s="340" t="n"/>
      <c r="AD493" s="340" t="n"/>
      <c r="AE493" s="340" t="n"/>
      <c r="AF493" s="340" t="n"/>
      <c r="AG493" s="340" t="n"/>
      <c r="AH493" s="340" t="n"/>
      <c r="AI493" s="340" t="n"/>
      <c r="AJ493" s="340" t="n"/>
      <c r="AK493" s="340" t="n"/>
      <c r="AL493" s="340" t="n"/>
    </row>
    <row r="494" ht="12.75" customHeight="1">
      <c r="K494" s="340" t="n"/>
      <c r="L494" s="340" t="n"/>
      <c r="M494" s="340" t="n"/>
      <c r="N494" s="340" t="n"/>
      <c r="O494" s="340" t="n"/>
      <c r="P494" s="340" t="n"/>
      <c r="Q494" s="340" t="n"/>
      <c r="R494" s="340" t="n"/>
      <c r="S494" s="340" t="n"/>
      <c r="T494" s="340" t="n"/>
      <c r="U494" s="340" t="n"/>
      <c r="V494" s="340" t="n"/>
      <c r="W494" s="340" t="n"/>
      <c r="X494" s="340" t="n"/>
      <c r="Y494" s="340" t="n"/>
      <c r="Z494" s="340" t="n"/>
      <c r="AA494" s="340" t="n"/>
      <c r="AB494" s="340" t="n"/>
      <c r="AC494" s="340" t="n"/>
      <c r="AD494" s="340" t="n"/>
      <c r="AE494" s="340" t="n"/>
      <c r="AF494" s="340" t="n"/>
      <c r="AG494" s="340" t="n"/>
      <c r="AH494" s="340" t="n"/>
      <c r="AI494" s="340" t="n"/>
      <c r="AJ494" s="340" t="n"/>
      <c r="AK494" s="340" t="n"/>
      <c r="AL494" s="340" t="n"/>
    </row>
    <row r="495" ht="12.75" customHeight="1">
      <c r="K495" s="340" t="n"/>
      <c r="L495" s="340" t="n"/>
      <c r="M495" s="340" t="n"/>
      <c r="N495" s="340" t="n"/>
      <c r="O495" s="340" t="n"/>
      <c r="P495" s="340" t="n"/>
      <c r="Q495" s="340" t="n"/>
      <c r="R495" s="340" t="n"/>
      <c r="S495" s="340" t="n"/>
      <c r="T495" s="340" t="n"/>
      <c r="U495" s="340" t="n"/>
      <c r="V495" s="340" t="n"/>
      <c r="W495" s="340" t="n"/>
      <c r="X495" s="340" t="n"/>
      <c r="Y495" s="340" t="n"/>
      <c r="Z495" s="340" t="n"/>
      <c r="AA495" s="340" t="n"/>
      <c r="AB495" s="340" t="n"/>
      <c r="AC495" s="340" t="n"/>
      <c r="AD495" s="340" t="n"/>
      <c r="AE495" s="340" t="n"/>
      <c r="AF495" s="340" t="n"/>
      <c r="AG495" s="340" t="n"/>
      <c r="AH495" s="340" t="n"/>
      <c r="AI495" s="340" t="n"/>
      <c r="AJ495" s="340" t="n"/>
      <c r="AK495" s="340" t="n"/>
      <c r="AL495" s="340" t="n"/>
    </row>
    <row r="496" ht="12.75" customHeight="1">
      <c r="K496" s="340" t="n"/>
      <c r="L496" s="340" t="n"/>
      <c r="M496" s="340" t="n"/>
      <c r="N496" s="340" t="n"/>
      <c r="O496" s="340" t="n"/>
      <c r="P496" s="340" t="n"/>
      <c r="Q496" s="340" t="n"/>
      <c r="R496" s="340" t="n"/>
      <c r="S496" s="340" t="n"/>
      <c r="T496" s="340" t="n"/>
      <c r="U496" s="340" t="n"/>
      <c r="V496" s="340" t="n"/>
      <c r="W496" s="340" t="n"/>
      <c r="X496" s="340" t="n"/>
      <c r="Y496" s="340" t="n"/>
      <c r="Z496" s="340" t="n"/>
      <c r="AA496" s="340" t="n"/>
      <c r="AB496" s="340" t="n"/>
      <c r="AC496" s="340" t="n"/>
      <c r="AD496" s="340" t="n"/>
      <c r="AE496" s="340" t="n"/>
      <c r="AF496" s="340" t="n"/>
      <c r="AG496" s="340" t="n"/>
      <c r="AH496" s="340" t="n"/>
      <c r="AI496" s="340" t="n"/>
      <c r="AJ496" s="340" t="n"/>
      <c r="AK496" s="340" t="n"/>
      <c r="AL496" s="340" t="n"/>
    </row>
    <row r="497" ht="12.75" customHeight="1">
      <c r="K497" s="340" t="n"/>
      <c r="L497" s="340" t="n"/>
      <c r="M497" s="340" t="n"/>
      <c r="N497" s="340" t="n"/>
      <c r="O497" s="340" t="n"/>
      <c r="P497" s="340" t="n"/>
      <c r="Q497" s="340" t="n"/>
      <c r="R497" s="340" t="n"/>
      <c r="S497" s="340" t="n"/>
      <c r="T497" s="340" t="n"/>
      <c r="U497" s="340" t="n"/>
      <c r="V497" s="340" t="n"/>
      <c r="W497" s="340" t="n"/>
      <c r="X497" s="340" t="n"/>
      <c r="Y497" s="340" t="n"/>
      <c r="Z497" s="340" t="n"/>
      <c r="AA497" s="340" t="n"/>
      <c r="AB497" s="340" t="n"/>
      <c r="AC497" s="340" t="n"/>
      <c r="AD497" s="340" t="n"/>
      <c r="AE497" s="340" t="n"/>
      <c r="AF497" s="340" t="n"/>
      <c r="AG497" s="340" t="n"/>
      <c r="AH497" s="340" t="n"/>
      <c r="AI497" s="340" t="n"/>
      <c r="AJ497" s="340" t="n"/>
      <c r="AK497" s="340" t="n"/>
      <c r="AL497" s="340" t="n"/>
    </row>
    <row r="498" ht="12.75" customHeight="1">
      <c r="K498" s="340" t="n"/>
      <c r="L498" s="340" t="n"/>
      <c r="M498" s="340" t="n"/>
      <c r="N498" s="340" t="n"/>
      <c r="O498" s="340" t="n"/>
      <c r="P498" s="340" t="n"/>
      <c r="Q498" s="340" t="n"/>
      <c r="R498" s="340" t="n"/>
      <c r="S498" s="340" t="n"/>
      <c r="T498" s="340" t="n"/>
      <c r="U498" s="340" t="n"/>
      <c r="V498" s="340" t="n"/>
      <c r="W498" s="340" t="n"/>
      <c r="X498" s="340" t="n"/>
      <c r="Y498" s="340" t="n"/>
      <c r="Z498" s="340" t="n"/>
      <c r="AA498" s="340" t="n"/>
      <c r="AB498" s="340" t="n"/>
      <c r="AC498" s="340" t="n"/>
      <c r="AD498" s="340" t="n"/>
      <c r="AE498" s="340" t="n"/>
      <c r="AF498" s="340" t="n"/>
      <c r="AG498" s="340" t="n"/>
      <c r="AH498" s="340" t="n"/>
      <c r="AI498" s="340" t="n"/>
      <c r="AJ498" s="340" t="n"/>
      <c r="AK498" s="340" t="n"/>
      <c r="AL498" s="340" t="n"/>
    </row>
    <row r="499" ht="12.75" customHeight="1">
      <c r="K499" s="340" t="n"/>
      <c r="L499" s="340" t="n"/>
      <c r="M499" s="340" t="n"/>
      <c r="N499" s="340" t="n"/>
      <c r="O499" s="340" t="n"/>
      <c r="P499" s="340" t="n"/>
      <c r="Q499" s="340" t="n"/>
      <c r="R499" s="340" t="n"/>
      <c r="S499" s="340" t="n"/>
      <c r="T499" s="340" t="n"/>
      <c r="U499" s="340" t="n"/>
      <c r="V499" s="340" t="n"/>
      <c r="W499" s="340" t="n"/>
      <c r="X499" s="340" t="n"/>
      <c r="Y499" s="340" t="n"/>
      <c r="Z499" s="340" t="n"/>
      <c r="AA499" s="340" t="n"/>
      <c r="AB499" s="340" t="n"/>
      <c r="AC499" s="340" t="n"/>
      <c r="AD499" s="340" t="n"/>
      <c r="AE499" s="340" t="n"/>
      <c r="AF499" s="340" t="n"/>
      <c r="AG499" s="340" t="n"/>
      <c r="AH499" s="340" t="n"/>
      <c r="AI499" s="340" t="n"/>
      <c r="AJ499" s="340" t="n"/>
      <c r="AK499" s="340" t="n"/>
      <c r="AL499" s="340" t="n"/>
    </row>
    <row r="500" ht="12.75" customHeight="1">
      <c r="K500" s="340" t="n"/>
      <c r="L500" s="340" t="n"/>
      <c r="M500" s="340" t="n"/>
      <c r="N500" s="340" t="n"/>
      <c r="O500" s="340" t="n"/>
      <c r="P500" s="340" t="n"/>
      <c r="Q500" s="340" t="n"/>
      <c r="R500" s="340" t="n"/>
      <c r="S500" s="340" t="n"/>
      <c r="T500" s="340" t="n"/>
      <c r="U500" s="340" t="n"/>
      <c r="V500" s="340" t="n"/>
      <c r="W500" s="340" t="n"/>
      <c r="X500" s="340" t="n"/>
      <c r="Y500" s="340" t="n"/>
      <c r="Z500" s="340" t="n"/>
      <c r="AA500" s="340" t="n"/>
      <c r="AB500" s="340" t="n"/>
      <c r="AC500" s="340" t="n"/>
      <c r="AD500" s="340" t="n"/>
      <c r="AE500" s="340" t="n"/>
      <c r="AF500" s="340" t="n"/>
      <c r="AG500" s="340" t="n"/>
      <c r="AH500" s="340" t="n"/>
      <c r="AI500" s="340" t="n"/>
      <c r="AJ500" s="340" t="n"/>
      <c r="AK500" s="340" t="n"/>
      <c r="AL500" s="340" t="n"/>
    </row>
    <row r="501" ht="12.75" customHeight="1">
      <c r="K501" s="340" t="n"/>
      <c r="L501" s="340" t="n"/>
      <c r="M501" s="340" t="n"/>
      <c r="N501" s="340" t="n"/>
      <c r="O501" s="340" t="n"/>
      <c r="P501" s="340" t="n"/>
      <c r="Q501" s="340" t="n"/>
      <c r="R501" s="340" t="n"/>
      <c r="S501" s="340" t="n"/>
      <c r="T501" s="340" t="n"/>
      <c r="U501" s="340" t="n"/>
      <c r="V501" s="340" t="n"/>
      <c r="W501" s="340" t="n"/>
      <c r="X501" s="340" t="n"/>
      <c r="Y501" s="340" t="n"/>
      <c r="Z501" s="340" t="n"/>
      <c r="AA501" s="340" t="n"/>
      <c r="AB501" s="340" t="n"/>
      <c r="AC501" s="340" t="n"/>
      <c r="AD501" s="340" t="n"/>
      <c r="AE501" s="340" t="n"/>
      <c r="AF501" s="340" t="n"/>
      <c r="AG501" s="340" t="n"/>
      <c r="AH501" s="340" t="n"/>
      <c r="AI501" s="340" t="n"/>
      <c r="AJ501" s="340" t="n"/>
      <c r="AK501" s="340" t="n"/>
      <c r="AL501" s="340" t="n"/>
    </row>
    <row r="502" ht="12.75" customHeight="1">
      <c r="K502" s="340" t="n"/>
      <c r="L502" s="340" t="n"/>
      <c r="M502" s="340" t="n"/>
      <c r="N502" s="340" t="n"/>
      <c r="O502" s="340" t="n"/>
      <c r="P502" s="340" t="n"/>
      <c r="Q502" s="340" t="n"/>
      <c r="R502" s="340" t="n"/>
      <c r="S502" s="340" t="n"/>
      <c r="T502" s="340" t="n"/>
      <c r="U502" s="340" t="n"/>
      <c r="V502" s="340" t="n"/>
      <c r="W502" s="340" t="n"/>
      <c r="X502" s="340" t="n"/>
      <c r="Y502" s="340" t="n"/>
      <c r="Z502" s="340" t="n"/>
      <c r="AA502" s="340" t="n"/>
      <c r="AB502" s="340" t="n"/>
      <c r="AC502" s="340" t="n"/>
      <c r="AD502" s="340" t="n"/>
      <c r="AE502" s="340" t="n"/>
      <c r="AF502" s="340" t="n"/>
      <c r="AG502" s="340" t="n"/>
      <c r="AH502" s="340" t="n"/>
      <c r="AI502" s="340" t="n"/>
      <c r="AJ502" s="340" t="n"/>
      <c r="AK502" s="340" t="n"/>
      <c r="AL502" s="340" t="n"/>
    </row>
    <row r="503" ht="12.75" customHeight="1">
      <c r="K503" s="340" t="n"/>
      <c r="L503" s="340" t="n"/>
      <c r="M503" s="340" t="n"/>
      <c r="N503" s="340" t="n"/>
      <c r="O503" s="340" t="n"/>
      <c r="P503" s="340" t="n"/>
      <c r="Q503" s="340" t="n"/>
      <c r="R503" s="340" t="n"/>
      <c r="S503" s="340" t="n"/>
      <c r="T503" s="340" t="n"/>
      <c r="U503" s="340" t="n"/>
      <c r="V503" s="340" t="n"/>
      <c r="W503" s="340" t="n"/>
      <c r="X503" s="340" t="n"/>
      <c r="Y503" s="340" t="n"/>
      <c r="Z503" s="340" t="n"/>
      <c r="AA503" s="340" t="n"/>
      <c r="AB503" s="340" t="n"/>
      <c r="AC503" s="340" t="n"/>
      <c r="AD503" s="340" t="n"/>
      <c r="AE503" s="340" t="n"/>
      <c r="AF503" s="340" t="n"/>
      <c r="AG503" s="340" t="n"/>
      <c r="AH503" s="340" t="n"/>
      <c r="AI503" s="340" t="n"/>
      <c r="AJ503" s="340" t="n"/>
      <c r="AK503" s="340" t="n"/>
      <c r="AL503" s="340" t="n"/>
    </row>
    <row r="504" ht="12.75" customHeight="1">
      <c r="K504" s="340" t="n"/>
      <c r="L504" s="340" t="n"/>
      <c r="M504" s="340" t="n"/>
      <c r="N504" s="340" t="n"/>
      <c r="O504" s="340" t="n"/>
      <c r="P504" s="340" t="n"/>
      <c r="Q504" s="340" t="n"/>
      <c r="R504" s="340" t="n"/>
      <c r="S504" s="340" t="n"/>
      <c r="T504" s="340" t="n"/>
      <c r="U504" s="340" t="n"/>
      <c r="V504" s="340" t="n"/>
      <c r="W504" s="340" t="n"/>
      <c r="X504" s="340" t="n"/>
      <c r="Y504" s="340" t="n"/>
      <c r="Z504" s="340" t="n"/>
      <c r="AA504" s="340" t="n"/>
      <c r="AB504" s="340" t="n"/>
      <c r="AC504" s="340" t="n"/>
      <c r="AD504" s="340" t="n"/>
      <c r="AE504" s="340" t="n"/>
      <c r="AF504" s="340" t="n"/>
      <c r="AG504" s="340" t="n"/>
      <c r="AH504" s="340" t="n"/>
      <c r="AI504" s="340" t="n"/>
      <c r="AJ504" s="340" t="n"/>
      <c r="AK504" s="340" t="n"/>
      <c r="AL504" s="340" t="n"/>
    </row>
    <row r="505" ht="12.75" customHeight="1">
      <c r="K505" s="340" t="n"/>
      <c r="L505" s="340" t="n"/>
      <c r="M505" s="340" t="n"/>
      <c r="N505" s="340" t="n"/>
      <c r="O505" s="340" t="n"/>
      <c r="P505" s="340" t="n"/>
      <c r="Q505" s="340" t="n"/>
      <c r="R505" s="340" t="n"/>
      <c r="S505" s="340" t="n"/>
      <c r="T505" s="340" t="n"/>
      <c r="U505" s="340" t="n"/>
      <c r="V505" s="340" t="n"/>
      <c r="W505" s="340" t="n"/>
      <c r="X505" s="340" t="n"/>
      <c r="Y505" s="340" t="n"/>
      <c r="Z505" s="340" t="n"/>
      <c r="AA505" s="340" t="n"/>
      <c r="AB505" s="340" t="n"/>
      <c r="AC505" s="340" t="n"/>
      <c r="AD505" s="340" t="n"/>
      <c r="AE505" s="340" t="n"/>
      <c r="AF505" s="340" t="n"/>
      <c r="AG505" s="340" t="n"/>
      <c r="AH505" s="340" t="n"/>
      <c r="AI505" s="340" t="n"/>
      <c r="AJ505" s="340" t="n"/>
      <c r="AK505" s="340" t="n"/>
      <c r="AL505" s="340" t="n"/>
    </row>
    <row r="506" ht="12.75" customHeight="1">
      <c r="K506" s="340" t="n"/>
      <c r="L506" s="340" t="n"/>
      <c r="M506" s="340" t="n"/>
      <c r="N506" s="340" t="n"/>
      <c r="O506" s="340" t="n"/>
      <c r="P506" s="340" t="n"/>
      <c r="Q506" s="340" t="n"/>
      <c r="R506" s="340" t="n"/>
      <c r="S506" s="340" t="n"/>
      <c r="T506" s="340" t="n"/>
      <c r="U506" s="340" t="n"/>
      <c r="V506" s="340" t="n"/>
      <c r="W506" s="340" t="n"/>
      <c r="X506" s="340" t="n"/>
      <c r="Y506" s="340" t="n"/>
      <c r="Z506" s="340" t="n"/>
      <c r="AA506" s="340" t="n"/>
      <c r="AB506" s="340" t="n"/>
      <c r="AC506" s="340" t="n"/>
      <c r="AD506" s="340" t="n"/>
      <c r="AE506" s="340" t="n"/>
      <c r="AF506" s="340" t="n"/>
      <c r="AG506" s="340" t="n"/>
      <c r="AH506" s="340" t="n"/>
      <c r="AI506" s="340" t="n"/>
      <c r="AJ506" s="340" t="n"/>
      <c r="AK506" s="340" t="n"/>
      <c r="AL506" s="340" t="n"/>
    </row>
    <row r="507" ht="12.75" customHeight="1">
      <c r="K507" s="340" t="n"/>
      <c r="L507" s="340" t="n"/>
      <c r="M507" s="340" t="n"/>
      <c r="N507" s="340" t="n"/>
      <c r="O507" s="340" t="n"/>
      <c r="P507" s="340" t="n"/>
      <c r="Q507" s="340" t="n"/>
      <c r="R507" s="340" t="n"/>
      <c r="S507" s="340" t="n"/>
      <c r="T507" s="340" t="n"/>
      <c r="U507" s="340" t="n"/>
      <c r="V507" s="340" t="n"/>
      <c r="W507" s="340" t="n"/>
      <c r="X507" s="340" t="n"/>
      <c r="Y507" s="340" t="n"/>
      <c r="Z507" s="340" t="n"/>
      <c r="AA507" s="340" t="n"/>
      <c r="AB507" s="340" t="n"/>
      <c r="AC507" s="340" t="n"/>
      <c r="AD507" s="340" t="n"/>
      <c r="AE507" s="340" t="n"/>
      <c r="AF507" s="340" t="n"/>
      <c r="AG507" s="340" t="n"/>
      <c r="AH507" s="340" t="n"/>
      <c r="AI507" s="340" t="n"/>
      <c r="AJ507" s="340" t="n"/>
      <c r="AK507" s="340" t="n"/>
      <c r="AL507" s="340" t="n"/>
    </row>
    <row r="508" ht="12.75" customHeight="1">
      <c r="K508" s="340" t="n"/>
      <c r="L508" s="340" t="n"/>
      <c r="M508" s="340" t="n"/>
      <c r="N508" s="340" t="n"/>
      <c r="O508" s="340" t="n"/>
      <c r="P508" s="340" t="n"/>
      <c r="Q508" s="340" t="n"/>
      <c r="R508" s="340" t="n"/>
      <c r="S508" s="340" t="n"/>
      <c r="T508" s="340" t="n"/>
      <c r="U508" s="340" t="n"/>
      <c r="V508" s="340" t="n"/>
      <c r="W508" s="340" t="n"/>
      <c r="X508" s="340" t="n"/>
      <c r="Y508" s="340" t="n"/>
      <c r="Z508" s="340" t="n"/>
      <c r="AA508" s="340" t="n"/>
      <c r="AB508" s="340" t="n"/>
      <c r="AC508" s="340" t="n"/>
      <c r="AD508" s="340" t="n"/>
      <c r="AE508" s="340" t="n"/>
      <c r="AF508" s="340" t="n"/>
      <c r="AG508" s="340" t="n"/>
      <c r="AH508" s="340" t="n"/>
      <c r="AI508" s="340" t="n"/>
      <c r="AJ508" s="340" t="n"/>
      <c r="AK508" s="340" t="n"/>
      <c r="AL508" s="340" t="n"/>
    </row>
    <row r="509" ht="12.75" customHeight="1">
      <c r="K509" s="340" t="n"/>
      <c r="L509" s="340" t="n"/>
      <c r="M509" s="340" t="n"/>
      <c r="N509" s="340" t="n"/>
      <c r="O509" s="340" t="n"/>
      <c r="P509" s="340" t="n"/>
      <c r="Q509" s="340" t="n"/>
      <c r="R509" s="340" t="n"/>
      <c r="S509" s="340" t="n"/>
      <c r="T509" s="340" t="n"/>
      <c r="U509" s="340" t="n"/>
      <c r="V509" s="340" t="n"/>
      <c r="W509" s="340" t="n"/>
      <c r="X509" s="340" t="n"/>
      <c r="Y509" s="340" t="n"/>
      <c r="Z509" s="340" t="n"/>
      <c r="AA509" s="340" t="n"/>
      <c r="AB509" s="340" t="n"/>
      <c r="AC509" s="340" t="n"/>
      <c r="AD509" s="340" t="n"/>
      <c r="AE509" s="340" t="n"/>
      <c r="AF509" s="340" t="n"/>
      <c r="AG509" s="340" t="n"/>
      <c r="AH509" s="340" t="n"/>
      <c r="AI509" s="340" t="n"/>
      <c r="AJ509" s="340" t="n"/>
      <c r="AK509" s="340" t="n"/>
      <c r="AL509" s="340" t="n"/>
    </row>
    <row r="510" ht="12.75" customHeight="1">
      <c r="K510" s="340" t="n"/>
      <c r="L510" s="340" t="n"/>
      <c r="M510" s="340" t="n"/>
      <c r="N510" s="340" t="n"/>
      <c r="O510" s="340" t="n"/>
      <c r="P510" s="340" t="n"/>
      <c r="Q510" s="340" t="n"/>
      <c r="R510" s="340" t="n"/>
      <c r="S510" s="340" t="n"/>
      <c r="T510" s="340" t="n"/>
      <c r="U510" s="340" t="n"/>
      <c r="V510" s="340" t="n"/>
      <c r="W510" s="340" t="n"/>
      <c r="X510" s="340" t="n"/>
      <c r="Y510" s="340" t="n"/>
      <c r="Z510" s="340" t="n"/>
      <c r="AA510" s="340" t="n"/>
      <c r="AB510" s="340" t="n"/>
      <c r="AC510" s="340" t="n"/>
      <c r="AD510" s="340" t="n"/>
      <c r="AE510" s="340" t="n"/>
      <c r="AF510" s="340" t="n"/>
      <c r="AG510" s="340" t="n"/>
      <c r="AH510" s="340" t="n"/>
      <c r="AI510" s="340" t="n"/>
      <c r="AJ510" s="340" t="n"/>
      <c r="AK510" s="340" t="n"/>
      <c r="AL510" s="340" t="n"/>
    </row>
    <row r="511" ht="12.75" customHeight="1">
      <c r="K511" s="340" t="n"/>
      <c r="L511" s="340" t="n"/>
      <c r="M511" s="340" t="n"/>
      <c r="N511" s="340" t="n"/>
      <c r="O511" s="340" t="n"/>
      <c r="P511" s="340" t="n"/>
      <c r="Q511" s="340" t="n"/>
      <c r="R511" s="340" t="n"/>
      <c r="S511" s="340" t="n"/>
      <c r="T511" s="340" t="n"/>
      <c r="U511" s="340" t="n"/>
      <c r="V511" s="340" t="n"/>
      <c r="W511" s="340" t="n"/>
      <c r="X511" s="340" t="n"/>
      <c r="Y511" s="340" t="n"/>
      <c r="Z511" s="340" t="n"/>
      <c r="AA511" s="340" t="n"/>
      <c r="AB511" s="340" t="n"/>
      <c r="AC511" s="340" t="n"/>
      <c r="AD511" s="340" t="n"/>
      <c r="AE511" s="340" t="n"/>
      <c r="AF511" s="340" t="n"/>
      <c r="AG511" s="340" t="n"/>
      <c r="AH511" s="340" t="n"/>
      <c r="AI511" s="340" t="n"/>
      <c r="AJ511" s="340" t="n"/>
      <c r="AK511" s="340" t="n"/>
      <c r="AL511" s="340" t="n"/>
    </row>
    <row r="512" ht="12.75" customHeight="1">
      <c r="K512" s="340" t="n"/>
      <c r="L512" s="340" t="n"/>
      <c r="M512" s="340" t="n"/>
      <c r="N512" s="340" t="n"/>
      <c r="O512" s="340" t="n"/>
      <c r="P512" s="340" t="n"/>
      <c r="Q512" s="340" t="n"/>
      <c r="R512" s="340" t="n"/>
      <c r="S512" s="340" t="n"/>
      <c r="T512" s="340" t="n"/>
      <c r="U512" s="340" t="n"/>
      <c r="V512" s="340" t="n"/>
      <c r="W512" s="340" t="n"/>
      <c r="X512" s="340" t="n"/>
      <c r="Y512" s="340" t="n"/>
      <c r="Z512" s="340" t="n"/>
      <c r="AA512" s="340" t="n"/>
      <c r="AB512" s="340" t="n"/>
      <c r="AC512" s="340" t="n"/>
      <c r="AD512" s="340" t="n"/>
      <c r="AE512" s="340" t="n"/>
      <c r="AF512" s="340" t="n"/>
      <c r="AG512" s="340" t="n"/>
      <c r="AH512" s="340" t="n"/>
      <c r="AI512" s="340" t="n"/>
      <c r="AJ512" s="340" t="n"/>
      <c r="AK512" s="340" t="n"/>
      <c r="AL512" s="340" t="n"/>
    </row>
    <row r="513" ht="12.75" customHeight="1">
      <c r="K513" s="340" t="n"/>
      <c r="L513" s="340" t="n"/>
      <c r="M513" s="340" t="n"/>
      <c r="N513" s="340" t="n"/>
      <c r="O513" s="340" t="n"/>
      <c r="P513" s="340" t="n"/>
      <c r="Q513" s="340" t="n"/>
      <c r="R513" s="340" t="n"/>
      <c r="S513" s="340" t="n"/>
      <c r="T513" s="340" t="n"/>
      <c r="U513" s="340" t="n"/>
      <c r="V513" s="340" t="n"/>
      <c r="W513" s="340" t="n"/>
      <c r="X513" s="340" t="n"/>
      <c r="Y513" s="340" t="n"/>
      <c r="Z513" s="340" t="n"/>
      <c r="AA513" s="340" t="n"/>
      <c r="AB513" s="340" t="n"/>
      <c r="AC513" s="340" t="n"/>
      <c r="AD513" s="340" t="n"/>
      <c r="AE513" s="340" t="n"/>
      <c r="AF513" s="340" t="n"/>
      <c r="AG513" s="340" t="n"/>
      <c r="AH513" s="340" t="n"/>
      <c r="AI513" s="340" t="n"/>
      <c r="AJ513" s="340" t="n"/>
      <c r="AK513" s="340" t="n"/>
      <c r="AL513" s="340" t="n"/>
    </row>
    <row r="514" ht="12.75" customHeight="1">
      <c r="K514" s="340" t="n"/>
      <c r="L514" s="340" t="n"/>
      <c r="M514" s="340" t="n"/>
      <c r="N514" s="340" t="n"/>
      <c r="O514" s="340" t="n"/>
      <c r="P514" s="340" t="n"/>
      <c r="Q514" s="340" t="n"/>
      <c r="R514" s="340" t="n"/>
      <c r="S514" s="340" t="n"/>
      <c r="T514" s="340" t="n"/>
      <c r="U514" s="340" t="n"/>
      <c r="V514" s="340" t="n"/>
      <c r="W514" s="340" t="n"/>
      <c r="X514" s="340" t="n"/>
      <c r="Y514" s="340" t="n"/>
      <c r="Z514" s="340" t="n"/>
      <c r="AA514" s="340" t="n"/>
      <c r="AB514" s="340" t="n"/>
      <c r="AC514" s="340" t="n"/>
      <c r="AD514" s="340" t="n"/>
      <c r="AE514" s="340" t="n"/>
      <c r="AF514" s="340" t="n"/>
      <c r="AG514" s="340" t="n"/>
      <c r="AH514" s="340" t="n"/>
      <c r="AI514" s="340" t="n"/>
      <c r="AJ514" s="340" t="n"/>
      <c r="AK514" s="340" t="n"/>
      <c r="AL514" s="340" t="n"/>
    </row>
    <row r="515" ht="12.75" customHeight="1">
      <c r="K515" s="340" t="n"/>
      <c r="L515" s="340" t="n"/>
      <c r="M515" s="340" t="n"/>
      <c r="N515" s="340" t="n"/>
      <c r="O515" s="340" t="n"/>
      <c r="P515" s="340" t="n"/>
      <c r="Q515" s="340" t="n"/>
      <c r="R515" s="340" t="n"/>
      <c r="S515" s="340" t="n"/>
      <c r="T515" s="340" t="n"/>
      <c r="U515" s="340" t="n"/>
      <c r="V515" s="340" t="n"/>
      <c r="W515" s="340" t="n"/>
      <c r="X515" s="340" t="n"/>
      <c r="Y515" s="340" t="n"/>
      <c r="Z515" s="340" t="n"/>
      <c r="AA515" s="340" t="n"/>
      <c r="AB515" s="340" t="n"/>
      <c r="AC515" s="340" t="n"/>
      <c r="AD515" s="340" t="n"/>
      <c r="AE515" s="340" t="n"/>
      <c r="AF515" s="340" t="n"/>
      <c r="AG515" s="340" t="n"/>
      <c r="AH515" s="340" t="n"/>
      <c r="AI515" s="340" t="n"/>
      <c r="AJ515" s="340" t="n"/>
      <c r="AK515" s="340" t="n"/>
      <c r="AL515" s="340" t="n"/>
    </row>
    <row r="516" ht="12.75" customHeight="1">
      <c r="K516" s="340" t="n"/>
      <c r="L516" s="340" t="n"/>
      <c r="M516" s="340" t="n"/>
      <c r="N516" s="340" t="n"/>
      <c r="O516" s="340" t="n"/>
      <c r="P516" s="340" t="n"/>
      <c r="Q516" s="340" t="n"/>
      <c r="R516" s="340" t="n"/>
      <c r="S516" s="340" t="n"/>
      <c r="T516" s="340" t="n"/>
      <c r="U516" s="340" t="n"/>
      <c r="V516" s="340" t="n"/>
      <c r="W516" s="340" t="n"/>
      <c r="X516" s="340" t="n"/>
      <c r="Y516" s="340" t="n"/>
      <c r="Z516" s="340" t="n"/>
      <c r="AA516" s="340" t="n"/>
      <c r="AB516" s="340" t="n"/>
      <c r="AC516" s="340" t="n"/>
      <c r="AD516" s="340" t="n"/>
      <c r="AE516" s="340" t="n"/>
      <c r="AF516" s="340" t="n"/>
      <c r="AG516" s="340" t="n"/>
      <c r="AH516" s="340" t="n"/>
      <c r="AI516" s="340" t="n"/>
      <c r="AJ516" s="340" t="n"/>
      <c r="AK516" s="340" t="n"/>
      <c r="AL516" s="340" t="n"/>
    </row>
    <row r="517" ht="12.75" customHeight="1">
      <c r="K517" s="340" t="n"/>
      <c r="L517" s="340" t="n"/>
      <c r="M517" s="340" t="n"/>
      <c r="N517" s="340" t="n"/>
      <c r="O517" s="340" t="n"/>
      <c r="P517" s="340" t="n"/>
      <c r="Q517" s="340" t="n"/>
      <c r="R517" s="340" t="n"/>
      <c r="S517" s="340" t="n"/>
      <c r="T517" s="340" t="n"/>
      <c r="U517" s="340" t="n"/>
      <c r="V517" s="340" t="n"/>
      <c r="W517" s="340" t="n"/>
      <c r="X517" s="340" t="n"/>
      <c r="Y517" s="340" t="n"/>
      <c r="Z517" s="340" t="n"/>
      <c r="AA517" s="340" t="n"/>
      <c r="AB517" s="340" t="n"/>
      <c r="AC517" s="340" t="n"/>
      <c r="AD517" s="340" t="n"/>
      <c r="AE517" s="340" t="n"/>
      <c r="AF517" s="340" t="n"/>
      <c r="AG517" s="340" t="n"/>
      <c r="AH517" s="340" t="n"/>
      <c r="AI517" s="340" t="n"/>
      <c r="AJ517" s="340" t="n"/>
      <c r="AK517" s="340" t="n"/>
      <c r="AL517" s="340" t="n"/>
    </row>
    <row r="518" ht="12.75" customHeight="1">
      <c r="K518" s="340" t="n"/>
      <c r="L518" s="340" t="n"/>
      <c r="M518" s="340" t="n"/>
      <c r="N518" s="340" t="n"/>
      <c r="O518" s="340" t="n"/>
      <c r="P518" s="340" t="n"/>
      <c r="Q518" s="340" t="n"/>
      <c r="R518" s="340" t="n"/>
      <c r="S518" s="340" t="n"/>
      <c r="T518" s="340" t="n"/>
      <c r="U518" s="340" t="n"/>
      <c r="V518" s="340" t="n"/>
      <c r="W518" s="340" t="n"/>
      <c r="X518" s="340" t="n"/>
      <c r="Y518" s="340" t="n"/>
      <c r="Z518" s="340" t="n"/>
      <c r="AA518" s="340" t="n"/>
      <c r="AB518" s="340" t="n"/>
      <c r="AC518" s="340" t="n"/>
      <c r="AD518" s="340" t="n"/>
      <c r="AE518" s="340" t="n"/>
      <c r="AF518" s="340" t="n"/>
      <c r="AG518" s="340" t="n"/>
      <c r="AH518" s="340" t="n"/>
      <c r="AI518" s="340" t="n"/>
      <c r="AJ518" s="340" t="n"/>
      <c r="AK518" s="340" t="n"/>
      <c r="AL518" s="340" t="n"/>
    </row>
    <row r="519" ht="12.75" customHeight="1">
      <c r="K519" s="340" t="n"/>
      <c r="L519" s="340" t="n"/>
      <c r="M519" s="340" t="n"/>
      <c r="N519" s="340" t="n"/>
      <c r="O519" s="340" t="n"/>
      <c r="P519" s="340" t="n"/>
      <c r="Q519" s="340" t="n"/>
      <c r="R519" s="340" t="n"/>
      <c r="S519" s="340" t="n"/>
      <c r="T519" s="340" t="n"/>
      <c r="U519" s="340" t="n"/>
      <c r="V519" s="340" t="n"/>
      <c r="W519" s="340" t="n"/>
      <c r="X519" s="340" t="n"/>
      <c r="Y519" s="340" t="n"/>
      <c r="Z519" s="340" t="n"/>
      <c r="AA519" s="340" t="n"/>
      <c r="AB519" s="340" t="n"/>
      <c r="AC519" s="340" t="n"/>
      <c r="AD519" s="340" t="n"/>
      <c r="AE519" s="340" t="n"/>
      <c r="AF519" s="340" t="n"/>
      <c r="AG519" s="340" t="n"/>
      <c r="AH519" s="340" t="n"/>
      <c r="AI519" s="340" t="n"/>
      <c r="AJ519" s="340" t="n"/>
      <c r="AK519" s="340" t="n"/>
      <c r="AL519" s="340" t="n"/>
    </row>
    <row r="520" ht="12.75" customHeight="1">
      <c r="K520" s="340" t="n"/>
      <c r="L520" s="340" t="n"/>
      <c r="M520" s="340" t="n"/>
      <c r="N520" s="340" t="n"/>
      <c r="O520" s="340" t="n"/>
      <c r="P520" s="340" t="n"/>
      <c r="Q520" s="340" t="n"/>
      <c r="R520" s="340" t="n"/>
      <c r="S520" s="340" t="n"/>
      <c r="T520" s="340" t="n"/>
      <c r="U520" s="340" t="n"/>
      <c r="V520" s="340" t="n"/>
      <c r="W520" s="340" t="n"/>
      <c r="X520" s="340" t="n"/>
      <c r="Y520" s="340" t="n"/>
      <c r="Z520" s="340" t="n"/>
      <c r="AA520" s="340" t="n"/>
      <c r="AB520" s="340" t="n"/>
      <c r="AC520" s="340" t="n"/>
      <c r="AD520" s="340" t="n"/>
      <c r="AE520" s="340" t="n"/>
      <c r="AF520" s="340" t="n"/>
      <c r="AG520" s="340" t="n"/>
      <c r="AH520" s="340" t="n"/>
      <c r="AI520" s="340" t="n"/>
      <c r="AJ520" s="340" t="n"/>
      <c r="AK520" s="340" t="n"/>
      <c r="AL520" s="340" t="n"/>
    </row>
    <row r="521" ht="12.75" customHeight="1">
      <c r="K521" s="340" t="n"/>
      <c r="L521" s="340" t="n"/>
      <c r="M521" s="340" t="n"/>
      <c r="N521" s="340" t="n"/>
      <c r="O521" s="340" t="n"/>
      <c r="P521" s="340" t="n"/>
      <c r="Q521" s="340" t="n"/>
      <c r="R521" s="340" t="n"/>
      <c r="S521" s="340" t="n"/>
      <c r="T521" s="340" t="n"/>
      <c r="U521" s="340" t="n"/>
      <c r="V521" s="340" t="n"/>
      <c r="W521" s="340" t="n"/>
      <c r="X521" s="340" t="n"/>
      <c r="Y521" s="340" t="n"/>
      <c r="Z521" s="340" t="n"/>
      <c r="AA521" s="340" t="n"/>
      <c r="AB521" s="340" t="n"/>
      <c r="AC521" s="340" t="n"/>
      <c r="AD521" s="340" t="n"/>
      <c r="AE521" s="340" t="n"/>
      <c r="AF521" s="340" t="n"/>
      <c r="AG521" s="340" t="n"/>
      <c r="AH521" s="340" t="n"/>
      <c r="AI521" s="340" t="n"/>
      <c r="AJ521" s="340" t="n"/>
      <c r="AK521" s="340" t="n"/>
      <c r="AL521" s="340" t="n"/>
    </row>
    <row r="522" ht="12.75" customHeight="1">
      <c r="K522" s="340" t="n"/>
      <c r="L522" s="340" t="n"/>
      <c r="M522" s="340" t="n"/>
      <c r="N522" s="340" t="n"/>
      <c r="O522" s="340" t="n"/>
      <c r="P522" s="340" t="n"/>
      <c r="Q522" s="340" t="n"/>
      <c r="R522" s="340" t="n"/>
      <c r="S522" s="340" t="n"/>
      <c r="T522" s="340" t="n"/>
      <c r="U522" s="340" t="n"/>
      <c r="V522" s="340" t="n"/>
      <c r="W522" s="340" t="n"/>
      <c r="X522" s="340" t="n"/>
      <c r="Y522" s="340" t="n"/>
      <c r="Z522" s="340" t="n"/>
      <c r="AA522" s="340" t="n"/>
      <c r="AB522" s="340" t="n"/>
      <c r="AC522" s="340" t="n"/>
      <c r="AD522" s="340" t="n"/>
      <c r="AE522" s="340" t="n"/>
      <c r="AF522" s="340" t="n"/>
      <c r="AG522" s="340" t="n"/>
      <c r="AH522" s="340" t="n"/>
      <c r="AI522" s="340" t="n"/>
      <c r="AJ522" s="340" t="n"/>
      <c r="AK522" s="340" t="n"/>
      <c r="AL522" s="340" t="n"/>
    </row>
    <row r="523" ht="12.75" customHeight="1">
      <c r="K523" s="340" t="n"/>
      <c r="L523" s="340" t="n"/>
      <c r="M523" s="340" t="n"/>
      <c r="N523" s="340" t="n"/>
      <c r="O523" s="340" t="n"/>
      <c r="P523" s="340" t="n"/>
      <c r="Q523" s="340" t="n"/>
      <c r="R523" s="340" t="n"/>
      <c r="S523" s="340" t="n"/>
      <c r="T523" s="340" t="n"/>
      <c r="U523" s="340" t="n"/>
      <c r="V523" s="340" t="n"/>
      <c r="W523" s="340" t="n"/>
      <c r="X523" s="340" t="n"/>
      <c r="Y523" s="340" t="n"/>
      <c r="Z523" s="340" t="n"/>
      <c r="AA523" s="340" t="n"/>
      <c r="AB523" s="340" t="n"/>
      <c r="AC523" s="340" t="n"/>
      <c r="AD523" s="340" t="n"/>
      <c r="AE523" s="340" t="n"/>
      <c r="AF523" s="340" t="n"/>
      <c r="AG523" s="340" t="n"/>
      <c r="AH523" s="340" t="n"/>
      <c r="AI523" s="340" t="n"/>
      <c r="AJ523" s="340" t="n"/>
      <c r="AK523" s="340" t="n"/>
      <c r="AL523" s="340" t="n"/>
    </row>
    <row r="524" ht="12.75" customHeight="1">
      <c r="K524" s="340" t="n"/>
      <c r="L524" s="340" t="n"/>
      <c r="M524" s="340" t="n"/>
      <c r="N524" s="340" t="n"/>
      <c r="O524" s="340" t="n"/>
      <c r="P524" s="340" t="n"/>
      <c r="Q524" s="340" t="n"/>
      <c r="R524" s="340" t="n"/>
      <c r="S524" s="340" t="n"/>
      <c r="T524" s="340" t="n"/>
      <c r="U524" s="340" t="n"/>
      <c r="V524" s="340" t="n"/>
      <c r="W524" s="340" t="n"/>
      <c r="X524" s="340" t="n"/>
      <c r="Y524" s="340" t="n"/>
      <c r="Z524" s="340" t="n"/>
      <c r="AA524" s="340" t="n"/>
      <c r="AB524" s="340" t="n"/>
      <c r="AC524" s="340" t="n"/>
      <c r="AD524" s="340" t="n"/>
      <c r="AE524" s="340" t="n"/>
      <c r="AF524" s="340" t="n"/>
      <c r="AG524" s="340" t="n"/>
      <c r="AH524" s="340" t="n"/>
      <c r="AI524" s="340" t="n"/>
      <c r="AJ524" s="340" t="n"/>
      <c r="AK524" s="340" t="n"/>
      <c r="AL524" s="340" t="n"/>
    </row>
    <row r="525" ht="12.75" customHeight="1">
      <c r="K525" s="340" t="n"/>
      <c r="L525" s="340" t="n"/>
      <c r="M525" s="340" t="n"/>
      <c r="N525" s="340" t="n"/>
      <c r="O525" s="340" t="n"/>
      <c r="P525" s="340" t="n"/>
      <c r="Q525" s="340" t="n"/>
      <c r="R525" s="340" t="n"/>
      <c r="S525" s="340" t="n"/>
      <c r="T525" s="340" t="n"/>
      <c r="U525" s="340" t="n"/>
      <c r="V525" s="340" t="n"/>
      <c r="W525" s="340" t="n"/>
      <c r="X525" s="340" t="n"/>
      <c r="Y525" s="340" t="n"/>
      <c r="Z525" s="340" t="n"/>
      <c r="AA525" s="340" t="n"/>
      <c r="AB525" s="340" t="n"/>
      <c r="AC525" s="340" t="n"/>
      <c r="AD525" s="340" t="n"/>
      <c r="AE525" s="340" t="n"/>
      <c r="AF525" s="340" t="n"/>
      <c r="AG525" s="340" t="n"/>
      <c r="AH525" s="340" t="n"/>
      <c r="AI525" s="340" t="n"/>
      <c r="AJ525" s="340" t="n"/>
      <c r="AK525" s="340" t="n"/>
      <c r="AL525" s="340" t="n"/>
    </row>
    <row r="526" ht="12.75" customHeight="1">
      <c r="K526" s="340" t="n"/>
      <c r="L526" s="340" t="n"/>
      <c r="M526" s="340" t="n"/>
      <c r="N526" s="340" t="n"/>
      <c r="O526" s="340" t="n"/>
      <c r="P526" s="340" t="n"/>
      <c r="Q526" s="340" t="n"/>
      <c r="R526" s="340" t="n"/>
      <c r="S526" s="340" t="n"/>
      <c r="T526" s="340" t="n"/>
      <c r="U526" s="340" t="n"/>
      <c r="V526" s="340" t="n"/>
      <c r="W526" s="340" t="n"/>
      <c r="X526" s="340" t="n"/>
      <c r="Y526" s="340" t="n"/>
      <c r="Z526" s="340" t="n"/>
      <c r="AA526" s="340" t="n"/>
      <c r="AB526" s="340" t="n"/>
      <c r="AC526" s="340" t="n"/>
      <c r="AD526" s="340" t="n"/>
      <c r="AE526" s="340" t="n"/>
      <c r="AF526" s="340" t="n"/>
      <c r="AG526" s="340" t="n"/>
      <c r="AH526" s="340" t="n"/>
      <c r="AI526" s="340" t="n"/>
      <c r="AJ526" s="340" t="n"/>
      <c r="AK526" s="340" t="n"/>
      <c r="AL526" s="340" t="n"/>
    </row>
    <row r="527" ht="12.75" customHeight="1">
      <c r="K527" s="340" t="n"/>
      <c r="L527" s="340" t="n"/>
      <c r="M527" s="340" t="n"/>
      <c r="N527" s="340" t="n"/>
      <c r="O527" s="340" t="n"/>
      <c r="P527" s="340" t="n"/>
      <c r="Q527" s="340" t="n"/>
      <c r="R527" s="340" t="n"/>
      <c r="S527" s="340" t="n"/>
      <c r="T527" s="340" t="n"/>
      <c r="U527" s="340" t="n"/>
      <c r="V527" s="340" t="n"/>
      <c r="W527" s="340" t="n"/>
      <c r="X527" s="340" t="n"/>
      <c r="Y527" s="340" t="n"/>
      <c r="Z527" s="340" t="n"/>
      <c r="AA527" s="340" t="n"/>
      <c r="AB527" s="340" t="n"/>
      <c r="AC527" s="340" t="n"/>
      <c r="AD527" s="340" t="n"/>
      <c r="AE527" s="340" t="n"/>
      <c r="AF527" s="340" t="n"/>
      <c r="AG527" s="340" t="n"/>
      <c r="AH527" s="340" t="n"/>
      <c r="AI527" s="340" t="n"/>
      <c r="AJ527" s="340" t="n"/>
      <c r="AK527" s="340" t="n"/>
      <c r="AL527" s="340" t="n"/>
    </row>
    <row r="528" ht="12.75" customHeight="1">
      <c r="K528" s="340" t="n"/>
      <c r="L528" s="340" t="n"/>
      <c r="M528" s="340" t="n"/>
      <c r="N528" s="340" t="n"/>
      <c r="O528" s="340" t="n"/>
      <c r="P528" s="340" t="n"/>
      <c r="Q528" s="340" t="n"/>
      <c r="R528" s="340" t="n"/>
      <c r="S528" s="340" t="n"/>
      <c r="T528" s="340" t="n"/>
      <c r="U528" s="340" t="n"/>
      <c r="V528" s="340" t="n"/>
      <c r="W528" s="340" t="n"/>
      <c r="X528" s="340" t="n"/>
      <c r="Y528" s="340" t="n"/>
      <c r="Z528" s="340" t="n"/>
      <c r="AA528" s="340" t="n"/>
      <c r="AB528" s="340" t="n"/>
      <c r="AC528" s="340" t="n"/>
      <c r="AD528" s="340" t="n"/>
      <c r="AE528" s="340" t="n"/>
      <c r="AF528" s="340" t="n"/>
      <c r="AG528" s="340" t="n"/>
      <c r="AH528" s="340" t="n"/>
      <c r="AI528" s="340" t="n"/>
      <c r="AJ528" s="340" t="n"/>
      <c r="AK528" s="340" t="n"/>
      <c r="AL528" s="340" t="n"/>
    </row>
    <row r="529" ht="12.75" customHeight="1">
      <c r="K529" s="340" t="n"/>
      <c r="L529" s="340" t="n"/>
      <c r="M529" s="340" t="n"/>
      <c r="N529" s="340" t="n"/>
      <c r="O529" s="340" t="n"/>
      <c r="P529" s="340" t="n"/>
      <c r="Q529" s="340" t="n"/>
      <c r="R529" s="340" t="n"/>
      <c r="S529" s="340" t="n"/>
      <c r="T529" s="340" t="n"/>
      <c r="U529" s="340" t="n"/>
      <c r="V529" s="340" t="n"/>
      <c r="W529" s="340" t="n"/>
      <c r="X529" s="340" t="n"/>
      <c r="Y529" s="340" t="n"/>
      <c r="Z529" s="340" t="n"/>
      <c r="AA529" s="340" t="n"/>
      <c r="AB529" s="340" t="n"/>
      <c r="AC529" s="340" t="n"/>
      <c r="AD529" s="340" t="n"/>
      <c r="AE529" s="340" t="n"/>
      <c r="AF529" s="340" t="n"/>
      <c r="AG529" s="340" t="n"/>
      <c r="AH529" s="340" t="n"/>
      <c r="AI529" s="340" t="n"/>
      <c r="AJ529" s="340" t="n"/>
      <c r="AK529" s="340" t="n"/>
      <c r="AL529" s="340" t="n"/>
    </row>
    <row r="530" ht="12.75" customHeight="1">
      <c r="K530" s="340" t="n"/>
      <c r="L530" s="340" t="n"/>
      <c r="M530" s="340" t="n"/>
      <c r="N530" s="340" t="n"/>
      <c r="O530" s="340" t="n"/>
      <c r="P530" s="340" t="n"/>
      <c r="Q530" s="340" t="n"/>
      <c r="R530" s="340" t="n"/>
      <c r="S530" s="340" t="n"/>
      <c r="T530" s="340" t="n"/>
      <c r="U530" s="340" t="n"/>
      <c r="V530" s="340" t="n"/>
      <c r="W530" s="340" t="n"/>
      <c r="X530" s="340" t="n"/>
      <c r="Y530" s="340" t="n"/>
      <c r="Z530" s="340" t="n"/>
      <c r="AA530" s="340" t="n"/>
      <c r="AB530" s="340" t="n"/>
      <c r="AC530" s="340" t="n"/>
      <c r="AD530" s="340" t="n"/>
      <c r="AE530" s="340" t="n"/>
      <c r="AF530" s="340" t="n"/>
      <c r="AG530" s="340" t="n"/>
      <c r="AH530" s="340" t="n"/>
      <c r="AI530" s="340" t="n"/>
      <c r="AJ530" s="340" t="n"/>
      <c r="AK530" s="340" t="n"/>
      <c r="AL530" s="340" t="n"/>
    </row>
    <row r="531" ht="12.75" customHeight="1">
      <c r="K531" s="340" t="n"/>
      <c r="L531" s="340" t="n"/>
      <c r="M531" s="340" t="n"/>
      <c r="N531" s="340" t="n"/>
      <c r="O531" s="340" t="n"/>
      <c r="P531" s="340" t="n"/>
      <c r="Q531" s="340" t="n"/>
      <c r="R531" s="340" t="n"/>
      <c r="S531" s="340" t="n"/>
      <c r="T531" s="340" t="n"/>
      <c r="U531" s="340" t="n"/>
      <c r="V531" s="340" t="n"/>
      <c r="W531" s="340" t="n"/>
      <c r="X531" s="340" t="n"/>
      <c r="Y531" s="340" t="n"/>
      <c r="Z531" s="340" t="n"/>
      <c r="AA531" s="340" t="n"/>
      <c r="AB531" s="340" t="n"/>
      <c r="AC531" s="340" t="n"/>
      <c r="AD531" s="340" t="n"/>
      <c r="AE531" s="340" t="n"/>
      <c r="AF531" s="340" t="n"/>
      <c r="AG531" s="340" t="n"/>
      <c r="AH531" s="340" t="n"/>
      <c r="AI531" s="340" t="n"/>
      <c r="AJ531" s="340" t="n"/>
      <c r="AK531" s="340" t="n"/>
      <c r="AL531" s="340" t="n"/>
    </row>
    <row r="532" ht="12.75" customHeight="1">
      <c r="K532" s="340" t="n"/>
      <c r="L532" s="340" t="n"/>
      <c r="M532" s="340" t="n"/>
      <c r="N532" s="340" t="n"/>
      <c r="O532" s="340" t="n"/>
      <c r="P532" s="340" t="n"/>
      <c r="Q532" s="340" t="n"/>
      <c r="R532" s="340" t="n"/>
      <c r="S532" s="340" t="n"/>
      <c r="T532" s="340" t="n"/>
      <c r="U532" s="340" t="n"/>
      <c r="V532" s="340" t="n"/>
      <c r="W532" s="340" t="n"/>
      <c r="X532" s="340" t="n"/>
      <c r="Y532" s="340" t="n"/>
      <c r="Z532" s="340" t="n"/>
      <c r="AA532" s="340" t="n"/>
      <c r="AB532" s="340" t="n"/>
      <c r="AC532" s="340" t="n"/>
      <c r="AD532" s="340" t="n"/>
      <c r="AE532" s="340" t="n"/>
      <c r="AF532" s="340" t="n"/>
      <c r="AG532" s="340" t="n"/>
      <c r="AH532" s="340" t="n"/>
      <c r="AI532" s="340" t="n"/>
      <c r="AJ532" s="340" t="n"/>
      <c r="AK532" s="340" t="n"/>
      <c r="AL532" s="340" t="n"/>
    </row>
    <row r="533" ht="12.75" customHeight="1">
      <c r="K533" s="340" t="n"/>
      <c r="L533" s="340" t="n"/>
      <c r="M533" s="340" t="n"/>
      <c r="N533" s="340" t="n"/>
      <c r="O533" s="340" t="n"/>
      <c r="P533" s="340" t="n"/>
      <c r="Q533" s="340" t="n"/>
      <c r="R533" s="340" t="n"/>
      <c r="S533" s="340" t="n"/>
      <c r="T533" s="340" t="n"/>
      <c r="U533" s="340" t="n"/>
      <c r="V533" s="340" t="n"/>
      <c r="W533" s="340" t="n"/>
      <c r="X533" s="340" t="n"/>
      <c r="Y533" s="340" t="n"/>
      <c r="Z533" s="340" t="n"/>
      <c r="AA533" s="340" t="n"/>
      <c r="AB533" s="340" t="n"/>
      <c r="AC533" s="340" t="n"/>
      <c r="AD533" s="340" t="n"/>
      <c r="AE533" s="340" t="n"/>
      <c r="AF533" s="340" t="n"/>
      <c r="AG533" s="340" t="n"/>
      <c r="AH533" s="340" t="n"/>
      <c r="AI533" s="340" t="n"/>
      <c r="AJ533" s="340" t="n"/>
      <c r="AK533" s="340" t="n"/>
      <c r="AL533" s="340" t="n"/>
    </row>
    <row r="534" ht="12.75" customHeight="1">
      <c r="K534" s="340" t="n"/>
      <c r="L534" s="340" t="n"/>
      <c r="M534" s="340" t="n"/>
      <c r="N534" s="340" t="n"/>
      <c r="O534" s="340" t="n"/>
      <c r="P534" s="340" t="n"/>
      <c r="Q534" s="340" t="n"/>
      <c r="R534" s="340" t="n"/>
      <c r="S534" s="340" t="n"/>
      <c r="T534" s="340" t="n"/>
      <c r="U534" s="340" t="n"/>
      <c r="V534" s="340" t="n"/>
      <c r="W534" s="340" t="n"/>
      <c r="X534" s="340" t="n"/>
      <c r="Y534" s="340" t="n"/>
      <c r="Z534" s="340" t="n"/>
      <c r="AA534" s="340" t="n"/>
      <c r="AB534" s="340" t="n"/>
      <c r="AC534" s="340" t="n"/>
      <c r="AD534" s="340" t="n"/>
      <c r="AE534" s="340" t="n"/>
      <c r="AF534" s="340" t="n"/>
      <c r="AG534" s="340" t="n"/>
      <c r="AH534" s="340" t="n"/>
      <c r="AI534" s="340" t="n"/>
      <c r="AJ534" s="340" t="n"/>
      <c r="AK534" s="340" t="n"/>
      <c r="AL534" s="340" t="n"/>
    </row>
    <row r="535" ht="12.75" customHeight="1">
      <c r="K535" s="340" t="n"/>
      <c r="L535" s="340" t="n"/>
      <c r="M535" s="340" t="n"/>
      <c r="N535" s="340" t="n"/>
      <c r="O535" s="340" t="n"/>
      <c r="P535" s="340" t="n"/>
      <c r="Q535" s="340" t="n"/>
      <c r="R535" s="340" t="n"/>
      <c r="S535" s="340" t="n"/>
      <c r="T535" s="340" t="n"/>
      <c r="U535" s="340" t="n"/>
      <c r="V535" s="340" t="n"/>
      <c r="W535" s="340" t="n"/>
      <c r="X535" s="340" t="n"/>
      <c r="Y535" s="340" t="n"/>
      <c r="Z535" s="340" t="n"/>
      <c r="AA535" s="340" t="n"/>
      <c r="AB535" s="340" t="n"/>
      <c r="AC535" s="340" t="n"/>
      <c r="AD535" s="340" t="n"/>
      <c r="AE535" s="340" t="n"/>
      <c r="AF535" s="340" t="n"/>
      <c r="AG535" s="340" t="n"/>
      <c r="AH535" s="340" t="n"/>
      <c r="AI535" s="340" t="n"/>
      <c r="AJ535" s="340" t="n"/>
      <c r="AK535" s="340" t="n"/>
      <c r="AL535" s="340" t="n"/>
    </row>
    <row r="536" ht="12.75" customHeight="1">
      <c r="K536" s="340" t="n"/>
      <c r="L536" s="340" t="n"/>
      <c r="M536" s="340" t="n"/>
      <c r="N536" s="340" t="n"/>
      <c r="O536" s="340" t="n"/>
      <c r="P536" s="340" t="n"/>
      <c r="Q536" s="340" t="n"/>
      <c r="R536" s="340" t="n"/>
      <c r="S536" s="340" t="n"/>
      <c r="T536" s="340" t="n"/>
      <c r="U536" s="340" t="n"/>
      <c r="V536" s="340" t="n"/>
      <c r="W536" s="340" t="n"/>
      <c r="X536" s="340" t="n"/>
      <c r="Y536" s="340" t="n"/>
      <c r="Z536" s="340" t="n"/>
      <c r="AA536" s="340" t="n"/>
      <c r="AB536" s="340" t="n"/>
      <c r="AC536" s="340" t="n"/>
      <c r="AD536" s="340" t="n"/>
      <c r="AE536" s="340" t="n"/>
      <c r="AF536" s="340" t="n"/>
      <c r="AG536" s="340" t="n"/>
      <c r="AH536" s="340" t="n"/>
      <c r="AI536" s="340" t="n"/>
      <c r="AJ536" s="340" t="n"/>
      <c r="AK536" s="340" t="n"/>
      <c r="AL536" s="340" t="n"/>
    </row>
    <row r="537" ht="12.75" customHeight="1">
      <c r="K537" s="340" t="n"/>
      <c r="L537" s="340" t="n"/>
      <c r="M537" s="340" t="n"/>
      <c r="N537" s="340" t="n"/>
      <c r="O537" s="340" t="n"/>
      <c r="P537" s="340" t="n"/>
      <c r="Q537" s="340" t="n"/>
      <c r="R537" s="340" t="n"/>
      <c r="S537" s="340" t="n"/>
      <c r="T537" s="340" t="n"/>
      <c r="U537" s="340" t="n"/>
      <c r="V537" s="340" t="n"/>
      <c r="W537" s="340" t="n"/>
      <c r="X537" s="340" t="n"/>
      <c r="Y537" s="340" t="n"/>
      <c r="Z537" s="340" t="n"/>
      <c r="AA537" s="340" t="n"/>
      <c r="AB537" s="340" t="n"/>
      <c r="AC537" s="340" t="n"/>
      <c r="AD537" s="340" t="n"/>
      <c r="AE537" s="340" t="n"/>
      <c r="AF537" s="340" t="n"/>
      <c r="AG537" s="340" t="n"/>
      <c r="AH537" s="340" t="n"/>
      <c r="AI537" s="340" t="n"/>
      <c r="AJ537" s="340" t="n"/>
      <c r="AK537" s="340" t="n"/>
      <c r="AL537" s="340" t="n"/>
    </row>
    <row r="538" ht="12.75" customHeight="1">
      <c r="K538" s="340" t="n"/>
      <c r="L538" s="340" t="n"/>
      <c r="M538" s="340" t="n"/>
      <c r="N538" s="340" t="n"/>
      <c r="O538" s="340" t="n"/>
      <c r="P538" s="340" t="n"/>
      <c r="Q538" s="340" t="n"/>
      <c r="R538" s="340" t="n"/>
      <c r="S538" s="340" t="n"/>
      <c r="T538" s="340" t="n"/>
      <c r="U538" s="340" t="n"/>
      <c r="V538" s="340" t="n"/>
      <c r="W538" s="340" t="n"/>
      <c r="X538" s="340" t="n"/>
      <c r="Y538" s="340" t="n"/>
      <c r="Z538" s="340" t="n"/>
      <c r="AA538" s="340" t="n"/>
      <c r="AB538" s="340" t="n"/>
      <c r="AC538" s="340" t="n"/>
      <c r="AD538" s="340" t="n"/>
      <c r="AE538" s="340" t="n"/>
      <c r="AF538" s="340" t="n"/>
      <c r="AG538" s="340" t="n"/>
      <c r="AH538" s="340" t="n"/>
      <c r="AI538" s="340" t="n"/>
      <c r="AJ538" s="340" t="n"/>
      <c r="AK538" s="340" t="n"/>
      <c r="AL538" s="340" t="n"/>
    </row>
    <row r="539" ht="12.75" customHeight="1">
      <c r="K539" s="340" t="n"/>
      <c r="L539" s="340" t="n"/>
      <c r="M539" s="340" t="n"/>
      <c r="N539" s="340" t="n"/>
      <c r="O539" s="340" t="n"/>
      <c r="P539" s="340" t="n"/>
      <c r="Q539" s="340" t="n"/>
      <c r="R539" s="340" t="n"/>
      <c r="S539" s="340" t="n"/>
      <c r="T539" s="340" t="n"/>
      <c r="U539" s="340" t="n"/>
      <c r="V539" s="340" t="n"/>
      <c r="W539" s="340" t="n"/>
      <c r="X539" s="340" t="n"/>
      <c r="Y539" s="340" t="n"/>
      <c r="Z539" s="340" t="n"/>
      <c r="AA539" s="340" t="n"/>
      <c r="AB539" s="340" t="n"/>
      <c r="AC539" s="340" t="n"/>
      <c r="AD539" s="340" t="n"/>
      <c r="AE539" s="340" t="n"/>
      <c r="AF539" s="340" t="n"/>
      <c r="AG539" s="340" t="n"/>
      <c r="AH539" s="340" t="n"/>
      <c r="AI539" s="340" t="n"/>
      <c r="AJ539" s="340" t="n"/>
      <c r="AK539" s="340" t="n"/>
      <c r="AL539" s="340" t="n"/>
    </row>
    <row r="540" ht="12.75" customHeight="1">
      <c r="K540" s="340" t="n"/>
      <c r="L540" s="340" t="n"/>
      <c r="M540" s="340" t="n"/>
      <c r="N540" s="340" t="n"/>
      <c r="O540" s="340" t="n"/>
      <c r="P540" s="340" t="n"/>
      <c r="Q540" s="340" t="n"/>
      <c r="R540" s="340" t="n"/>
      <c r="S540" s="340" t="n"/>
      <c r="T540" s="340" t="n"/>
      <c r="U540" s="340" t="n"/>
      <c r="V540" s="340" t="n"/>
      <c r="W540" s="340" t="n"/>
      <c r="X540" s="340" t="n"/>
      <c r="Y540" s="340" t="n"/>
      <c r="Z540" s="340" t="n"/>
      <c r="AA540" s="340" t="n"/>
      <c r="AB540" s="340" t="n"/>
      <c r="AC540" s="340" t="n"/>
      <c r="AD540" s="340" t="n"/>
      <c r="AE540" s="340" t="n"/>
      <c r="AF540" s="340" t="n"/>
      <c r="AG540" s="340" t="n"/>
      <c r="AH540" s="340" t="n"/>
      <c r="AI540" s="340" t="n"/>
      <c r="AJ540" s="340" t="n"/>
      <c r="AK540" s="340" t="n"/>
      <c r="AL540" s="340" t="n"/>
    </row>
    <row r="541" ht="12.75" customHeight="1">
      <c r="K541" s="340" t="n"/>
      <c r="L541" s="340" t="n"/>
      <c r="M541" s="340" t="n"/>
      <c r="N541" s="340" t="n"/>
      <c r="O541" s="340" t="n"/>
      <c r="P541" s="340" t="n"/>
      <c r="Q541" s="340" t="n"/>
      <c r="R541" s="340" t="n"/>
      <c r="S541" s="340" t="n"/>
      <c r="T541" s="340" t="n"/>
      <c r="U541" s="340" t="n"/>
      <c r="V541" s="340" t="n"/>
      <c r="W541" s="340" t="n"/>
      <c r="X541" s="340" t="n"/>
      <c r="Y541" s="340" t="n"/>
      <c r="Z541" s="340" t="n"/>
      <c r="AA541" s="340" t="n"/>
      <c r="AB541" s="340" t="n"/>
      <c r="AC541" s="340" t="n"/>
      <c r="AD541" s="340" t="n"/>
      <c r="AE541" s="340" t="n"/>
      <c r="AF541" s="340" t="n"/>
      <c r="AG541" s="340" t="n"/>
      <c r="AH541" s="340" t="n"/>
      <c r="AI541" s="340" t="n"/>
      <c r="AJ541" s="340" t="n"/>
      <c r="AK541" s="340" t="n"/>
      <c r="AL541" s="340" t="n"/>
    </row>
    <row r="542" ht="12.75" customHeight="1">
      <c r="K542" s="340" t="n"/>
      <c r="L542" s="340" t="n"/>
      <c r="M542" s="340" t="n"/>
      <c r="N542" s="340" t="n"/>
      <c r="O542" s="340" t="n"/>
      <c r="P542" s="340" t="n"/>
      <c r="Q542" s="340" t="n"/>
      <c r="R542" s="340" t="n"/>
      <c r="S542" s="340" t="n"/>
      <c r="T542" s="340" t="n"/>
      <c r="U542" s="340" t="n"/>
      <c r="V542" s="340" t="n"/>
      <c r="W542" s="340" t="n"/>
      <c r="X542" s="340" t="n"/>
      <c r="Y542" s="340" t="n"/>
      <c r="Z542" s="340" t="n"/>
      <c r="AA542" s="340" t="n"/>
      <c r="AB542" s="340" t="n"/>
      <c r="AC542" s="340" t="n"/>
      <c r="AD542" s="340" t="n"/>
      <c r="AE542" s="340" t="n"/>
      <c r="AF542" s="340" t="n"/>
      <c r="AG542" s="340" t="n"/>
      <c r="AH542" s="340" t="n"/>
      <c r="AI542" s="340" t="n"/>
      <c r="AJ542" s="340" t="n"/>
      <c r="AK542" s="340" t="n"/>
      <c r="AL542" s="340" t="n"/>
    </row>
    <row r="543" ht="12.75" customHeight="1">
      <c r="K543" s="340" t="n"/>
      <c r="L543" s="340" t="n"/>
      <c r="M543" s="340" t="n"/>
      <c r="N543" s="340" t="n"/>
      <c r="O543" s="340" t="n"/>
      <c r="P543" s="340" t="n"/>
      <c r="Q543" s="340" t="n"/>
      <c r="R543" s="340" t="n"/>
      <c r="S543" s="340" t="n"/>
      <c r="T543" s="340" t="n"/>
      <c r="U543" s="340" t="n"/>
      <c r="V543" s="340" t="n"/>
      <c r="W543" s="340" t="n"/>
      <c r="X543" s="340" t="n"/>
      <c r="Y543" s="340" t="n"/>
      <c r="Z543" s="340" t="n"/>
      <c r="AA543" s="340" t="n"/>
      <c r="AB543" s="340" t="n"/>
      <c r="AC543" s="340" t="n"/>
      <c r="AD543" s="340" t="n"/>
      <c r="AE543" s="340" t="n"/>
      <c r="AF543" s="340" t="n"/>
      <c r="AG543" s="340" t="n"/>
      <c r="AH543" s="340" t="n"/>
      <c r="AI543" s="340" t="n"/>
      <c r="AJ543" s="340" t="n"/>
      <c r="AK543" s="340" t="n"/>
      <c r="AL543" s="340" t="n"/>
    </row>
    <row r="544" ht="12.75" customHeight="1">
      <c r="K544" s="340" t="n"/>
      <c r="L544" s="340" t="n"/>
      <c r="M544" s="340" t="n"/>
      <c r="N544" s="340" t="n"/>
      <c r="O544" s="340" t="n"/>
      <c r="P544" s="340" t="n"/>
      <c r="Q544" s="340" t="n"/>
      <c r="R544" s="340" t="n"/>
      <c r="S544" s="340" t="n"/>
      <c r="T544" s="340" t="n"/>
      <c r="U544" s="340" t="n"/>
      <c r="V544" s="340" t="n"/>
      <c r="W544" s="340" t="n"/>
      <c r="X544" s="340" t="n"/>
      <c r="Y544" s="340" t="n"/>
      <c r="Z544" s="340" t="n"/>
      <c r="AA544" s="340" t="n"/>
      <c r="AB544" s="340" t="n"/>
      <c r="AC544" s="340" t="n"/>
      <c r="AD544" s="340" t="n"/>
      <c r="AE544" s="340" t="n"/>
      <c r="AF544" s="340" t="n"/>
      <c r="AG544" s="340" t="n"/>
      <c r="AH544" s="340" t="n"/>
      <c r="AI544" s="340" t="n"/>
      <c r="AJ544" s="340" t="n"/>
      <c r="AK544" s="340" t="n"/>
      <c r="AL544" s="340" t="n"/>
    </row>
    <row r="545" ht="12.75" customHeight="1">
      <c r="K545" s="340" t="n"/>
      <c r="L545" s="340" t="n"/>
      <c r="M545" s="340" t="n"/>
      <c r="N545" s="340" t="n"/>
      <c r="O545" s="340" t="n"/>
      <c r="P545" s="340" t="n"/>
      <c r="Q545" s="340" t="n"/>
      <c r="R545" s="340" t="n"/>
      <c r="S545" s="340" t="n"/>
      <c r="T545" s="340" t="n"/>
      <c r="U545" s="340" t="n"/>
      <c r="V545" s="340" t="n"/>
      <c r="W545" s="340" t="n"/>
      <c r="X545" s="340" t="n"/>
      <c r="Y545" s="340" t="n"/>
      <c r="Z545" s="340" t="n"/>
      <c r="AA545" s="340" t="n"/>
      <c r="AB545" s="340" t="n"/>
      <c r="AC545" s="340" t="n"/>
      <c r="AD545" s="340" t="n"/>
      <c r="AE545" s="340" t="n"/>
      <c r="AF545" s="340" t="n"/>
      <c r="AG545" s="340" t="n"/>
      <c r="AH545" s="340" t="n"/>
      <c r="AI545" s="340" t="n"/>
      <c r="AJ545" s="340" t="n"/>
      <c r="AK545" s="340" t="n"/>
      <c r="AL545" s="340" t="n"/>
    </row>
    <row r="546" ht="12.75" customHeight="1">
      <c r="K546" s="340" t="n"/>
      <c r="L546" s="340" t="n"/>
      <c r="M546" s="340" t="n"/>
      <c r="N546" s="340" t="n"/>
      <c r="O546" s="340" t="n"/>
      <c r="P546" s="340" t="n"/>
      <c r="Q546" s="340" t="n"/>
      <c r="R546" s="340" t="n"/>
      <c r="S546" s="340" t="n"/>
      <c r="T546" s="340" t="n"/>
      <c r="U546" s="340" t="n"/>
      <c r="V546" s="340" t="n"/>
      <c r="W546" s="340" t="n"/>
      <c r="X546" s="340" t="n"/>
      <c r="Y546" s="340" t="n"/>
      <c r="Z546" s="340" t="n"/>
      <c r="AA546" s="340" t="n"/>
      <c r="AB546" s="340" t="n"/>
      <c r="AC546" s="340" t="n"/>
      <c r="AD546" s="340" t="n"/>
      <c r="AE546" s="340" t="n"/>
      <c r="AF546" s="340" t="n"/>
      <c r="AG546" s="340" t="n"/>
      <c r="AH546" s="340" t="n"/>
      <c r="AI546" s="340" t="n"/>
      <c r="AJ546" s="340" t="n"/>
      <c r="AK546" s="340" t="n"/>
      <c r="AL546" s="340" t="n"/>
    </row>
    <row r="547" ht="12.75" customHeight="1">
      <c r="K547" s="340" t="n"/>
      <c r="L547" s="340" t="n"/>
      <c r="M547" s="340" t="n"/>
      <c r="N547" s="340" t="n"/>
      <c r="O547" s="340" t="n"/>
      <c r="P547" s="340" t="n"/>
      <c r="Q547" s="340" t="n"/>
      <c r="R547" s="340" t="n"/>
      <c r="S547" s="340" t="n"/>
      <c r="T547" s="340" t="n"/>
      <c r="U547" s="340" t="n"/>
      <c r="V547" s="340" t="n"/>
      <c r="W547" s="340" t="n"/>
      <c r="X547" s="340" t="n"/>
      <c r="Y547" s="340" t="n"/>
      <c r="Z547" s="340" t="n"/>
      <c r="AA547" s="340" t="n"/>
      <c r="AB547" s="340" t="n"/>
      <c r="AC547" s="340" t="n"/>
      <c r="AD547" s="340" t="n"/>
      <c r="AE547" s="340" t="n"/>
      <c r="AF547" s="340" t="n"/>
      <c r="AG547" s="340" t="n"/>
      <c r="AH547" s="340" t="n"/>
      <c r="AI547" s="340" t="n"/>
      <c r="AJ547" s="340" t="n"/>
      <c r="AK547" s="340" t="n"/>
      <c r="AL547" s="340" t="n"/>
    </row>
    <row r="548" ht="12.75" customHeight="1">
      <c r="K548" s="340" t="n"/>
      <c r="L548" s="340" t="n"/>
      <c r="M548" s="340" t="n"/>
      <c r="N548" s="340" t="n"/>
      <c r="O548" s="340" t="n"/>
      <c r="P548" s="340" t="n"/>
      <c r="Q548" s="340" t="n"/>
      <c r="R548" s="340" t="n"/>
      <c r="S548" s="340" t="n"/>
      <c r="T548" s="340" t="n"/>
      <c r="U548" s="340" t="n"/>
      <c r="V548" s="340" t="n"/>
      <c r="W548" s="340" t="n"/>
      <c r="X548" s="340" t="n"/>
      <c r="Y548" s="340" t="n"/>
      <c r="Z548" s="340" t="n"/>
      <c r="AA548" s="340" t="n"/>
      <c r="AB548" s="340" t="n"/>
      <c r="AC548" s="340" t="n"/>
      <c r="AD548" s="340" t="n"/>
      <c r="AE548" s="340" t="n"/>
      <c r="AF548" s="340" t="n"/>
      <c r="AG548" s="340" t="n"/>
      <c r="AH548" s="340" t="n"/>
      <c r="AI548" s="340" t="n"/>
      <c r="AJ548" s="340" t="n"/>
      <c r="AK548" s="340" t="n"/>
      <c r="AL548" s="340" t="n"/>
    </row>
    <row r="549" ht="12.75" customHeight="1">
      <c r="K549" s="340" t="n"/>
      <c r="L549" s="340" t="n"/>
      <c r="M549" s="340" t="n"/>
      <c r="N549" s="340" t="n"/>
      <c r="O549" s="340" t="n"/>
      <c r="P549" s="340" t="n"/>
      <c r="Q549" s="340" t="n"/>
      <c r="R549" s="340" t="n"/>
      <c r="S549" s="340" t="n"/>
      <c r="T549" s="340" t="n"/>
      <c r="U549" s="340" t="n"/>
      <c r="V549" s="340" t="n"/>
      <c r="W549" s="340" t="n"/>
      <c r="X549" s="340" t="n"/>
      <c r="Y549" s="340" t="n"/>
      <c r="Z549" s="340" t="n"/>
      <c r="AA549" s="340" t="n"/>
      <c r="AB549" s="340" t="n"/>
      <c r="AC549" s="340" t="n"/>
      <c r="AD549" s="340" t="n"/>
      <c r="AE549" s="340" t="n"/>
      <c r="AF549" s="340" t="n"/>
      <c r="AG549" s="340" t="n"/>
      <c r="AH549" s="340" t="n"/>
      <c r="AI549" s="340" t="n"/>
      <c r="AJ549" s="340" t="n"/>
      <c r="AK549" s="340" t="n"/>
      <c r="AL549" s="340" t="n"/>
    </row>
    <row r="550" ht="12.75" customHeight="1">
      <c r="K550" s="340" t="n"/>
      <c r="L550" s="340" t="n"/>
      <c r="M550" s="340" t="n"/>
      <c r="N550" s="340" t="n"/>
      <c r="O550" s="340" t="n"/>
      <c r="P550" s="340" t="n"/>
      <c r="Q550" s="340" t="n"/>
      <c r="R550" s="340" t="n"/>
      <c r="S550" s="340" t="n"/>
      <c r="T550" s="340" t="n"/>
      <c r="U550" s="340" t="n"/>
      <c r="V550" s="340" t="n"/>
      <c r="W550" s="340" t="n"/>
      <c r="X550" s="340" t="n"/>
      <c r="Y550" s="340" t="n"/>
      <c r="Z550" s="340" t="n"/>
      <c r="AA550" s="340" t="n"/>
      <c r="AB550" s="340" t="n"/>
      <c r="AC550" s="340" t="n"/>
      <c r="AD550" s="340" t="n"/>
      <c r="AE550" s="340" t="n"/>
      <c r="AF550" s="340" t="n"/>
      <c r="AG550" s="340" t="n"/>
      <c r="AH550" s="340" t="n"/>
      <c r="AI550" s="340" t="n"/>
      <c r="AJ550" s="340" t="n"/>
      <c r="AK550" s="340" t="n"/>
      <c r="AL550" s="340" t="n"/>
    </row>
    <row r="551" ht="12.75" customHeight="1">
      <c r="K551" s="340" t="n"/>
      <c r="L551" s="340" t="n"/>
      <c r="M551" s="340" t="n"/>
      <c r="N551" s="340" t="n"/>
      <c r="O551" s="340" t="n"/>
      <c r="P551" s="340" t="n"/>
      <c r="Q551" s="340" t="n"/>
      <c r="R551" s="340" t="n"/>
      <c r="S551" s="340" t="n"/>
      <c r="T551" s="340" t="n"/>
      <c r="U551" s="340" t="n"/>
      <c r="V551" s="340" t="n"/>
      <c r="W551" s="340" t="n"/>
      <c r="X551" s="340" t="n"/>
      <c r="Y551" s="340" t="n"/>
      <c r="Z551" s="340" t="n"/>
      <c r="AA551" s="340" t="n"/>
      <c r="AB551" s="340" t="n"/>
      <c r="AC551" s="340" t="n"/>
      <c r="AD551" s="340" t="n"/>
      <c r="AE551" s="340" t="n"/>
      <c r="AF551" s="340" t="n"/>
      <c r="AG551" s="340" t="n"/>
      <c r="AH551" s="340" t="n"/>
      <c r="AI551" s="340" t="n"/>
      <c r="AJ551" s="340" t="n"/>
      <c r="AK551" s="340" t="n"/>
      <c r="AL551" s="340" t="n"/>
    </row>
    <row r="552" ht="12.75" customHeight="1">
      <c r="K552" s="340" t="n"/>
      <c r="L552" s="340" t="n"/>
      <c r="M552" s="340" t="n"/>
      <c r="N552" s="340" t="n"/>
      <c r="O552" s="340" t="n"/>
      <c r="P552" s="340" t="n"/>
      <c r="Q552" s="340" t="n"/>
      <c r="R552" s="340" t="n"/>
      <c r="S552" s="340" t="n"/>
      <c r="T552" s="340" t="n"/>
      <c r="U552" s="340" t="n"/>
      <c r="V552" s="340" t="n"/>
      <c r="W552" s="340" t="n"/>
      <c r="X552" s="340" t="n"/>
      <c r="Y552" s="340" t="n"/>
      <c r="Z552" s="340" t="n"/>
      <c r="AA552" s="340" t="n"/>
      <c r="AB552" s="340" t="n"/>
      <c r="AC552" s="340" t="n"/>
      <c r="AD552" s="340" t="n"/>
      <c r="AE552" s="340" t="n"/>
      <c r="AF552" s="340" t="n"/>
      <c r="AG552" s="340" t="n"/>
      <c r="AH552" s="340" t="n"/>
      <c r="AI552" s="340" t="n"/>
      <c r="AJ552" s="340" t="n"/>
      <c r="AK552" s="340" t="n"/>
      <c r="AL552" s="340" t="n"/>
    </row>
    <row r="553" ht="12.75" customHeight="1">
      <c r="K553" s="340" t="n"/>
      <c r="L553" s="340" t="n"/>
      <c r="M553" s="340" t="n"/>
      <c r="N553" s="340" t="n"/>
      <c r="O553" s="340" t="n"/>
      <c r="P553" s="340" t="n"/>
      <c r="Q553" s="340" t="n"/>
      <c r="R553" s="340" t="n"/>
      <c r="S553" s="340" t="n"/>
      <c r="T553" s="340" t="n"/>
      <c r="U553" s="340" t="n"/>
      <c r="V553" s="340" t="n"/>
      <c r="W553" s="340" t="n"/>
      <c r="X553" s="340" t="n"/>
      <c r="Y553" s="340" t="n"/>
      <c r="Z553" s="340" t="n"/>
      <c r="AA553" s="340" t="n"/>
      <c r="AB553" s="340" t="n"/>
      <c r="AC553" s="340" t="n"/>
      <c r="AD553" s="340" t="n"/>
      <c r="AE553" s="340" t="n"/>
      <c r="AF553" s="340" t="n"/>
      <c r="AG553" s="340" t="n"/>
      <c r="AH553" s="340" t="n"/>
      <c r="AI553" s="340" t="n"/>
      <c r="AJ553" s="340" t="n"/>
      <c r="AK553" s="340" t="n"/>
      <c r="AL553" s="340" t="n"/>
    </row>
    <row r="554" ht="12.75" customHeight="1">
      <c r="K554" s="340" t="n"/>
      <c r="L554" s="340" t="n"/>
      <c r="M554" s="340" t="n"/>
      <c r="N554" s="340" t="n"/>
      <c r="O554" s="340" t="n"/>
      <c r="P554" s="340" t="n"/>
      <c r="Q554" s="340" t="n"/>
      <c r="R554" s="340" t="n"/>
      <c r="S554" s="340" t="n"/>
      <c r="T554" s="340" t="n"/>
      <c r="U554" s="340" t="n"/>
      <c r="V554" s="340" t="n"/>
      <c r="W554" s="340" t="n"/>
      <c r="X554" s="340" t="n"/>
      <c r="Y554" s="340" t="n"/>
      <c r="Z554" s="340" t="n"/>
      <c r="AA554" s="340" t="n"/>
      <c r="AB554" s="340" t="n"/>
      <c r="AC554" s="340" t="n"/>
      <c r="AD554" s="340" t="n"/>
      <c r="AE554" s="340" t="n"/>
      <c r="AF554" s="340" t="n"/>
      <c r="AG554" s="340" t="n"/>
      <c r="AH554" s="340" t="n"/>
      <c r="AI554" s="340" t="n"/>
      <c r="AJ554" s="340" t="n"/>
      <c r="AK554" s="340" t="n"/>
      <c r="AL554" s="340" t="n"/>
    </row>
    <row r="555" ht="12.75" customHeight="1">
      <c r="K555" s="340" t="n"/>
      <c r="L555" s="340" t="n"/>
      <c r="M555" s="340" t="n"/>
      <c r="N555" s="340" t="n"/>
      <c r="O555" s="340" t="n"/>
      <c r="P555" s="340" t="n"/>
      <c r="Q555" s="340" t="n"/>
      <c r="R555" s="340" t="n"/>
      <c r="S555" s="340" t="n"/>
      <c r="T555" s="340" t="n"/>
      <c r="U555" s="340" t="n"/>
      <c r="V555" s="340" t="n"/>
      <c r="W555" s="340" t="n"/>
      <c r="X555" s="340" t="n"/>
      <c r="Y555" s="340" t="n"/>
      <c r="Z555" s="340" t="n"/>
      <c r="AA555" s="340" t="n"/>
      <c r="AB555" s="340" t="n"/>
      <c r="AC555" s="340" t="n"/>
      <c r="AD555" s="340" t="n"/>
      <c r="AE555" s="340" t="n"/>
      <c r="AF555" s="340" t="n"/>
      <c r="AG555" s="340" t="n"/>
      <c r="AH555" s="340" t="n"/>
      <c r="AI555" s="340" t="n"/>
      <c r="AJ555" s="340" t="n"/>
      <c r="AK555" s="340" t="n"/>
      <c r="AL555" s="340" t="n"/>
    </row>
    <row r="556" ht="12.75" customHeight="1">
      <c r="K556" s="340" t="n"/>
      <c r="L556" s="340" t="n"/>
      <c r="M556" s="340" t="n"/>
      <c r="N556" s="340" t="n"/>
      <c r="O556" s="340" t="n"/>
      <c r="P556" s="340" t="n"/>
      <c r="Q556" s="340" t="n"/>
      <c r="R556" s="340" t="n"/>
      <c r="S556" s="340" t="n"/>
      <c r="T556" s="340" t="n"/>
      <c r="U556" s="340" t="n"/>
      <c r="V556" s="340" t="n"/>
      <c r="W556" s="340" t="n"/>
      <c r="X556" s="340" t="n"/>
      <c r="Y556" s="340" t="n"/>
      <c r="Z556" s="340" t="n"/>
      <c r="AA556" s="340" t="n"/>
      <c r="AB556" s="340" t="n"/>
      <c r="AC556" s="340" t="n"/>
      <c r="AD556" s="340" t="n"/>
      <c r="AE556" s="340" t="n"/>
      <c r="AF556" s="340" t="n"/>
      <c r="AG556" s="340" t="n"/>
      <c r="AH556" s="340" t="n"/>
      <c r="AI556" s="340" t="n"/>
      <c r="AJ556" s="340" t="n"/>
      <c r="AK556" s="340" t="n"/>
      <c r="AL556" s="340" t="n"/>
    </row>
    <row r="557" ht="12.75" customHeight="1">
      <c r="K557" s="340" t="n"/>
      <c r="L557" s="340" t="n"/>
      <c r="M557" s="340" t="n"/>
      <c r="N557" s="340" t="n"/>
      <c r="O557" s="340" t="n"/>
      <c r="P557" s="340" t="n"/>
      <c r="Q557" s="340" t="n"/>
      <c r="R557" s="340" t="n"/>
      <c r="S557" s="340" t="n"/>
      <c r="T557" s="340" t="n"/>
      <c r="U557" s="340" t="n"/>
      <c r="V557" s="340" t="n"/>
      <c r="W557" s="340" t="n"/>
      <c r="X557" s="340" t="n"/>
      <c r="Y557" s="340" t="n"/>
      <c r="Z557" s="340" t="n"/>
      <c r="AA557" s="340" t="n"/>
      <c r="AB557" s="340" t="n"/>
      <c r="AC557" s="340" t="n"/>
      <c r="AD557" s="340" t="n"/>
      <c r="AE557" s="340" t="n"/>
      <c r="AF557" s="340" t="n"/>
      <c r="AG557" s="340" t="n"/>
      <c r="AH557" s="340" t="n"/>
      <c r="AI557" s="340" t="n"/>
      <c r="AJ557" s="340" t="n"/>
      <c r="AK557" s="340" t="n"/>
      <c r="AL557" s="340" t="n"/>
    </row>
    <row r="558" ht="12.75" customHeight="1">
      <c r="K558" s="340" t="n"/>
      <c r="L558" s="340" t="n"/>
      <c r="M558" s="340" t="n"/>
      <c r="N558" s="340" t="n"/>
      <c r="O558" s="340" t="n"/>
      <c r="P558" s="340" t="n"/>
      <c r="Q558" s="340" t="n"/>
      <c r="R558" s="340" t="n"/>
      <c r="S558" s="340" t="n"/>
      <c r="T558" s="340" t="n"/>
      <c r="U558" s="340" t="n"/>
      <c r="V558" s="340" t="n"/>
      <c r="W558" s="340" t="n"/>
      <c r="X558" s="340" t="n"/>
      <c r="Y558" s="340" t="n"/>
      <c r="Z558" s="340" t="n"/>
      <c r="AA558" s="340" t="n"/>
      <c r="AB558" s="340" t="n"/>
      <c r="AC558" s="340" t="n"/>
      <c r="AD558" s="340" t="n"/>
      <c r="AE558" s="340" t="n"/>
      <c r="AF558" s="340" t="n"/>
      <c r="AG558" s="340" t="n"/>
      <c r="AH558" s="340" t="n"/>
      <c r="AI558" s="340" t="n"/>
      <c r="AJ558" s="340" t="n"/>
      <c r="AK558" s="340" t="n"/>
      <c r="AL558" s="340" t="n"/>
    </row>
    <row r="559" ht="12.75" customHeight="1">
      <c r="K559" s="340" t="n"/>
      <c r="L559" s="340" t="n"/>
      <c r="M559" s="340" t="n"/>
      <c r="N559" s="340" t="n"/>
      <c r="O559" s="340" t="n"/>
      <c r="P559" s="340" t="n"/>
      <c r="Q559" s="340" t="n"/>
      <c r="R559" s="340" t="n"/>
      <c r="S559" s="340" t="n"/>
      <c r="T559" s="340" t="n"/>
      <c r="U559" s="340" t="n"/>
      <c r="V559" s="340" t="n"/>
      <c r="W559" s="340" t="n"/>
      <c r="X559" s="340" t="n"/>
      <c r="Y559" s="340" t="n"/>
      <c r="Z559" s="340" t="n"/>
      <c r="AA559" s="340" t="n"/>
      <c r="AB559" s="340" t="n"/>
      <c r="AC559" s="340" t="n"/>
      <c r="AD559" s="340" t="n"/>
      <c r="AE559" s="340" t="n"/>
      <c r="AF559" s="340" t="n"/>
      <c r="AG559" s="340" t="n"/>
      <c r="AH559" s="340" t="n"/>
      <c r="AI559" s="340" t="n"/>
      <c r="AJ559" s="340" t="n"/>
      <c r="AK559" s="340" t="n"/>
      <c r="AL559" s="340" t="n"/>
    </row>
    <row r="560" ht="12.75" customHeight="1">
      <c r="K560" s="340" t="n"/>
      <c r="L560" s="340" t="n"/>
      <c r="M560" s="340" t="n"/>
      <c r="N560" s="340" t="n"/>
      <c r="O560" s="340" t="n"/>
      <c r="P560" s="340" t="n"/>
      <c r="Q560" s="340" t="n"/>
      <c r="R560" s="340" t="n"/>
      <c r="S560" s="340" t="n"/>
      <c r="T560" s="340" t="n"/>
      <c r="U560" s="340" t="n"/>
      <c r="V560" s="340" t="n"/>
      <c r="W560" s="340" t="n"/>
      <c r="X560" s="340" t="n"/>
      <c r="Y560" s="340" t="n"/>
      <c r="Z560" s="340" t="n"/>
      <c r="AA560" s="340" t="n"/>
      <c r="AB560" s="340" t="n"/>
      <c r="AC560" s="340" t="n"/>
      <c r="AD560" s="340" t="n"/>
      <c r="AE560" s="340" t="n"/>
      <c r="AF560" s="340" t="n"/>
      <c r="AG560" s="340" t="n"/>
      <c r="AH560" s="340" t="n"/>
      <c r="AI560" s="340" t="n"/>
      <c r="AJ560" s="340" t="n"/>
      <c r="AK560" s="340" t="n"/>
      <c r="AL560" s="340" t="n"/>
    </row>
    <row r="561" ht="12.75" customHeight="1">
      <c r="K561" s="340" t="n"/>
      <c r="L561" s="340" t="n"/>
      <c r="M561" s="340" t="n"/>
      <c r="N561" s="340" t="n"/>
      <c r="O561" s="340" t="n"/>
      <c r="P561" s="340" t="n"/>
      <c r="Q561" s="340" t="n"/>
      <c r="R561" s="340" t="n"/>
      <c r="S561" s="340" t="n"/>
      <c r="T561" s="340" t="n"/>
      <c r="U561" s="340" t="n"/>
      <c r="V561" s="340" t="n"/>
      <c r="W561" s="340" t="n"/>
      <c r="X561" s="340" t="n"/>
      <c r="Y561" s="340" t="n"/>
      <c r="Z561" s="340" t="n"/>
      <c r="AA561" s="340" t="n"/>
      <c r="AB561" s="340" t="n"/>
      <c r="AC561" s="340" t="n"/>
      <c r="AD561" s="340" t="n"/>
      <c r="AE561" s="340" t="n"/>
      <c r="AF561" s="340" t="n"/>
      <c r="AG561" s="340" t="n"/>
      <c r="AH561" s="340" t="n"/>
      <c r="AI561" s="340" t="n"/>
      <c r="AJ561" s="340" t="n"/>
      <c r="AK561" s="340" t="n"/>
      <c r="AL561" s="340" t="n"/>
    </row>
    <row r="562" ht="12.75" customHeight="1">
      <c r="K562" s="340" t="n"/>
      <c r="L562" s="340" t="n"/>
      <c r="M562" s="340" t="n"/>
      <c r="N562" s="340" t="n"/>
      <c r="O562" s="340" t="n"/>
      <c r="P562" s="340" t="n"/>
      <c r="Q562" s="340" t="n"/>
      <c r="R562" s="340" t="n"/>
      <c r="S562" s="340" t="n"/>
      <c r="T562" s="340" t="n"/>
      <c r="U562" s="340" t="n"/>
      <c r="V562" s="340" t="n"/>
      <c r="W562" s="340" t="n"/>
      <c r="X562" s="340" t="n"/>
      <c r="Y562" s="340" t="n"/>
      <c r="Z562" s="340" t="n"/>
      <c r="AA562" s="340" t="n"/>
      <c r="AB562" s="340" t="n"/>
      <c r="AC562" s="340" t="n"/>
      <c r="AD562" s="340" t="n"/>
      <c r="AE562" s="340" t="n"/>
      <c r="AF562" s="340" t="n"/>
      <c r="AG562" s="340" t="n"/>
      <c r="AH562" s="340" t="n"/>
      <c r="AI562" s="340" t="n"/>
      <c r="AJ562" s="340" t="n"/>
      <c r="AK562" s="340" t="n"/>
      <c r="AL562" s="340" t="n"/>
    </row>
    <row r="563" ht="12.75" customHeight="1">
      <c r="K563" s="340" t="n"/>
      <c r="L563" s="340" t="n"/>
      <c r="M563" s="340" t="n"/>
      <c r="N563" s="340" t="n"/>
      <c r="O563" s="340" t="n"/>
      <c r="P563" s="340" t="n"/>
      <c r="Q563" s="340" t="n"/>
      <c r="R563" s="340" t="n"/>
      <c r="S563" s="340" t="n"/>
      <c r="T563" s="340" t="n"/>
      <c r="U563" s="340" t="n"/>
      <c r="V563" s="340" t="n"/>
      <c r="W563" s="340" t="n"/>
      <c r="X563" s="340" t="n"/>
      <c r="Y563" s="340" t="n"/>
      <c r="Z563" s="340" t="n"/>
      <c r="AA563" s="340" t="n"/>
      <c r="AB563" s="340" t="n"/>
      <c r="AC563" s="340" t="n"/>
      <c r="AD563" s="340" t="n"/>
      <c r="AE563" s="340" t="n"/>
      <c r="AF563" s="340" t="n"/>
      <c r="AG563" s="340" t="n"/>
      <c r="AH563" s="340" t="n"/>
      <c r="AI563" s="340" t="n"/>
      <c r="AJ563" s="340" t="n"/>
      <c r="AK563" s="340" t="n"/>
      <c r="AL563" s="340" t="n"/>
    </row>
    <row r="564" ht="12.75" customHeight="1">
      <c r="K564" s="340" t="n"/>
      <c r="L564" s="340" t="n"/>
      <c r="M564" s="340" t="n"/>
      <c r="N564" s="340" t="n"/>
      <c r="O564" s="340" t="n"/>
      <c r="P564" s="340" t="n"/>
      <c r="Q564" s="340" t="n"/>
      <c r="R564" s="340" t="n"/>
      <c r="S564" s="340" t="n"/>
      <c r="T564" s="340" t="n"/>
      <c r="U564" s="340" t="n"/>
      <c r="V564" s="340" t="n"/>
      <c r="W564" s="340" t="n"/>
      <c r="X564" s="340" t="n"/>
      <c r="Y564" s="340" t="n"/>
      <c r="Z564" s="340" t="n"/>
      <c r="AA564" s="340" t="n"/>
      <c r="AB564" s="340" t="n"/>
      <c r="AC564" s="340" t="n"/>
      <c r="AD564" s="340" t="n"/>
      <c r="AE564" s="340" t="n"/>
      <c r="AF564" s="340" t="n"/>
      <c r="AG564" s="340" t="n"/>
      <c r="AH564" s="340" t="n"/>
      <c r="AI564" s="340" t="n"/>
      <c r="AJ564" s="340" t="n"/>
      <c r="AK564" s="340" t="n"/>
      <c r="AL564" s="340" t="n"/>
    </row>
    <row r="565" ht="12.75" customHeight="1">
      <c r="K565" s="340" t="n"/>
      <c r="L565" s="340" t="n"/>
      <c r="M565" s="340" t="n"/>
      <c r="N565" s="340" t="n"/>
      <c r="O565" s="340" t="n"/>
      <c r="P565" s="340" t="n"/>
      <c r="Q565" s="340" t="n"/>
      <c r="R565" s="340" t="n"/>
      <c r="S565" s="340" t="n"/>
      <c r="T565" s="340" t="n"/>
      <c r="U565" s="340" t="n"/>
      <c r="V565" s="340" t="n"/>
      <c r="W565" s="340" t="n"/>
      <c r="X565" s="340" t="n"/>
      <c r="Y565" s="340" t="n"/>
      <c r="Z565" s="340" t="n"/>
      <c r="AA565" s="340" t="n"/>
      <c r="AB565" s="340" t="n"/>
      <c r="AC565" s="340" t="n"/>
      <c r="AD565" s="340" t="n"/>
      <c r="AE565" s="340" t="n"/>
      <c r="AF565" s="340" t="n"/>
      <c r="AG565" s="340" t="n"/>
      <c r="AH565" s="340" t="n"/>
      <c r="AI565" s="340" t="n"/>
      <c r="AJ565" s="340" t="n"/>
      <c r="AK565" s="340" t="n"/>
      <c r="AL565" s="340" t="n"/>
    </row>
    <row r="566" ht="12.75" customHeight="1">
      <c r="K566" s="340" t="n"/>
      <c r="L566" s="340" t="n"/>
      <c r="M566" s="340" t="n"/>
      <c r="N566" s="340" t="n"/>
      <c r="O566" s="340" t="n"/>
      <c r="P566" s="340" t="n"/>
      <c r="Q566" s="340" t="n"/>
      <c r="R566" s="340" t="n"/>
      <c r="S566" s="340" t="n"/>
      <c r="T566" s="340" t="n"/>
      <c r="U566" s="340" t="n"/>
      <c r="V566" s="340" t="n"/>
      <c r="W566" s="340" t="n"/>
      <c r="X566" s="340" t="n"/>
      <c r="Y566" s="340" t="n"/>
      <c r="Z566" s="340" t="n"/>
      <c r="AA566" s="340" t="n"/>
      <c r="AB566" s="340" t="n"/>
      <c r="AC566" s="340" t="n"/>
      <c r="AD566" s="340" t="n"/>
      <c r="AE566" s="340" t="n"/>
      <c r="AF566" s="340" t="n"/>
      <c r="AG566" s="340" t="n"/>
      <c r="AH566" s="340" t="n"/>
      <c r="AI566" s="340" t="n"/>
      <c r="AJ566" s="340" t="n"/>
      <c r="AK566" s="340" t="n"/>
      <c r="AL566" s="340" t="n"/>
    </row>
    <row r="567" ht="12.75" customHeight="1">
      <c r="K567" s="340" t="n"/>
      <c r="L567" s="340" t="n"/>
      <c r="M567" s="340" t="n"/>
      <c r="N567" s="340" t="n"/>
      <c r="O567" s="340" t="n"/>
      <c r="P567" s="340" t="n"/>
      <c r="Q567" s="340" t="n"/>
      <c r="R567" s="340" t="n"/>
      <c r="S567" s="340" t="n"/>
      <c r="T567" s="340" t="n"/>
      <c r="U567" s="340" t="n"/>
      <c r="V567" s="340" t="n"/>
      <c r="W567" s="340" t="n"/>
      <c r="X567" s="340" t="n"/>
      <c r="Y567" s="340" t="n"/>
      <c r="Z567" s="340" t="n"/>
      <c r="AA567" s="340" t="n"/>
      <c r="AB567" s="340" t="n"/>
      <c r="AC567" s="340" t="n"/>
      <c r="AD567" s="340" t="n"/>
      <c r="AE567" s="340" t="n"/>
      <c r="AF567" s="340" t="n"/>
      <c r="AG567" s="340" t="n"/>
      <c r="AH567" s="340" t="n"/>
      <c r="AI567" s="340" t="n"/>
      <c r="AJ567" s="340" t="n"/>
      <c r="AK567" s="340" t="n"/>
      <c r="AL567" s="340" t="n"/>
    </row>
    <row r="568" ht="12.75" customHeight="1">
      <c r="K568" s="340" t="n"/>
      <c r="L568" s="340" t="n"/>
      <c r="M568" s="340" t="n"/>
      <c r="N568" s="340" t="n"/>
      <c r="O568" s="340" t="n"/>
      <c r="P568" s="340" t="n"/>
      <c r="Q568" s="340" t="n"/>
      <c r="R568" s="340" t="n"/>
      <c r="S568" s="340" t="n"/>
      <c r="T568" s="340" t="n"/>
      <c r="U568" s="340" t="n"/>
      <c r="V568" s="340" t="n"/>
      <c r="W568" s="340" t="n"/>
      <c r="X568" s="340" t="n"/>
      <c r="Y568" s="340" t="n"/>
      <c r="Z568" s="340" t="n"/>
      <c r="AA568" s="340" t="n"/>
      <c r="AB568" s="340" t="n"/>
      <c r="AC568" s="340" t="n"/>
      <c r="AD568" s="340" t="n"/>
      <c r="AE568" s="340" t="n"/>
      <c r="AF568" s="340" t="n"/>
      <c r="AG568" s="340" t="n"/>
      <c r="AH568" s="340" t="n"/>
      <c r="AI568" s="340" t="n"/>
      <c r="AJ568" s="340" t="n"/>
      <c r="AK568" s="340" t="n"/>
      <c r="AL568" s="340" t="n"/>
    </row>
    <row r="569" ht="12.75" customHeight="1">
      <c r="K569" s="340" t="n"/>
      <c r="L569" s="340" t="n"/>
      <c r="M569" s="340" t="n"/>
      <c r="N569" s="340" t="n"/>
      <c r="O569" s="340" t="n"/>
      <c r="P569" s="340" t="n"/>
      <c r="Q569" s="340" t="n"/>
      <c r="R569" s="340" t="n"/>
      <c r="S569" s="340" t="n"/>
      <c r="T569" s="340" t="n"/>
      <c r="U569" s="340" t="n"/>
      <c r="V569" s="340" t="n"/>
      <c r="W569" s="340" t="n"/>
      <c r="X569" s="340" t="n"/>
      <c r="Y569" s="340" t="n"/>
      <c r="Z569" s="340" t="n"/>
      <c r="AA569" s="340" t="n"/>
      <c r="AB569" s="340" t="n"/>
      <c r="AC569" s="340" t="n"/>
      <c r="AD569" s="340" t="n"/>
      <c r="AE569" s="340" t="n"/>
      <c r="AF569" s="340" t="n"/>
      <c r="AG569" s="340" t="n"/>
      <c r="AH569" s="340" t="n"/>
      <c r="AI569" s="340" t="n"/>
      <c r="AJ569" s="340" t="n"/>
      <c r="AK569" s="340" t="n"/>
      <c r="AL569" s="340" t="n"/>
    </row>
    <row r="570" ht="12.75" customHeight="1">
      <c r="K570" s="340" t="n"/>
      <c r="L570" s="340" t="n"/>
      <c r="M570" s="340" t="n"/>
      <c r="N570" s="340" t="n"/>
      <c r="O570" s="340" t="n"/>
      <c r="P570" s="340" t="n"/>
      <c r="Q570" s="340" t="n"/>
      <c r="R570" s="340" t="n"/>
      <c r="S570" s="340" t="n"/>
      <c r="T570" s="340" t="n"/>
      <c r="U570" s="340" t="n"/>
      <c r="V570" s="340" t="n"/>
      <c r="W570" s="340" t="n"/>
      <c r="X570" s="340" t="n"/>
      <c r="Y570" s="340" t="n"/>
      <c r="Z570" s="340" t="n"/>
      <c r="AA570" s="340" t="n"/>
      <c r="AB570" s="340" t="n"/>
      <c r="AC570" s="340" t="n"/>
      <c r="AD570" s="340" t="n"/>
      <c r="AE570" s="340" t="n"/>
      <c r="AF570" s="340" t="n"/>
      <c r="AG570" s="340" t="n"/>
      <c r="AH570" s="340" t="n"/>
      <c r="AI570" s="340" t="n"/>
      <c r="AJ570" s="340" t="n"/>
      <c r="AK570" s="340" t="n"/>
      <c r="AL570" s="340" t="n"/>
    </row>
    <row r="571" ht="12.75" customHeight="1">
      <c r="K571" s="340" t="n"/>
      <c r="L571" s="340" t="n"/>
      <c r="M571" s="340" t="n"/>
      <c r="N571" s="340" t="n"/>
      <c r="O571" s="340" t="n"/>
      <c r="P571" s="340" t="n"/>
      <c r="Q571" s="340" t="n"/>
      <c r="R571" s="340" t="n"/>
      <c r="S571" s="340" t="n"/>
      <c r="T571" s="340" t="n"/>
      <c r="U571" s="340" t="n"/>
      <c r="V571" s="340" t="n"/>
      <c r="W571" s="340" t="n"/>
      <c r="X571" s="340" t="n"/>
      <c r="Y571" s="340" t="n"/>
      <c r="Z571" s="340" t="n"/>
      <c r="AA571" s="340" t="n"/>
      <c r="AB571" s="340" t="n"/>
      <c r="AC571" s="340" t="n"/>
      <c r="AD571" s="340" t="n"/>
      <c r="AE571" s="340" t="n"/>
      <c r="AF571" s="340" t="n"/>
      <c r="AG571" s="340" t="n"/>
      <c r="AH571" s="340" t="n"/>
      <c r="AI571" s="340" t="n"/>
      <c r="AJ571" s="340" t="n"/>
      <c r="AK571" s="340" t="n"/>
      <c r="AL571" s="340" t="n"/>
    </row>
    <row r="572" ht="12.75" customHeight="1">
      <c r="K572" s="340" t="n"/>
      <c r="L572" s="340" t="n"/>
      <c r="M572" s="340" t="n"/>
      <c r="N572" s="340" t="n"/>
      <c r="O572" s="340" t="n"/>
      <c r="P572" s="340" t="n"/>
      <c r="Q572" s="340" t="n"/>
      <c r="R572" s="340" t="n"/>
      <c r="S572" s="340" t="n"/>
      <c r="T572" s="340" t="n"/>
      <c r="U572" s="340" t="n"/>
      <c r="V572" s="340" t="n"/>
      <c r="W572" s="340" t="n"/>
      <c r="X572" s="340" t="n"/>
      <c r="Y572" s="340" t="n"/>
      <c r="Z572" s="340" t="n"/>
      <c r="AA572" s="340" t="n"/>
      <c r="AB572" s="340" t="n"/>
      <c r="AC572" s="340" t="n"/>
      <c r="AD572" s="340" t="n"/>
      <c r="AE572" s="340" t="n"/>
      <c r="AF572" s="340" t="n"/>
      <c r="AG572" s="340" t="n"/>
      <c r="AH572" s="340" t="n"/>
      <c r="AI572" s="340" t="n"/>
      <c r="AJ572" s="340" t="n"/>
      <c r="AK572" s="340" t="n"/>
      <c r="AL572" s="340" t="n"/>
    </row>
    <row r="573" ht="12.75" customHeight="1">
      <c r="K573" s="340" t="n"/>
      <c r="L573" s="340" t="n"/>
      <c r="M573" s="340" t="n"/>
      <c r="N573" s="340" t="n"/>
      <c r="O573" s="340" t="n"/>
      <c r="P573" s="340" t="n"/>
      <c r="Q573" s="340" t="n"/>
      <c r="R573" s="340" t="n"/>
      <c r="S573" s="340" t="n"/>
      <c r="T573" s="340" t="n"/>
      <c r="U573" s="340" t="n"/>
      <c r="V573" s="340" t="n"/>
      <c r="W573" s="340" t="n"/>
      <c r="X573" s="340" t="n"/>
      <c r="Y573" s="340" t="n"/>
      <c r="Z573" s="340" t="n"/>
      <c r="AA573" s="340" t="n"/>
      <c r="AB573" s="340" t="n"/>
      <c r="AC573" s="340" t="n"/>
      <c r="AD573" s="340" t="n"/>
      <c r="AE573" s="340" t="n"/>
      <c r="AF573" s="340" t="n"/>
      <c r="AG573" s="340" t="n"/>
      <c r="AH573" s="340" t="n"/>
      <c r="AI573" s="340" t="n"/>
      <c r="AJ573" s="340" t="n"/>
      <c r="AK573" s="340" t="n"/>
      <c r="AL573" s="340" t="n"/>
    </row>
    <row r="574" ht="12.75" customHeight="1">
      <c r="K574" s="340" t="n"/>
      <c r="L574" s="340" t="n"/>
      <c r="M574" s="340" t="n"/>
      <c r="N574" s="340" t="n"/>
      <c r="O574" s="340" t="n"/>
      <c r="P574" s="340" t="n"/>
      <c r="Q574" s="340" t="n"/>
      <c r="R574" s="340" t="n"/>
      <c r="S574" s="340" t="n"/>
      <c r="T574" s="340" t="n"/>
      <c r="U574" s="340" t="n"/>
      <c r="V574" s="340" t="n"/>
      <c r="W574" s="340" t="n"/>
      <c r="X574" s="340" t="n"/>
      <c r="Y574" s="340" t="n"/>
      <c r="Z574" s="340" t="n"/>
      <c r="AA574" s="340" t="n"/>
      <c r="AB574" s="340" t="n"/>
      <c r="AC574" s="340" t="n"/>
      <c r="AD574" s="340" t="n"/>
      <c r="AE574" s="340" t="n"/>
      <c r="AF574" s="340" t="n"/>
      <c r="AG574" s="340" t="n"/>
      <c r="AH574" s="340" t="n"/>
      <c r="AI574" s="340" t="n"/>
      <c r="AJ574" s="340" t="n"/>
      <c r="AK574" s="340" t="n"/>
      <c r="AL574" s="340" t="n"/>
    </row>
    <row r="575" ht="12.75" customHeight="1">
      <c r="K575" s="340" t="n"/>
      <c r="L575" s="340" t="n"/>
      <c r="M575" s="340" t="n"/>
      <c r="N575" s="340" t="n"/>
      <c r="O575" s="340" t="n"/>
      <c r="P575" s="340" t="n"/>
      <c r="Q575" s="340" t="n"/>
      <c r="R575" s="340" t="n"/>
      <c r="S575" s="340" t="n"/>
      <c r="T575" s="340" t="n"/>
      <c r="U575" s="340" t="n"/>
      <c r="V575" s="340" t="n"/>
      <c r="W575" s="340" t="n"/>
      <c r="X575" s="340" t="n"/>
      <c r="Y575" s="340" t="n"/>
      <c r="Z575" s="340" t="n"/>
      <c r="AA575" s="340" t="n"/>
      <c r="AB575" s="340" t="n"/>
      <c r="AC575" s="340" t="n"/>
      <c r="AD575" s="340" t="n"/>
      <c r="AE575" s="340" t="n"/>
      <c r="AF575" s="340" t="n"/>
      <c r="AG575" s="340" t="n"/>
      <c r="AH575" s="340" t="n"/>
      <c r="AI575" s="340" t="n"/>
      <c r="AJ575" s="340" t="n"/>
      <c r="AK575" s="340" t="n"/>
      <c r="AL575" s="340" t="n"/>
    </row>
    <row r="576" ht="12.75" customHeight="1">
      <c r="K576" s="340" t="n"/>
      <c r="L576" s="340" t="n"/>
      <c r="M576" s="340" t="n"/>
      <c r="N576" s="340" t="n"/>
      <c r="O576" s="340" t="n"/>
      <c r="P576" s="340" t="n"/>
      <c r="Q576" s="340" t="n"/>
      <c r="R576" s="340" t="n"/>
      <c r="S576" s="340" t="n"/>
      <c r="T576" s="340" t="n"/>
      <c r="U576" s="340" t="n"/>
      <c r="V576" s="340" t="n"/>
      <c r="W576" s="340" t="n"/>
      <c r="X576" s="340" t="n"/>
      <c r="Y576" s="340" t="n"/>
      <c r="Z576" s="340" t="n"/>
      <c r="AA576" s="340" t="n"/>
      <c r="AB576" s="340" t="n"/>
      <c r="AC576" s="340" t="n"/>
      <c r="AD576" s="340" t="n"/>
      <c r="AE576" s="340" t="n"/>
      <c r="AF576" s="340" t="n"/>
      <c r="AG576" s="340" t="n"/>
      <c r="AH576" s="340" t="n"/>
      <c r="AI576" s="340" t="n"/>
      <c r="AJ576" s="340" t="n"/>
      <c r="AK576" s="340" t="n"/>
      <c r="AL576" s="340" t="n"/>
    </row>
    <row r="577" ht="12.75" customHeight="1">
      <c r="K577" s="340" t="n"/>
      <c r="L577" s="340" t="n"/>
      <c r="M577" s="340" t="n"/>
      <c r="N577" s="340" t="n"/>
      <c r="O577" s="340" t="n"/>
      <c r="P577" s="340" t="n"/>
      <c r="Q577" s="340" t="n"/>
      <c r="R577" s="340" t="n"/>
      <c r="S577" s="340" t="n"/>
      <c r="T577" s="340" t="n"/>
      <c r="U577" s="340" t="n"/>
      <c r="V577" s="340" t="n"/>
      <c r="W577" s="340" t="n"/>
      <c r="X577" s="340" t="n"/>
      <c r="Y577" s="340" t="n"/>
      <c r="Z577" s="340" t="n"/>
      <c r="AA577" s="340" t="n"/>
      <c r="AB577" s="340" t="n"/>
      <c r="AC577" s="340" t="n"/>
      <c r="AD577" s="340" t="n"/>
      <c r="AE577" s="340" t="n"/>
      <c r="AF577" s="340" t="n"/>
      <c r="AG577" s="340" t="n"/>
      <c r="AH577" s="340" t="n"/>
      <c r="AI577" s="340" t="n"/>
      <c r="AJ577" s="340" t="n"/>
      <c r="AK577" s="340" t="n"/>
      <c r="AL577" s="340" t="n"/>
    </row>
    <row r="578" ht="12.75" customHeight="1">
      <c r="K578" s="340" t="n"/>
      <c r="L578" s="340" t="n"/>
      <c r="M578" s="340" t="n"/>
      <c r="N578" s="340" t="n"/>
      <c r="O578" s="340" t="n"/>
      <c r="P578" s="340" t="n"/>
      <c r="Q578" s="340" t="n"/>
      <c r="R578" s="340" t="n"/>
      <c r="S578" s="340" t="n"/>
      <c r="T578" s="340" t="n"/>
      <c r="U578" s="340" t="n"/>
      <c r="V578" s="340" t="n"/>
      <c r="W578" s="340" t="n"/>
      <c r="X578" s="340" t="n"/>
      <c r="Y578" s="340" t="n"/>
      <c r="Z578" s="340" t="n"/>
      <c r="AA578" s="340" t="n"/>
      <c r="AB578" s="340" t="n"/>
      <c r="AC578" s="340" t="n"/>
      <c r="AD578" s="340" t="n"/>
      <c r="AE578" s="340" t="n"/>
      <c r="AF578" s="340" t="n"/>
      <c r="AG578" s="340" t="n"/>
      <c r="AH578" s="340" t="n"/>
      <c r="AI578" s="340" t="n"/>
      <c r="AJ578" s="340" t="n"/>
      <c r="AK578" s="340" t="n"/>
      <c r="AL578" s="340" t="n"/>
    </row>
    <row r="579" ht="12.75" customHeight="1">
      <c r="K579" s="340" t="n"/>
      <c r="L579" s="340" t="n"/>
      <c r="M579" s="340" t="n"/>
      <c r="N579" s="340" t="n"/>
      <c r="O579" s="340" t="n"/>
      <c r="P579" s="340" t="n"/>
      <c r="Q579" s="340" t="n"/>
      <c r="R579" s="340" t="n"/>
      <c r="S579" s="340" t="n"/>
      <c r="T579" s="340" t="n"/>
      <c r="U579" s="340" t="n"/>
      <c r="V579" s="340" t="n"/>
      <c r="W579" s="340" t="n"/>
      <c r="X579" s="340" t="n"/>
      <c r="Y579" s="340" t="n"/>
      <c r="Z579" s="340" t="n"/>
      <c r="AA579" s="340" t="n"/>
      <c r="AB579" s="340" t="n"/>
      <c r="AC579" s="340" t="n"/>
      <c r="AD579" s="340" t="n"/>
      <c r="AE579" s="340" t="n"/>
      <c r="AF579" s="340" t="n"/>
      <c r="AG579" s="340" t="n"/>
      <c r="AH579" s="340" t="n"/>
      <c r="AI579" s="340" t="n"/>
      <c r="AJ579" s="340" t="n"/>
      <c r="AK579" s="340" t="n"/>
      <c r="AL579" s="340" t="n"/>
    </row>
    <row r="580" ht="12.75" customHeight="1">
      <c r="K580" s="340" t="n"/>
      <c r="L580" s="340" t="n"/>
      <c r="M580" s="340" t="n"/>
      <c r="N580" s="340" t="n"/>
      <c r="O580" s="340" t="n"/>
      <c r="P580" s="340" t="n"/>
      <c r="Q580" s="340" t="n"/>
      <c r="R580" s="340" t="n"/>
      <c r="S580" s="340" t="n"/>
      <c r="T580" s="340" t="n"/>
      <c r="U580" s="340" t="n"/>
      <c r="V580" s="340" t="n"/>
      <c r="W580" s="340" t="n"/>
      <c r="X580" s="340" t="n"/>
      <c r="Y580" s="340" t="n"/>
      <c r="Z580" s="340" t="n"/>
      <c r="AA580" s="340" t="n"/>
      <c r="AB580" s="340" t="n"/>
      <c r="AC580" s="340" t="n"/>
      <c r="AD580" s="340" t="n"/>
      <c r="AE580" s="340" t="n"/>
      <c r="AF580" s="340" t="n"/>
      <c r="AG580" s="340" t="n"/>
      <c r="AH580" s="340" t="n"/>
      <c r="AI580" s="340" t="n"/>
      <c r="AJ580" s="340" t="n"/>
      <c r="AK580" s="340" t="n"/>
      <c r="AL580" s="340" t="n"/>
    </row>
    <row r="581" ht="12.75" customHeight="1">
      <c r="K581" s="340" t="n"/>
      <c r="L581" s="340" t="n"/>
      <c r="M581" s="340" t="n"/>
      <c r="N581" s="340" t="n"/>
      <c r="O581" s="340" t="n"/>
      <c r="P581" s="340" t="n"/>
      <c r="Q581" s="340" t="n"/>
      <c r="R581" s="340" t="n"/>
      <c r="S581" s="340" t="n"/>
      <c r="T581" s="340" t="n"/>
      <c r="U581" s="340" t="n"/>
      <c r="V581" s="340" t="n"/>
      <c r="W581" s="340" t="n"/>
      <c r="X581" s="340" t="n"/>
      <c r="Y581" s="340" t="n"/>
      <c r="Z581" s="340" t="n"/>
      <c r="AA581" s="340" t="n"/>
      <c r="AB581" s="340" t="n"/>
      <c r="AC581" s="340" t="n"/>
      <c r="AD581" s="340" t="n"/>
      <c r="AE581" s="340" t="n"/>
      <c r="AF581" s="340" t="n"/>
      <c r="AG581" s="340" t="n"/>
      <c r="AH581" s="340" t="n"/>
      <c r="AI581" s="340" t="n"/>
      <c r="AJ581" s="340" t="n"/>
      <c r="AK581" s="340" t="n"/>
      <c r="AL581" s="340" t="n"/>
    </row>
    <row r="582" ht="12.75" customHeight="1">
      <c r="K582" s="340" t="n"/>
      <c r="L582" s="340" t="n"/>
      <c r="M582" s="340" t="n"/>
      <c r="N582" s="340" t="n"/>
      <c r="O582" s="340" t="n"/>
      <c r="P582" s="340" t="n"/>
      <c r="Q582" s="340" t="n"/>
      <c r="R582" s="340" t="n"/>
      <c r="S582" s="340" t="n"/>
      <c r="T582" s="340" t="n"/>
      <c r="U582" s="340" t="n"/>
      <c r="V582" s="340" t="n"/>
      <c r="W582" s="340" t="n"/>
      <c r="X582" s="340" t="n"/>
      <c r="Y582" s="340" t="n"/>
      <c r="Z582" s="340" t="n"/>
      <c r="AA582" s="340" t="n"/>
      <c r="AB582" s="340" t="n"/>
      <c r="AC582" s="340" t="n"/>
      <c r="AD582" s="340" t="n"/>
      <c r="AE582" s="340" t="n"/>
      <c r="AF582" s="340" t="n"/>
      <c r="AG582" s="340" t="n"/>
      <c r="AH582" s="340" t="n"/>
      <c r="AI582" s="340" t="n"/>
      <c r="AJ582" s="340" t="n"/>
      <c r="AK582" s="340" t="n"/>
      <c r="AL582" s="340" t="n"/>
    </row>
    <row r="583" ht="12.75" customHeight="1">
      <c r="K583" s="340" t="n"/>
      <c r="L583" s="340" t="n"/>
      <c r="M583" s="340" t="n"/>
      <c r="N583" s="340" t="n"/>
      <c r="O583" s="340" t="n"/>
      <c r="P583" s="340" t="n"/>
      <c r="Q583" s="340" t="n"/>
      <c r="R583" s="340" t="n"/>
      <c r="S583" s="340" t="n"/>
      <c r="T583" s="340" t="n"/>
      <c r="U583" s="340" t="n"/>
      <c r="V583" s="340" t="n"/>
      <c r="W583" s="340" t="n"/>
      <c r="X583" s="340" t="n"/>
      <c r="Y583" s="340" t="n"/>
      <c r="Z583" s="340" t="n"/>
      <c r="AA583" s="340" t="n"/>
      <c r="AB583" s="340" t="n"/>
      <c r="AC583" s="340" t="n"/>
      <c r="AD583" s="340" t="n"/>
      <c r="AE583" s="340" t="n"/>
      <c r="AF583" s="340" t="n"/>
      <c r="AG583" s="340" t="n"/>
      <c r="AH583" s="340" t="n"/>
      <c r="AI583" s="340" t="n"/>
      <c r="AJ583" s="340" t="n"/>
      <c r="AK583" s="340" t="n"/>
      <c r="AL583" s="340" t="n"/>
    </row>
    <row r="584" ht="12.75" customHeight="1">
      <c r="K584" s="340" t="n"/>
      <c r="L584" s="340" t="n"/>
      <c r="M584" s="340" t="n"/>
      <c r="N584" s="340" t="n"/>
      <c r="O584" s="340" t="n"/>
      <c r="P584" s="340" t="n"/>
      <c r="Q584" s="340" t="n"/>
      <c r="R584" s="340" t="n"/>
      <c r="S584" s="340" t="n"/>
      <c r="T584" s="340" t="n"/>
      <c r="U584" s="340" t="n"/>
      <c r="V584" s="340" t="n"/>
      <c r="W584" s="340" t="n"/>
      <c r="X584" s="340" t="n"/>
      <c r="Y584" s="340" t="n"/>
      <c r="Z584" s="340" t="n"/>
      <c r="AA584" s="340" t="n"/>
      <c r="AB584" s="340" t="n"/>
      <c r="AC584" s="340" t="n"/>
      <c r="AD584" s="340" t="n"/>
      <c r="AE584" s="340" t="n"/>
      <c r="AF584" s="340" t="n"/>
      <c r="AG584" s="340" t="n"/>
      <c r="AH584" s="340" t="n"/>
      <c r="AI584" s="340" t="n"/>
      <c r="AJ584" s="340" t="n"/>
      <c r="AK584" s="340" t="n"/>
      <c r="AL584" s="340" t="n"/>
    </row>
    <row r="585" ht="12.75" customHeight="1">
      <c r="K585" s="340" t="n"/>
      <c r="L585" s="340" t="n"/>
      <c r="M585" s="340" t="n"/>
      <c r="N585" s="340" t="n"/>
      <c r="O585" s="340" t="n"/>
      <c r="P585" s="340" t="n"/>
      <c r="Q585" s="340" t="n"/>
      <c r="R585" s="340" t="n"/>
      <c r="S585" s="340" t="n"/>
      <c r="T585" s="340" t="n"/>
      <c r="U585" s="340" t="n"/>
      <c r="V585" s="340" t="n"/>
      <c r="W585" s="340" t="n"/>
      <c r="X585" s="340" t="n"/>
      <c r="Y585" s="340" t="n"/>
      <c r="Z585" s="340" t="n"/>
      <c r="AA585" s="340" t="n"/>
      <c r="AB585" s="340" t="n"/>
      <c r="AC585" s="340" t="n"/>
      <c r="AD585" s="340" t="n"/>
      <c r="AE585" s="340" t="n"/>
      <c r="AF585" s="340" t="n"/>
      <c r="AG585" s="340" t="n"/>
      <c r="AH585" s="340" t="n"/>
      <c r="AI585" s="340" t="n"/>
      <c r="AJ585" s="340" t="n"/>
      <c r="AK585" s="340" t="n"/>
      <c r="AL585" s="340" t="n"/>
    </row>
    <row r="586" ht="12.75" customHeight="1">
      <c r="K586" s="340" t="n"/>
      <c r="L586" s="340" t="n"/>
      <c r="M586" s="340" t="n"/>
      <c r="N586" s="340" t="n"/>
      <c r="O586" s="340" t="n"/>
      <c r="P586" s="340" t="n"/>
      <c r="Q586" s="340" t="n"/>
      <c r="R586" s="340" t="n"/>
      <c r="S586" s="340" t="n"/>
      <c r="T586" s="340" t="n"/>
      <c r="U586" s="340" t="n"/>
      <c r="V586" s="340" t="n"/>
      <c r="W586" s="340" t="n"/>
      <c r="X586" s="340" t="n"/>
      <c r="Y586" s="340" t="n"/>
      <c r="Z586" s="340" t="n"/>
      <c r="AA586" s="340" t="n"/>
      <c r="AB586" s="340" t="n"/>
      <c r="AC586" s="340" t="n"/>
      <c r="AD586" s="340" t="n"/>
      <c r="AE586" s="340" t="n"/>
      <c r="AF586" s="340" t="n"/>
      <c r="AG586" s="340" t="n"/>
      <c r="AH586" s="340" t="n"/>
      <c r="AI586" s="340" t="n"/>
      <c r="AJ586" s="340" t="n"/>
      <c r="AK586" s="340" t="n"/>
      <c r="AL586" s="340" t="n"/>
    </row>
    <row r="587" ht="12.75" customHeight="1">
      <c r="K587" s="340" t="n"/>
      <c r="L587" s="340" t="n"/>
      <c r="M587" s="340" t="n"/>
      <c r="N587" s="340" t="n"/>
      <c r="O587" s="340" t="n"/>
      <c r="P587" s="340" t="n"/>
      <c r="Q587" s="340" t="n"/>
      <c r="R587" s="340" t="n"/>
      <c r="S587" s="340" t="n"/>
      <c r="T587" s="340" t="n"/>
      <c r="U587" s="340" t="n"/>
      <c r="V587" s="340" t="n"/>
      <c r="W587" s="340" t="n"/>
      <c r="X587" s="340" t="n"/>
      <c r="Y587" s="340" t="n"/>
      <c r="Z587" s="340" t="n"/>
      <c r="AA587" s="340" t="n"/>
      <c r="AB587" s="340" t="n"/>
      <c r="AC587" s="340" t="n"/>
      <c r="AD587" s="340" t="n"/>
      <c r="AE587" s="340" t="n"/>
      <c r="AF587" s="340" t="n"/>
      <c r="AG587" s="340" t="n"/>
      <c r="AH587" s="340" t="n"/>
      <c r="AI587" s="340" t="n"/>
      <c r="AJ587" s="340" t="n"/>
      <c r="AK587" s="340" t="n"/>
      <c r="AL587" s="340" t="n"/>
    </row>
    <row r="588" ht="12.75" customHeight="1">
      <c r="K588" s="340" t="n"/>
      <c r="L588" s="340" t="n"/>
      <c r="M588" s="340" t="n"/>
      <c r="N588" s="340" t="n"/>
      <c r="O588" s="340" t="n"/>
      <c r="P588" s="340" t="n"/>
      <c r="Q588" s="340" t="n"/>
      <c r="R588" s="340" t="n"/>
      <c r="S588" s="340" t="n"/>
      <c r="T588" s="340" t="n"/>
      <c r="U588" s="340" t="n"/>
      <c r="V588" s="340" t="n"/>
      <c r="W588" s="340" t="n"/>
      <c r="X588" s="340" t="n"/>
      <c r="Y588" s="340" t="n"/>
      <c r="Z588" s="340" t="n"/>
      <c r="AA588" s="340" t="n"/>
      <c r="AB588" s="340" t="n"/>
      <c r="AC588" s="340" t="n"/>
      <c r="AD588" s="340" t="n"/>
      <c r="AE588" s="340" t="n"/>
      <c r="AF588" s="340" t="n"/>
      <c r="AG588" s="340" t="n"/>
      <c r="AH588" s="340" t="n"/>
      <c r="AI588" s="340" t="n"/>
      <c r="AJ588" s="340" t="n"/>
      <c r="AK588" s="340" t="n"/>
      <c r="AL588" s="340" t="n"/>
    </row>
    <row r="589" ht="12.75" customHeight="1">
      <c r="K589" s="340" t="n"/>
      <c r="L589" s="340" t="n"/>
      <c r="M589" s="340" t="n"/>
      <c r="N589" s="340" t="n"/>
      <c r="O589" s="340" t="n"/>
      <c r="P589" s="340" t="n"/>
      <c r="Q589" s="340" t="n"/>
      <c r="R589" s="340" t="n"/>
      <c r="S589" s="340" t="n"/>
      <c r="T589" s="340" t="n"/>
      <c r="U589" s="340" t="n"/>
      <c r="V589" s="340" t="n"/>
      <c r="W589" s="340" t="n"/>
      <c r="X589" s="340" t="n"/>
      <c r="Y589" s="340" t="n"/>
      <c r="Z589" s="340" t="n"/>
      <c r="AA589" s="340" t="n"/>
      <c r="AB589" s="340" t="n"/>
      <c r="AC589" s="340" t="n"/>
      <c r="AD589" s="340" t="n"/>
      <c r="AE589" s="340" t="n"/>
      <c r="AF589" s="340" t="n"/>
      <c r="AG589" s="340" t="n"/>
      <c r="AH589" s="340" t="n"/>
      <c r="AI589" s="340" t="n"/>
      <c r="AJ589" s="340" t="n"/>
      <c r="AK589" s="340" t="n"/>
      <c r="AL589" s="340" t="n"/>
    </row>
    <row r="590" ht="12.75" customHeight="1">
      <c r="K590" s="340" t="n"/>
      <c r="L590" s="340" t="n"/>
      <c r="M590" s="340" t="n"/>
      <c r="N590" s="340" t="n"/>
      <c r="O590" s="340" t="n"/>
      <c r="P590" s="340" t="n"/>
      <c r="Q590" s="340" t="n"/>
      <c r="R590" s="340" t="n"/>
      <c r="S590" s="340" t="n"/>
      <c r="T590" s="340" t="n"/>
      <c r="U590" s="340" t="n"/>
      <c r="V590" s="340" t="n"/>
      <c r="W590" s="340" t="n"/>
      <c r="X590" s="340" t="n"/>
      <c r="Y590" s="340" t="n"/>
      <c r="Z590" s="340" t="n"/>
      <c r="AA590" s="340" t="n"/>
      <c r="AB590" s="340" t="n"/>
      <c r="AC590" s="340" t="n"/>
      <c r="AD590" s="340" t="n"/>
      <c r="AE590" s="340" t="n"/>
      <c r="AF590" s="340" t="n"/>
      <c r="AG590" s="340" t="n"/>
      <c r="AH590" s="340" t="n"/>
      <c r="AI590" s="340" t="n"/>
      <c r="AJ590" s="340" t="n"/>
      <c r="AK590" s="340" t="n"/>
      <c r="AL590" s="340" t="n"/>
    </row>
    <row r="591" ht="12.75" customHeight="1">
      <c r="K591" s="340" t="n"/>
      <c r="L591" s="340" t="n"/>
      <c r="M591" s="340" t="n"/>
      <c r="N591" s="340" t="n"/>
      <c r="O591" s="340" t="n"/>
      <c r="P591" s="340" t="n"/>
      <c r="Q591" s="340" t="n"/>
      <c r="R591" s="340" t="n"/>
      <c r="S591" s="340" t="n"/>
      <c r="T591" s="340" t="n"/>
      <c r="U591" s="340" t="n"/>
      <c r="V591" s="340" t="n"/>
      <c r="W591" s="340" t="n"/>
      <c r="X591" s="340" t="n"/>
      <c r="Y591" s="340" t="n"/>
      <c r="Z591" s="340" t="n"/>
      <c r="AA591" s="340" t="n"/>
      <c r="AB591" s="340" t="n"/>
      <c r="AC591" s="340" t="n"/>
      <c r="AD591" s="340" t="n"/>
      <c r="AE591" s="340" t="n"/>
      <c r="AF591" s="340" t="n"/>
      <c r="AG591" s="340" t="n"/>
      <c r="AH591" s="340" t="n"/>
      <c r="AI591" s="340" t="n"/>
      <c r="AJ591" s="340" t="n"/>
      <c r="AK591" s="340" t="n"/>
      <c r="AL591" s="340" t="n"/>
    </row>
    <row r="592" ht="12.75" customHeight="1">
      <c r="K592" s="340" t="n"/>
      <c r="L592" s="340" t="n"/>
      <c r="M592" s="340" t="n"/>
      <c r="N592" s="340" t="n"/>
      <c r="O592" s="340" t="n"/>
      <c r="P592" s="340" t="n"/>
      <c r="Q592" s="340" t="n"/>
      <c r="R592" s="340" t="n"/>
      <c r="S592" s="340" t="n"/>
      <c r="T592" s="340" t="n"/>
      <c r="U592" s="340" t="n"/>
      <c r="V592" s="340" t="n"/>
      <c r="W592" s="340" t="n"/>
      <c r="X592" s="340" t="n"/>
      <c r="Y592" s="340" t="n"/>
      <c r="Z592" s="340" t="n"/>
      <c r="AA592" s="340" t="n"/>
      <c r="AB592" s="340" t="n"/>
      <c r="AC592" s="340" t="n"/>
      <c r="AD592" s="340" t="n"/>
      <c r="AE592" s="340" t="n"/>
      <c r="AF592" s="340" t="n"/>
      <c r="AG592" s="340" t="n"/>
      <c r="AH592" s="340" t="n"/>
      <c r="AI592" s="340" t="n"/>
      <c r="AJ592" s="340" t="n"/>
      <c r="AK592" s="340" t="n"/>
      <c r="AL592" s="340" t="n"/>
    </row>
    <row r="593" ht="12.75" customHeight="1">
      <c r="K593" s="340" t="n"/>
      <c r="L593" s="340" t="n"/>
      <c r="M593" s="340" t="n"/>
      <c r="N593" s="340" t="n"/>
      <c r="O593" s="340" t="n"/>
      <c r="P593" s="340" t="n"/>
      <c r="Q593" s="340" t="n"/>
      <c r="R593" s="340" t="n"/>
      <c r="S593" s="340" t="n"/>
      <c r="T593" s="340" t="n"/>
      <c r="U593" s="340" t="n"/>
      <c r="V593" s="340" t="n"/>
      <c r="W593" s="340" t="n"/>
      <c r="X593" s="340" t="n"/>
      <c r="Y593" s="340" t="n"/>
      <c r="Z593" s="340" t="n"/>
      <c r="AA593" s="340" t="n"/>
      <c r="AB593" s="340" t="n"/>
      <c r="AC593" s="340" t="n"/>
      <c r="AD593" s="340" t="n"/>
      <c r="AE593" s="340" t="n"/>
      <c r="AF593" s="340" t="n"/>
      <c r="AG593" s="340" t="n"/>
      <c r="AH593" s="340" t="n"/>
      <c r="AI593" s="340" t="n"/>
      <c r="AJ593" s="340" t="n"/>
      <c r="AK593" s="340" t="n"/>
      <c r="AL593" s="340" t="n"/>
    </row>
    <row r="594" ht="12.75" customHeight="1">
      <c r="K594" s="340" t="n"/>
      <c r="L594" s="340" t="n"/>
      <c r="M594" s="340" t="n"/>
      <c r="N594" s="340" t="n"/>
      <c r="O594" s="340" t="n"/>
      <c r="P594" s="340" t="n"/>
      <c r="Q594" s="340" t="n"/>
      <c r="R594" s="340" t="n"/>
      <c r="S594" s="340" t="n"/>
      <c r="T594" s="340" t="n"/>
      <c r="U594" s="340" t="n"/>
      <c r="V594" s="340" t="n"/>
      <c r="W594" s="340" t="n"/>
      <c r="X594" s="340" t="n"/>
      <c r="Y594" s="340" t="n"/>
      <c r="Z594" s="340" t="n"/>
      <c r="AA594" s="340" t="n"/>
      <c r="AB594" s="340" t="n"/>
      <c r="AC594" s="340" t="n"/>
      <c r="AD594" s="340" t="n"/>
      <c r="AE594" s="340" t="n"/>
      <c r="AF594" s="340" t="n"/>
      <c r="AG594" s="340" t="n"/>
      <c r="AH594" s="340" t="n"/>
      <c r="AI594" s="340" t="n"/>
      <c r="AJ594" s="340" t="n"/>
      <c r="AK594" s="340" t="n"/>
      <c r="AL594" s="340" t="n"/>
    </row>
    <row r="595" ht="12.75" customHeight="1">
      <c r="K595" s="340" t="n"/>
      <c r="L595" s="340" t="n"/>
      <c r="M595" s="340" t="n"/>
      <c r="N595" s="340" t="n"/>
      <c r="O595" s="340" t="n"/>
      <c r="P595" s="340" t="n"/>
      <c r="Q595" s="340" t="n"/>
      <c r="R595" s="340" t="n"/>
      <c r="S595" s="340" t="n"/>
      <c r="T595" s="340" t="n"/>
      <c r="U595" s="340" t="n"/>
      <c r="V595" s="340" t="n"/>
      <c r="W595" s="340" t="n"/>
      <c r="X595" s="340" t="n"/>
      <c r="Y595" s="340" t="n"/>
      <c r="Z595" s="340" t="n"/>
      <c r="AA595" s="340" t="n"/>
      <c r="AB595" s="340" t="n"/>
      <c r="AC595" s="340" t="n"/>
      <c r="AD595" s="340" t="n"/>
      <c r="AE595" s="340" t="n"/>
      <c r="AF595" s="340" t="n"/>
      <c r="AG595" s="340" t="n"/>
      <c r="AH595" s="340" t="n"/>
      <c r="AI595" s="340" t="n"/>
      <c r="AJ595" s="340" t="n"/>
      <c r="AK595" s="340" t="n"/>
      <c r="AL595" s="340" t="n"/>
    </row>
    <row r="596" ht="12.75" customHeight="1">
      <c r="K596" s="340" t="n"/>
      <c r="L596" s="340" t="n"/>
      <c r="M596" s="340" t="n"/>
      <c r="N596" s="340" t="n"/>
      <c r="O596" s="340" t="n"/>
      <c r="P596" s="340" t="n"/>
      <c r="Q596" s="340" t="n"/>
      <c r="R596" s="340" t="n"/>
      <c r="S596" s="340" t="n"/>
      <c r="T596" s="340" t="n"/>
      <c r="U596" s="340" t="n"/>
      <c r="V596" s="340" t="n"/>
      <c r="W596" s="340" t="n"/>
      <c r="X596" s="340" t="n"/>
      <c r="Y596" s="340" t="n"/>
      <c r="Z596" s="340" t="n"/>
      <c r="AA596" s="340" t="n"/>
      <c r="AB596" s="340" t="n"/>
      <c r="AC596" s="340" t="n"/>
      <c r="AD596" s="340" t="n"/>
      <c r="AE596" s="340" t="n"/>
      <c r="AF596" s="340" t="n"/>
      <c r="AG596" s="340" t="n"/>
      <c r="AH596" s="340" t="n"/>
      <c r="AI596" s="340" t="n"/>
      <c r="AJ596" s="340" t="n"/>
      <c r="AK596" s="340" t="n"/>
      <c r="AL596" s="340" t="n"/>
    </row>
    <row r="597" ht="12.75" customHeight="1">
      <c r="K597" s="340" t="n"/>
      <c r="L597" s="340" t="n"/>
      <c r="M597" s="340" t="n"/>
      <c r="N597" s="340" t="n"/>
      <c r="O597" s="340" t="n"/>
      <c r="P597" s="340" t="n"/>
      <c r="Q597" s="340" t="n"/>
      <c r="R597" s="340" t="n"/>
      <c r="S597" s="340" t="n"/>
      <c r="T597" s="340" t="n"/>
      <c r="U597" s="340" t="n"/>
      <c r="V597" s="340" t="n"/>
      <c r="W597" s="340" t="n"/>
      <c r="X597" s="340" t="n"/>
      <c r="Y597" s="340" t="n"/>
      <c r="Z597" s="340" t="n"/>
      <c r="AA597" s="340" t="n"/>
      <c r="AB597" s="340" t="n"/>
      <c r="AC597" s="340" t="n"/>
      <c r="AD597" s="340" t="n"/>
      <c r="AE597" s="340" t="n"/>
      <c r="AF597" s="340" t="n"/>
      <c r="AG597" s="340" t="n"/>
      <c r="AH597" s="340" t="n"/>
      <c r="AI597" s="340" t="n"/>
      <c r="AJ597" s="340" t="n"/>
      <c r="AK597" s="340" t="n"/>
      <c r="AL597" s="340" t="n"/>
    </row>
    <row r="598" ht="12.75" customHeight="1">
      <c r="K598" s="340" t="n"/>
      <c r="L598" s="340" t="n"/>
      <c r="M598" s="340" t="n"/>
      <c r="N598" s="340" t="n"/>
      <c r="O598" s="340" t="n"/>
      <c r="P598" s="340" t="n"/>
      <c r="Q598" s="340" t="n"/>
      <c r="R598" s="340" t="n"/>
      <c r="S598" s="340" t="n"/>
      <c r="T598" s="340" t="n"/>
      <c r="U598" s="340" t="n"/>
      <c r="V598" s="340" t="n"/>
      <c r="W598" s="340" t="n"/>
      <c r="X598" s="340" t="n"/>
      <c r="Y598" s="340" t="n"/>
      <c r="Z598" s="340" t="n"/>
      <c r="AA598" s="340" t="n"/>
      <c r="AB598" s="340" t="n"/>
      <c r="AC598" s="340" t="n"/>
      <c r="AD598" s="340" t="n"/>
      <c r="AE598" s="340" t="n"/>
      <c r="AF598" s="340" t="n"/>
      <c r="AG598" s="340" t="n"/>
      <c r="AH598" s="340" t="n"/>
      <c r="AI598" s="340" t="n"/>
      <c r="AJ598" s="340" t="n"/>
      <c r="AK598" s="340" t="n"/>
      <c r="AL598" s="340" t="n"/>
    </row>
    <row r="599" ht="12.75" customHeight="1">
      <c r="K599" s="340" t="n"/>
      <c r="L599" s="340" t="n"/>
      <c r="M599" s="340" t="n"/>
      <c r="N599" s="340" t="n"/>
      <c r="O599" s="340" t="n"/>
      <c r="P599" s="340" t="n"/>
      <c r="Q599" s="340" t="n"/>
      <c r="R599" s="340" t="n"/>
      <c r="S599" s="340" t="n"/>
      <c r="T599" s="340" t="n"/>
      <c r="U599" s="340" t="n"/>
      <c r="V599" s="340" t="n"/>
      <c r="W599" s="340" t="n"/>
      <c r="X599" s="340" t="n"/>
      <c r="Y599" s="340" t="n"/>
      <c r="Z599" s="340" t="n"/>
      <c r="AA599" s="340" t="n"/>
      <c r="AB599" s="340" t="n"/>
      <c r="AC599" s="340" t="n"/>
      <c r="AD599" s="340" t="n"/>
      <c r="AE599" s="340" t="n"/>
      <c r="AF599" s="340" t="n"/>
      <c r="AG599" s="340" t="n"/>
      <c r="AH599" s="340" t="n"/>
      <c r="AI599" s="340" t="n"/>
      <c r="AJ599" s="340" t="n"/>
      <c r="AK599" s="340" t="n"/>
      <c r="AL599" s="340" t="n"/>
    </row>
    <row r="600" ht="12.75" customHeight="1">
      <c r="K600" s="340" t="n"/>
      <c r="L600" s="340" t="n"/>
      <c r="M600" s="340" t="n"/>
      <c r="N600" s="340" t="n"/>
      <c r="O600" s="340" t="n"/>
      <c r="P600" s="340" t="n"/>
      <c r="Q600" s="340" t="n"/>
      <c r="R600" s="340" t="n"/>
      <c r="S600" s="340" t="n"/>
      <c r="T600" s="340" t="n"/>
      <c r="U600" s="340" t="n"/>
      <c r="V600" s="340" t="n"/>
      <c r="W600" s="340" t="n"/>
      <c r="X600" s="340" t="n"/>
      <c r="Y600" s="340" t="n"/>
      <c r="Z600" s="340" t="n"/>
      <c r="AA600" s="340" t="n"/>
      <c r="AB600" s="340" t="n"/>
      <c r="AC600" s="340" t="n"/>
      <c r="AD600" s="340" t="n"/>
      <c r="AE600" s="340" t="n"/>
      <c r="AF600" s="340" t="n"/>
      <c r="AG600" s="340" t="n"/>
      <c r="AH600" s="340" t="n"/>
      <c r="AI600" s="340" t="n"/>
      <c r="AJ600" s="340" t="n"/>
      <c r="AK600" s="340" t="n"/>
      <c r="AL600" s="340" t="n"/>
    </row>
    <row r="601" ht="12.75" customHeight="1">
      <c r="K601" s="340" t="n"/>
      <c r="L601" s="340" t="n"/>
      <c r="M601" s="340" t="n"/>
      <c r="N601" s="340" t="n"/>
      <c r="O601" s="340" t="n"/>
      <c r="P601" s="340" t="n"/>
      <c r="Q601" s="340" t="n"/>
      <c r="R601" s="340" t="n"/>
      <c r="S601" s="340" t="n"/>
      <c r="T601" s="340" t="n"/>
      <c r="U601" s="340" t="n"/>
      <c r="V601" s="340" t="n"/>
      <c r="W601" s="340" t="n"/>
      <c r="X601" s="340" t="n"/>
      <c r="Y601" s="340" t="n"/>
      <c r="Z601" s="340" t="n"/>
      <c r="AA601" s="340" t="n"/>
      <c r="AB601" s="340" t="n"/>
      <c r="AC601" s="340" t="n"/>
      <c r="AD601" s="340" t="n"/>
      <c r="AE601" s="340" t="n"/>
      <c r="AF601" s="340" t="n"/>
      <c r="AG601" s="340" t="n"/>
      <c r="AH601" s="340" t="n"/>
      <c r="AI601" s="340" t="n"/>
      <c r="AJ601" s="340" t="n"/>
      <c r="AK601" s="340" t="n"/>
      <c r="AL601" s="340" t="n"/>
    </row>
    <row r="602" ht="12.75" customHeight="1">
      <c r="K602" s="340" t="n"/>
      <c r="L602" s="340" t="n"/>
      <c r="M602" s="340" t="n"/>
      <c r="N602" s="340" t="n"/>
      <c r="O602" s="340" t="n"/>
      <c r="P602" s="340" t="n"/>
      <c r="Q602" s="340" t="n"/>
      <c r="R602" s="340" t="n"/>
      <c r="S602" s="340" t="n"/>
      <c r="T602" s="340" t="n"/>
      <c r="U602" s="340" t="n"/>
      <c r="V602" s="340" t="n"/>
      <c r="W602" s="340" t="n"/>
      <c r="X602" s="340" t="n"/>
      <c r="Y602" s="340" t="n"/>
      <c r="Z602" s="340" t="n"/>
      <c r="AA602" s="340" t="n"/>
      <c r="AB602" s="340" t="n"/>
      <c r="AC602" s="340" t="n"/>
      <c r="AD602" s="340" t="n"/>
      <c r="AE602" s="340" t="n"/>
      <c r="AF602" s="340" t="n"/>
      <c r="AG602" s="340" t="n"/>
      <c r="AH602" s="340" t="n"/>
      <c r="AI602" s="340" t="n"/>
      <c r="AJ602" s="340" t="n"/>
      <c r="AK602" s="340" t="n"/>
      <c r="AL602" s="340" t="n"/>
    </row>
    <row r="603" ht="12.75" customHeight="1">
      <c r="K603" s="340" t="n"/>
      <c r="L603" s="340" t="n"/>
      <c r="M603" s="340" t="n"/>
      <c r="N603" s="340" t="n"/>
      <c r="O603" s="340" t="n"/>
      <c r="P603" s="340" t="n"/>
      <c r="Q603" s="340" t="n"/>
      <c r="R603" s="340" t="n"/>
      <c r="S603" s="340" t="n"/>
      <c r="T603" s="340" t="n"/>
      <c r="U603" s="340" t="n"/>
      <c r="V603" s="340" t="n"/>
      <c r="W603" s="340" t="n"/>
      <c r="X603" s="340" t="n"/>
      <c r="Y603" s="340" t="n"/>
      <c r="Z603" s="340" t="n"/>
      <c r="AA603" s="340" t="n"/>
      <c r="AB603" s="340" t="n"/>
      <c r="AC603" s="340" t="n"/>
      <c r="AD603" s="340" t="n"/>
      <c r="AE603" s="340" t="n"/>
      <c r="AF603" s="340" t="n"/>
      <c r="AG603" s="340" t="n"/>
      <c r="AH603" s="340" t="n"/>
      <c r="AI603" s="340" t="n"/>
      <c r="AJ603" s="340" t="n"/>
      <c r="AK603" s="340" t="n"/>
      <c r="AL603" s="340" t="n"/>
    </row>
    <row r="604" ht="12.75" customHeight="1">
      <c r="K604" s="340" t="n"/>
      <c r="L604" s="340" t="n"/>
      <c r="M604" s="340" t="n"/>
      <c r="N604" s="340" t="n"/>
      <c r="O604" s="340" t="n"/>
      <c r="P604" s="340" t="n"/>
      <c r="Q604" s="340" t="n"/>
      <c r="R604" s="340" t="n"/>
      <c r="S604" s="340" t="n"/>
      <c r="T604" s="340" t="n"/>
      <c r="U604" s="340" t="n"/>
      <c r="V604" s="340" t="n"/>
      <c r="W604" s="340" t="n"/>
      <c r="X604" s="340" t="n"/>
      <c r="Y604" s="340" t="n"/>
      <c r="Z604" s="340" t="n"/>
      <c r="AA604" s="340" t="n"/>
      <c r="AB604" s="340" t="n"/>
      <c r="AC604" s="340" t="n"/>
      <c r="AD604" s="340" t="n"/>
      <c r="AE604" s="340" t="n"/>
      <c r="AF604" s="340" t="n"/>
      <c r="AG604" s="340" t="n"/>
      <c r="AH604" s="340" t="n"/>
      <c r="AI604" s="340" t="n"/>
      <c r="AJ604" s="340" t="n"/>
      <c r="AK604" s="340" t="n"/>
      <c r="AL604" s="340" t="n"/>
    </row>
    <row r="605" ht="12.75" customHeight="1">
      <c r="K605" s="340" t="n"/>
      <c r="L605" s="340" t="n"/>
      <c r="M605" s="340" t="n"/>
      <c r="N605" s="340" t="n"/>
      <c r="O605" s="340" t="n"/>
      <c r="P605" s="340" t="n"/>
      <c r="Q605" s="340" t="n"/>
      <c r="R605" s="340" t="n"/>
      <c r="S605" s="340" t="n"/>
      <c r="T605" s="340" t="n"/>
      <c r="U605" s="340" t="n"/>
      <c r="V605" s="340" t="n"/>
      <c r="W605" s="340" t="n"/>
      <c r="X605" s="340" t="n"/>
      <c r="Y605" s="340" t="n"/>
      <c r="Z605" s="340" t="n"/>
      <c r="AA605" s="340" t="n"/>
      <c r="AB605" s="340" t="n"/>
      <c r="AC605" s="340" t="n"/>
      <c r="AD605" s="340" t="n"/>
      <c r="AE605" s="340" t="n"/>
      <c r="AF605" s="340" t="n"/>
      <c r="AG605" s="340" t="n"/>
      <c r="AH605" s="340" t="n"/>
      <c r="AI605" s="340" t="n"/>
      <c r="AJ605" s="340" t="n"/>
      <c r="AK605" s="340" t="n"/>
      <c r="AL605" s="340" t="n"/>
    </row>
    <row r="606" ht="12.75" customHeight="1">
      <c r="K606" s="340" t="n"/>
      <c r="L606" s="340" t="n"/>
      <c r="M606" s="340" t="n"/>
      <c r="N606" s="340" t="n"/>
      <c r="O606" s="340" t="n"/>
      <c r="P606" s="340" t="n"/>
      <c r="Q606" s="340" t="n"/>
      <c r="R606" s="340" t="n"/>
      <c r="S606" s="340" t="n"/>
      <c r="T606" s="340" t="n"/>
      <c r="U606" s="340" t="n"/>
      <c r="V606" s="340" t="n"/>
      <c r="W606" s="340" t="n"/>
      <c r="X606" s="340" t="n"/>
      <c r="Y606" s="340" t="n"/>
      <c r="Z606" s="340" t="n"/>
      <c r="AA606" s="340" t="n"/>
      <c r="AB606" s="340" t="n"/>
      <c r="AC606" s="340" t="n"/>
      <c r="AD606" s="340" t="n"/>
      <c r="AE606" s="340" t="n"/>
      <c r="AF606" s="340" t="n"/>
      <c r="AG606" s="340" t="n"/>
      <c r="AH606" s="340" t="n"/>
      <c r="AI606" s="340" t="n"/>
      <c r="AJ606" s="340" t="n"/>
      <c r="AK606" s="340" t="n"/>
      <c r="AL606" s="340" t="n"/>
    </row>
    <row r="607" ht="12.75" customHeight="1">
      <c r="K607" s="340" t="n"/>
      <c r="L607" s="340" t="n"/>
      <c r="M607" s="340" t="n"/>
      <c r="N607" s="340" t="n"/>
      <c r="O607" s="340" t="n"/>
      <c r="P607" s="340" t="n"/>
      <c r="Q607" s="340" t="n"/>
      <c r="R607" s="340" t="n"/>
      <c r="S607" s="340" t="n"/>
      <c r="T607" s="340" t="n"/>
      <c r="U607" s="340" t="n"/>
      <c r="V607" s="340" t="n"/>
      <c r="W607" s="340" t="n"/>
      <c r="X607" s="340" t="n"/>
      <c r="Y607" s="340" t="n"/>
      <c r="Z607" s="340" t="n"/>
      <c r="AA607" s="340" t="n"/>
      <c r="AB607" s="340" t="n"/>
      <c r="AC607" s="340" t="n"/>
      <c r="AD607" s="340" t="n"/>
      <c r="AE607" s="340" t="n"/>
      <c r="AF607" s="340" t="n"/>
      <c r="AG607" s="340" t="n"/>
      <c r="AH607" s="340" t="n"/>
      <c r="AI607" s="340" t="n"/>
      <c r="AJ607" s="340" t="n"/>
      <c r="AK607" s="340" t="n"/>
      <c r="AL607" s="340" t="n"/>
    </row>
    <row r="608" ht="12.75" customHeight="1">
      <c r="K608" s="340" t="n"/>
      <c r="L608" s="340" t="n"/>
      <c r="M608" s="340" t="n"/>
      <c r="N608" s="340" t="n"/>
      <c r="O608" s="340" t="n"/>
      <c r="P608" s="340" t="n"/>
      <c r="Q608" s="340" t="n"/>
      <c r="R608" s="340" t="n"/>
      <c r="S608" s="340" t="n"/>
      <c r="T608" s="340" t="n"/>
      <c r="U608" s="340" t="n"/>
      <c r="V608" s="340" t="n"/>
      <c r="W608" s="340" t="n"/>
      <c r="X608" s="340" t="n"/>
      <c r="Y608" s="340" t="n"/>
      <c r="Z608" s="340" t="n"/>
      <c r="AA608" s="340" t="n"/>
      <c r="AB608" s="340" t="n"/>
      <c r="AC608" s="340" t="n"/>
      <c r="AD608" s="340" t="n"/>
      <c r="AE608" s="340" t="n"/>
      <c r="AF608" s="340" t="n"/>
      <c r="AG608" s="340" t="n"/>
      <c r="AH608" s="340" t="n"/>
      <c r="AI608" s="340" t="n"/>
      <c r="AJ608" s="340" t="n"/>
      <c r="AK608" s="340" t="n"/>
      <c r="AL608" s="340" t="n"/>
    </row>
    <row r="609" ht="12.75" customHeight="1">
      <c r="K609" s="340" t="n"/>
      <c r="L609" s="340" t="n"/>
      <c r="M609" s="340" t="n"/>
      <c r="N609" s="340" t="n"/>
      <c r="O609" s="340" t="n"/>
      <c r="P609" s="340" t="n"/>
      <c r="Q609" s="340" t="n"/>
      <c r="R609" s="340" t="n"/>
      <c r="S609" s="340" t="n"/>
      <c r="T609" s="340" t="n"/>
      <c r="U609" s="340" t="n"/>
      <c r="V609" s="340" t="n"/>
      <c r="W609" s="340" t="n"/>
      <c r="X609" s="340" t="n"/>
      <c r="Y609" s="340" t="n"/>
      <c r="Z609" s="340" t="n"/>
      <c r="AA609" s="340" t="n"/>
      <c r="AB609" s="340" t="n"/>
      <c r="AC609" s="340" t="n"/>
      <c r="AD609" s="340" t="n"/>
      <c r="AE609" s="340" t="n"/>
      <c r="AF609" s="340" t="n"/>
      <c r="AG609" s="340" t="n"/>
      <c r="AH609" s="340" t="n"/>
      <c r="AI609" s="340" t="n"/>
      <c r="AJ609" s="340" t="n"/>
      <c r="AK609" s="340" t="n"/>
      <c r="AL609" s="340" t="n"/>
    </row>
    <row r="610" ht="12.75" customHeight="1">
      <c r="K610" s="340" t="n"/>
      <c r="L610" s="340" t="n"/>
      <c r="M610" s="340" t="n"/>
      <c r="N610" s="340" t="n"/>
      <c r="O610" s="340" t="n"/>
      <c r="P610" s="340" t="n"/>
      <c r="Q610" s="340" t="n"/>
      <c r="R610" s="340" t="n"/>
      <c r="S610" s="340" t="n"/>
      <c r="T610" s="340" t="n"/>
      <c r="U610" s="340" t="n"/>
      <c r="V610" s="340" t="n"/>
      <c r="W610" s="340" t="n"/>
      <c r="X610" s="340" t="n"/>
      <c r="Y610" s="340" t="n"/>
      <c r="Z610" s="340" t="n"/>
      <c r="AA610" s="340" t="n"/>
      <c r="AB610" s="340" t="n"/>
      <c r="AC610" s="340" t="n"/>
      <c r="AD610" s="340" t="n"/>
      <c r="AE610" s="340" t="n"/>
      <c r="AF610" s="340" t="n"/>
      <c r="AG610" s="340" t="n"/>
      <c r="AH610" s="340" t="n"/>
      <c r="AI610" s="340" t="n"/>
      <c r="AJ610" s="340" t="n"/>
      <c r="AK610" s="340" t="n"/>
      <c r="AL610" s="340" t="n"/>
    </row>
    <row r="611" ht="12.75" customHeight="1">
      <c r="K611" s="340" t="n"/>
      <c r="L611" s="340" t="n"/>
      <c r="M611" s="340" t="n"/>
      <c r="N611" s="340" t="n"/>
      <c r="O611" s="340" t="n"/>
      <c r="P611" s="340" t="n"/>
      <c r="Q611" s="340" t="n"/>
      <c r="R611" s="340" t="n"/>
      <c r="S611" s="340" t="n"/>
      <c r="T611" s="340" t="n"/>
      <c r="U611" s="340" t="n"/>
      <c r="V611" s="340" t="n"/>
      <c r="W611" s="340" t="n"/>
      <c r="X611" s="340" t="n"/>
      <c r="Y611" s="340" t="n"/>
      <c r="Z611" s="340" t="n"/>
      <c r="AA611" s="340" t="n"/>
      <c r="AB611" s="340" t="n"/>
      <c r="AC611" s="340" t="n"/>
      <c r="AD611" s="340" t="n"/>
      <c r="AE611" s="340" t="n"/>
      <c r="AF611" s="340" t="n"/>
      <c r="AG611" s="340" t="n"/>
      <c r="AH611" s="340" t="n"/>
      <c r="AI611" s="340" t="n"/>
      <c r="AJ611" s="340" t="n"/>
      <c r="AK611" s="340" t="n"/>
      <c r="AL611" s="340" t="n"/>
    </row>
    <row r="612" ht="12.75" customHeight="1">
      <c r="K612" s="340" t="n"/>
      <c r="L612" s="340" t="n"/>
      <c r="M612" s="340" t="n"/>
      <c r="N612" s="340" t="n"/>
      <c r="O612" s="340" t="n"/>
      <c r="P612" s="340" t="n"/>
      <c r="Q612" s="340" t="n"/>
      <c r="R612" s="340" t="n"/>
      <c r="S612" s="340" t="n"/>
      <c r="T612" s="340" t="n"/>
      <c r="U612" s="340" t="n"/>
      <c r="V612" s="340" t="n"/>
      <c r="W612" s="340" t="n"/>
      <c r="X612" s="340" t="n"/>
      <c r="Y612" s="340" t="n"/>
      <c r="Z612" s="340" t="n"/>
      <c r="AA612" s="340" t="n"/>
      <c r="AB612" s="340" t="n"/>
      <c r="AC612" s="340" t="n"/>
      <c r="AD612" s="340" t="n"/>
      <c r="AE612" s="340" t="n"/>
      <c r="AF612" s="340" t="n"/>
      <c r="AG612" s="340" t="n"/>
      <c r="AH612" s="340" t="n"/>
      <c r="AI612" s="340" t="n"/>
      <c r="AJ612" s="340" t="n"/>
      <c r="AK612" s="340" t="n"/>
      <c r="AL612" s="340" t="n"/>
    </row>
    <row r="613" ht="12.75" customHeight="1">
      <c r="K613" s="340" t="n"/>
      <c r="L613" s="340" t="n"/>
      <c r="M613" s="340" t="n"/>
      <c r="N613" s="340" t="n"/>
      <c r="O613" s="340" t="n"/>
      <c r="P613" s="340" t="n"/>
      <c r="Q613" s="340" t="n"/>
      <c r="R613" s="340" t="n"/>
      <c r="S613" s="340" t="n"/>
      <c r="T613" s="340" t="n"/>
      <c r="U613" s="340" t="n"/>
      <c r="V613" s="340" t="n"/>
      <c r="W613" s="340" t="n"/>
      <c r="X613" s="340" t="n"/>
      <c r="Y613" s="340" t="n"/>
      <c r="Z613" s="340" t="n"/>
      <c r="AA613" s="340" t="n"/>
      <c r="AB613" s="340" t="n"/>
      <c r="AC613" s="340" t="n"/>
      <c r="AD613" s="340" t="n"/>
      <c r="AE613" s="340" t="n"/>
      <c r="AF613" s="340" t="n"/>
      <c r="AG613" s="340" t="n"/>
      <c r="AH613" s="340" t="n"/>
      <c r="AI613" s="340" t="n"/>
      <c r="AJ613" s="340" t="n"/>
      <c r="AK613" s="340" t="n"/>
      <c r="AL613" s="340" t="n"/>
    </row>
    <row r="614" ht="12.75" customHeight="1">
      <c r="K614" s="340" t="n"/>
      <c r="L614" s="340" t="n"/>
      <c r="M614" s="340" t="n"/>
      <c r="N614" s="340" t="n"/>
      <c r="O614" s="340" t="n"/>
      <c r="P614" s="340" t="n"/>
      <c r="Q614" s="340" t="n"/>
      <c r="R614" s="340" t="n"/>
      <c r="S614" s="340" t="n"/>
      <c r="T614" s="340" t="n"/>
      <c r="U614" s="340" t="n"/>
      <c r="V614" s="340" t="n"/>
      <c r="W614" s="340" t="n"/>
      <c r="X614" s="340" t="n"/>
      <c r="Y614" s="340" t="n"/>
      <c r="Z614" s="340" t="n"/>
      <c r="AA614" s="340" t="n"/>
      <c r="AB614" s="340" t="n"/>
      <c r="AC614" s="340" t="n"/>
      <c r="AD614" s="340" t="n"/>
      <c r="AE614" s="340" t="n"/>
      <c r="AF614" s="340" t="n"/>
      <c r="AG614" s="340" t="n"/>
      <c r="AH614" s="340" t="n"/>
      <c r="AI614" s="340" t="n"/>
      <c r="AJ614" s="340" t="n"/>
      <c r="AK614" s="340" t="n"/>
      <c r="AL614" s="340" t="n"/>
    </row>
    <row r="615" ht="12.75" customHeight="1">
      <c r="K615" s="340" t="n"/>
      <c r="L615" s="340" t="n"/>
      <c r="M615" s="340" t="n"/>
      <c r="N615" s="340" t="n"/>
      <c r="O615" s="340" t="n"/>
      <c r="P615" s="340" t="n"/>
      <c r="Q615" s="340" t="n"/>
      <c r="R615" s="340" t="n"/>
      <c r="S615" s="340" t="n"/>
      <c r="T615" s="340" t="n"/>
      <c r="U615" s="340" t="n"/>
      <c r="V615" s="340" t="n"/>
      <c r="W615" s="340" t="n"/>
      <c r="X615" s="340" t="n"/>
      <c r="Y615" s="340" t="n"/>
      <c r="Z615" s="340" t="n"/>
      <c r="AA615" s="340" t="n"/>
      <c r="AB615" s="340" t="n"/>
      <c r="AC615" s="340" t="n"/>
      <c r="AD615" s="340" t="n"/>
      <c r="AE615" s="340" t="n"/>
      <c r="AF615" s="340" t="n"/>
      <c r="AG615" s="340" t="n"/>
      <c r="AH615" s="340" t="n"/>
      <c r="AI615" s="340" t="n"/>
      <c r="AJ615" s="340" t="n"/>
      <c r="AK615" s="340" t="n"/>
      <c r="AL615" s="340" t="n"/>
    </row>
    <row r="616" ht="12.75" customHeight="1">
      <c r="K616" s="340" t="n"/>
      <c r="L616" s="340" t="n"/>
      <c r="M616" s="340" t="n"/>
      <c r="N616" s="340" t="n"/>
      <c r="O616" s="340" t="n"/>
      <c r="P616" s="340" t="n"/>
      <c r="Q616" s="340" t="n"/>
      <c r="R616" s="340" t="n"/>
      <c r="S616" s="340" t="n"/>
      <c r="T616" s="340" t="n"/>
      <c r="U616" s="340" t="n"/>
      <c r="V616" s="340" t="n"/>
      <c r="W616" s="340" t="n"/>
      <c r="X616" s="340" t="n"/>
      <c r="Y616" s="340" t="n"/>
      <c r="Z616" s="340" t="n"/>
      <c r="AA616" s="340" t="n"/>
      <c r="AB616" s="340" t="n"/>
      <c r="AC616" s="340" t="n"/>
      <c r="AD616" s="340" t="n"/>
      <c r="AE616" s="340" t="n"/>
      <c r="AF616" s="340" t="n"/>
      <c r="AG616" s="340" t="n"/>
      <c r="AH616" s="340" t="n"/>
      <c r="AI616" s="340" t="n"/>
      <c r="AJ616" s="340" t="n"/>
      <c r="AK616" s="340" t="n"/>
      <c r="AL616" s="340" t="n"/>
    </row>
    <row r="617" ht="12.75" customHeight="1">
      <c r="K617" s="340" t="n"/>
      <c r="L617" s="340" t="n"/>
      <c r="M617" s="340" t="n"/>
      <c r="N617" s="340" t="n"/>
      <c r="O617" s="340" t="n"/>
      <c r="P617" s="340" t="n"/>
      <c r="Q617" s="340" t="n"/>
      <c r="R617" s="340" t="n"/>
      <c r="S617" s="340" t="n"/>
      <c r="T617" s="340" t="n"/>
      <c r="U617" s="340" t="n"/>
      <c r="V617" s="340" t="n"/>
      <c r="W617" s="340" t="n"/>
      <c r="X617" s="340" t="n"/>
      <c r="Y617" s="340" t="n"/>
      <c r="Z617" s="340" t="n"/>
      <c r="AA617" s="340" t="n"/>
      <c r="AB617" s="340" t="n"/>
      <c r="AC617" s="340" t="n"/>
      <c r="AD617" s="340" t="n"/>
      <c r="AE617" s="340" t="n"/>
      <c r="AF617" s="340" t="n"/>
      <c r="AG617" s="340" t="n"/>
      <c r="AH617" s="340" t="n"/>
      <c r="AI617" s="340" t="n"/>
      <c r="AJ617" s="340" t="n"/>
      <c r="AK617" s="340" t="n"/>
      <c r="AL617" s="340" t="n"/>
    </row>
    <row r="618" ht="12.75" customHeight="1">
      <c r="K618" s="340" t="n"/>
      <c r="L618" s="340" t="n"/>
      <c r="M618" s="340" t="n"/>
      <c r="N618" s="340" t="n"/>
      <c r="O618" s="340" t="n"/>
      <c r="P618" s="340" t="n"/>
      <c r="Q618" s="340" t="n"/>
      <c r="R618" s="340" t="n"/>
      <c r="S618" s="340" t="n"/>
      <c r="T618" s="340" t="n"/>
      <c r="U618" s="340" t="n"/>
      <c r="V618" s="340" t="n"/>
      <c r="W618" s="340" t="n"/>
      <c r="X618" s="340" t="n"/>
      <c r="Y618" s="340" t="n"/>
      <c r="Z618" s="340" t="n"/>
      <c r="AA618" s="340" t="n"/>
      <c r="AB618" s="340" t="n"/>
      <c r="AC618" s="340" t="n"/>
      <c r="AD618" s="340" t="n"/>
      <c r="AE618" s="340" t="n"/>
      <c r="AF618" s="340" t="n"/>
      <c r="AG618" s="340" t="n"/>
      <c r="AH618" s="340" t="n"/>
      <c r="AI618" s="340" t="n"/>
      <c r="AJ618" s="340" t="n"/>
      <c r="AK618" s="340" t="n"/>
      <c r="AL618" s="340" t="n"/>
    </row>
    <row r="619" ht="12.75" customHeight="1">
      <c r="K619" s="340" t="n"/>
      <c r="L619" s="340" t="n"/>
      <c r="M619" s="340" t="n"/>
      <c r="N619" s="340" t="n"/>
      <c r="O619" s="340" t="n"/>
      <c r="P619" s="340" t="n"/>
      <c r="Q619" s="340" t="n"/>
      <c r="R619" s="340" t="n"/>
      <c r="S619" s="340" t="n"/>
      <c r="T619" s="340" t="n"/>
      <c r="U619" s="340" t="n"/>
      <c r="V619" s="340" t="n"/>
      <c r="W619" s="340" t="n"/>
      <c r="X619" s="340" t="n"/>
      <c r="Y619" s="340" t="n"/>
      <c r="Z619" s="340" t="n"/>
      <c r="AA619" s="340" t="n"/>
      <c r="AB619" s="340" t="n"/>
      <c r="AC619" s="340" t="n"/>
      <c r="AD619" s="340" t="n"/>
      <c r="AE619" s="340" t="n"/>
      <c r="AF619" s="340" t="n"/>
      <c r="AG619" s="340" t="n"/>
      <c r="AH619" s="340" t="n"/>
      <c r="AI619" s="340" t="n"/>
      <c r="AJ619" s="340" t="n"/>
      <c r="AK619" s="340" t="n"/>
      <c r="AL619" s="340" t="n"/>
    </row>
    <row r="620" ht="12.75" customHeight="1">
      <c r="K620" s="340" t="n"/>
      <c r="L620" s="340" t="n"/>
      <c r="M620" s="340" t="n"/>
      <c r="N620" s="340" t="n"/>
      <c r="O620" s="340" t="n"/>
      <c r="P620" s="340" t="n"/>
      <c r="Q620" s="340" t="n"/>
      <c r="R620" s="340" t="n"/>
      <c r="S620" s="340" t="n"/>
      <c r="T620" s="340" t="n"/>
      <c r="U620" s="340" t="n"/>
      <c r="V620" s="340" t="n"/>
      <c r="W620" s="340" t="n"/>
      <c r="X620" s="340" t="n"/>
      <c r="Y620" s="340" t="n"/>
      <c r="Z620" s="340" t="n"/>
      <c r="AA620" s="340" t="n"/>
      <c r="AB620" s="340" t="n"/>
      <c r="AC620" s="340" t="n"/>
      <c r="AD620" s="340" t="n"/>
      <c r="AE620" s="340" t="n"/>
      <c r="AF620" s="340" t="n"/>
      <c r="AG620" s="340" t="n"/>
      <c r="AH620" s="340" t="n"/>
      <c r="AI620" s="340" t="n"/>
      <c r="AJ620" s="340" t="n"/>
      <c r="AK620" s="340" t="n"/>
      <c r="AL620" s="340" t="n"/>
    </row>
    <row r="621" ht="12.75" customHeight="1">
      <c r="K621" s="340" t="n"/>
      <c r="L621" s="340" t="n"/>
      <c r="M621" s="340" t="n"/>
      <c r="N621" s="340" t="n"/>
      <c r="O621" s="340" t="n"/>
      <c r="P621" s="340" t="n"/>
      <c r="Q621" s="340" t="n"/>
      <c r="R621" s="340" t="n"/>
      <c r="S621" s="340" t="n"/>
      <c r="T621" s="340" t="n"/>
      <c r="U621" s="340" t="n"/>
      <c r="V621" s="340" t="n"/>
      <c r="W621" s="340" t="n"/>
      <c r="X621" s="340" t="n"/>
      <c r="Y621" s="340" t="n"/>
      <c r="Z621" s="340" t="n"/>
      <c r="AA621" s="340" t="n"/>
      <c r="AB621" s="340" t="n"/>
      <c r="AC621" s="340" t="n"/>
      <c r="AD621" s="340" t="n"/>
      <c r="AE621" s="340" t="n"/>
      <c r="AF621" s="340" t="n"/>
      <c r="AG621" s="340" t="n"/>
      <c r="AH621" s="340" t="n"/>
      <c r="AI621" s="340" t="n"/>
      <c r="AJ621" s="340" t="n"/>
      <c r="AK621" s="340" t="n"/>
      <c r="AL621" s="340" t="n"/>
    </row>
    <row r="622" ht="12.75" customHeight="1">
      <c r="K622" s="340" t="n"/>
      <c r="L622" s="340" t="n"/>
      <c r="M622" s="340" t="n"/>
      <c r="N622" s="340" t="n"/>
      <c r="O622" s="340" t="n"/>
      <c r="P622" s="340" t="n"/>
      <c r="Q622" s="340" t="n"/>
      <c r="R622" s="340" t="n"/>
      <c r="S622" s="340" t="n"/>
      <c r="T622" s="340" t="n"/>
      <c r="U622" s="340" t="n"/>
      <c r="V622" s="340" t="n"/>
      <c r="W622" s="340" t="n"/>
      <c r="X622" s="340" t="n"/>
      <c r="Y622" s="340" t="n"/>
      <c r="Z622" s="340" t="n"/>
      <c r="AA622" s="340" t="n"/>
      <c r="AB622" s="340" t="n"/>
      <c r="AC622" s="340" t="n"/>
      <c r="AD622" s="340" t="n"/>
      <c r="AE622" s="340" t="n"/>
      <c r="AF622" s="340" t="n"/>
      <c r="AG622" s="340" t="n"/>
      <c r="AH622" s="340" t="n"/>
      <c r="AI622" s="340" t="n"/>
      <c r="AJ622" s="340" t="n"/>
      <c r="AK622" s="340" t="n"/>
      <c r="AL622" s="340" t="n"/>
    </row>
    <row r="623" ht="12.75" customHeight="1">
      <c r="K623" s="340" t="n"/>
      <c r="L623" s="340" t="n"/>
      <c r="M623" s="340" t="n"/>
      <c r="N623" s="340" t="n"/>
      <c r="O623" s="340" t="n"/>
      <c r="P623" s="340" t="n"/>
      <c r="Q623" s="340" t="n"/>
      <c r="R623" s="340" t="n"/>
      <c r="S623" s="340" t="n"/>
      <c r="T623" s="340" t="n"/>
      <c r="U623" s="340" t="n"/>
      <c r="V623" s="340" t="n"/>
      <c r="W623" s="340" t="n"/>
      <c r="X623" s="340" t="n"/>
      <c r="Y623" s="340" t="n"/>
      <c r="Z623" s="340" t="n"/>
      <c r="AA623" s="340" t="n"/>
      <c r="AB623" s="340" t="n"/>
      <c r="AC623" s="340" t="n"/>
      <c r="AD623" s="340" t="n"/>
      <c r="AE623" s="340" t="n"/>
      <c r="AF623" s="340" t="n"/>
      <c r="AG623" s="340" t="n"/>
      <c r="AH623" s="340" t="n"/>
      <c r="AI623" s="340" t="n"/>
      <c r="AJ623" s="340" t="n"/>
      <c r="AK623" s="340" t="n"/>
      <c r="AL623" s="340" t="n"/>
    </row>
    <row r="624" ht="12.75" customHeight="1">
      <c r="K624" s="340" t="n"/>
      <c r="L624" s="340" t="n"/>
      <c r="M624" s="340" t="n"/>
      <c r="N624" s="340" t="n"/>
      <c r="O624" s="340" t="n"/>
      <c r="P624" s="340" t="n"/>
      <c r="Q624" s="340" t="n"/>
      <c r="R624" s="340" t="n"/>
      <c r="S624" s="340" t="n"/>
      <c r="T624" s="340" t="n"/>
      <c r="U624" s="340" t="n"/>
      <c r="V624" s="340" t="n"/>
      <c r="W624" s="340" t="n"/>
      <c r="X624" s="340" t="n"/>
      <c r="Y624" s="340" t="n"/>
      <c r="Z624" s="340" t="n"/>
      <c r="AA624" s="340" t="n"/>
      <c r="AB624" s="340" t="n"/>
      <c r="AC624" s="340" t="n"/>
      <c r="AD624" s="340" t="n"/>
      <c r="AE624" s="340" t="n"/>
      <c r="AF624" s="340" t="n"/>
      <c r="AG624" s="340" t="n"/>
      <c r="AH624" s="340" t="n"/>
      <c r="AI624" s="340" t="n"/>
      <c r="AJ624" s="340" t="n"/>
      <c r="AK624" s="340" t="n"/>
      <c r="AL624" s="340" t="n"/>
    </row>
    <row r="625" ht="12.75" customHeight="1">
      <c r="K625" s="340" t="n"/>
      <c r="L625" s="340" t="n"/>
      <c r="M625" s="340" t="n"/>
      <c r="N625" s="340" t="n"/>
      <c r="O625" s="340" t="n"/>
      <c r="P625" s="340" t="n"/>
      <c r="Q625" s="340" t="n"/>
      <c r="R625" s="340" t="n"/>
      <c r="S625" s="340" t="n"/>
      <c r="T625" s="340" t="n"/>
      <c r="U625" s="340" t="n"/>
      <c r="V625" s="340" t="n"/>
      <c r="W625" s="340" t="n"/>
      <c r="X625" s="340" t="n"/>
      <c r="Y625" s="340" t="n"/>
      <c r="Z625" s="340" t="n"/>
      <c r="AA625" s="340" t="n"/>
      <c r="AB625" s="340" t="n"/>
      <c r="AC625" s="340" t="n"/>
      <c r="AD625" s="340" t="n"/>
      <c r="AE625" s="340" t="n"/>
      <c r="AF625" s="340" t="n"/>
      <c r="AG625" s="340" t="n"/>
      <c r="AH625" s="340" t="n"/>
      <c r="AI625" s="340" t="n"/>
      <c r="AJ625" s="340" t="n"/>
      <c r="AK625" s="340" t="n"/>
      <c r="AL625" s="340" t="n"/>
    </row>
    <row r="626" ht="12.75" customHeight="1">
      <c r="K626" s="340" t="n"/>
      <c r="L626" s="340" t="n"/>
      <c r="M626" s="340" t="n"/>
      <c r="N626" s="340" t="n"/>
      <c r="O626" s="340" t="n"/>
      <c r="P626" s="340" t="n"/>
      <c r="Q626" s="340" t="n"/>
      <c r="R626" s="340" t="n"/>
      <c r="S626" s="340" t="n"/>
      <c r="T626" s="340" t="n"/>
      <c r="U626" s="340" t="n"/>
      <c r="V626" s="340" t="n"/>
      <c r="W626" s="340" t="n"/>
      <c r="X626" s="340" t="n"/>
      <c r="Y626" s="340" t="n"/>
      <c r="Z626" s="340" t="n"/>
      <c r="AA626" s="340" t="n"/>
      <c r="AB626" s="340" t="n"/>
      <c r="AC626" s="340" t="n"/>
      <c r="AD626" s="340" t="n"/>
      <c r="AE626" s="340" t="n"/>
      <c r="AF626" s="340" t="n"/>
      <c r="AG626" s="340" t="n"/>
      <c r="AH626" s="340" t="n"/>
      <c r="AI626" s="340" t="n"/>
      <c r="AJ626" s="340" t="n"/>
      <c r="AK626" s="340" t="n"/>
      <c r="AL626" s="340" t="n"/>
    </row>
    <row r="627" ht="12.75" customHeight="1">
      <c r="K627" s="340" t="n"/>
      <c r="L627" s="340" t="n"/>
      <c r="M627" s="340" t="n"/>
      <c r="N627" s="340" t="n"/>
      <c r="O627" s="340" t="n"/>
      <c r="P627" s="340" t="n"/>
      <c r="Q627" s="340" t="n"/>
      <c r="R627" s="340" t="n"/>
      <c r="S627" s="340" t="n"/>
      <c r="T627" s="340" t="n"/>
      <c r="U627" s="340" t="n"/>
      <c r="V627" s="340" t="n"/>
      <c r="W627" s="340" t="n"/>
      <c r="X627" s="340" t="n"/>
      <c r="Y627" s="340" t="n"/>
      <c r="Z627" s="340" t="n"/>
      <c r="AA627" s="340" t="n"/>
      <c r="AB627" s="340" t="n"/>
      <c r="AC627" s="340" t="n"/>
      <c r="AD627" s="340" t="n"/>
      <c r="AE627" s="340" t="n"/>
      <c r="AF627" s="340" t="n"/>
      <c r="AG627" s="340" t="n"/>
      <c r="AH627" s="340" t="n"/>
      <c r="AI627" s="340" t="n"/>
      <c r="AJ627" s="340" t="n"/>
      <c r="AK627" s="340" t="n"/>
      <c r="AL627" s="340" t="n"/>
    </row>
    <row r="628" ht="12.75" customHeight="1">
      <c r="K628" s="340" t="n"/>
      <c r="L628" s="340" t="n"/>
      <c r="M628" s="340" t="n"/>
      <c r="N628" s="340" t="n"/>
      <c r="O628" s="340" t="n"/>
      <c r="P628" s="340" t="n"/>
      <c r="Q628" s="340" t="n"/>
      <c r="R628" s="340" t="n"/>
      <c r="S628" s="340" t="n"/>
      <c r="T628" s="340" t="n"/>
      <c r="U628" s="340" t="n"/>
      <c r="V628" s="340" t="n"/>
      <c r="W628" s="340" t="n"/>
      <c r="X628" s="340" t="n"/>
      <c r="Y628" s="340" t="n"/>
      <c r="Z628" s="340" t="n"/>
      <c r="AA628" s="340" t="n"/>
      <c r="AB628" s="340" t="n"/>
      <c r="AC628" s="340" t="n"/>
      <c r="AD628" s="340" t="n"/>
      <c r="AE628" s="340" t="n"/>
      <c r="AF628" s="340" t="n"/>
      <c r="AG628" s="340" t="n"/>
      <c r="AH628" s="340" t="n"/>
      <c r="AI628" s="340" t="n"/>
      <c r="AJ628" s="340" t="n"/>
      <c r="AK628" s="340" t="n"/>
      <c r="AL628" s="340" t="n"/>
    </row>
    <row r="629" ht="12.75" customHeight="1">
      <c r="K629" s="340" t="n"/>
      <c r="L629" s="340" t="n"/>
      <c r="M629" s="340" t="n"/>
      <c r="N629" s="340" t="n"/>
      <c r="O629" s="340" t="n"/>
      <c r="P629" s="340" t="n"/>
      <c r="Q629" s="340" t="n"/>
      <c r="R629" s="340" t="n"/>
      <c r="S629" s="340" t="n"/>
      <c r="T629" s="340" t="n"/>
      <c r="U629" s="340" t="n"/>
      <c r="V629" s="340" t="n"/>
      <c r="W629" s="340" t="n"/>
      <c r="X629" s="340" t="n"/>
      <c r="Y629" s="340" t="n"/>
      <c r="Z629" s="340" t="n"/>
      <c r="AA629" s="340" t="n"/>
      <c r="AB629" s="340" t="n"/>
      <c r="AC629" s="340" t="n"/>
      <c r="AD629" s="340" t="n"/>
      <c r="AE629" s="340" t="n"/>
      <c r="AF629" s="340" t="n"/>
      <c r="AG629" s="340" t="n"/>
      <c r="AH629" s="340" t="n"/>
      <c r="AI629" s="340" t="n"/>
      <c r="AJ629" s="340" t="n"/>
      <c r="AK629" s="340" t="n"/>
      <c r="AL629" s="340" t="n"/>
    </row>
    <row r="630" ht="12.75" customHeight="1">
      <c r="K630" s="340" t="n"/>
      <c r="L630" s="340" t="n"/>
      <c r="M630" s="340" t="n"/>
      <c r="N630" s="340" t="n"/>
      <c r="O630" s="340" t="n"/>
      <c r="P630" s="340" t="n"/>
      <c r="Q630" s="340" t="n"/>
      <c r="R630" s="340" t="n"/>
      <c r="S630" s="340" t="n"/>
      <c r="T630" s="340" t="n"/>
      <c r="U630" s="340" t="n"/>
      <c r="V630" s="340" t="n"/>
      <c r="W630" s="340" t="n"/>
      <c r="X630" s="340" t="n"/>
      <c r="Y630" s="340" t="n"/>
      <c r="Z630" s="340" t="n"/>
      <c r="AA630" s="340" t="n"/>
      <c r="AB630" s="340" t="n"/>
      <c r="AC630" s="340" t="n"/>
      <c r="AD630" s="340" t="n"/>
      <c r="AE630" s="340" t="n"/>
      <c r="AF630" s="340" t="n"/>
      <c r="AG630" s="340" t="n"/>
      <c r="AH630" s="340" t="n"/>
      <c r="AI630" s="340" t="n"/>
      <c r="AJ630" s="340" t="n"/>
      <c r="AK630" s="340" t="n"/>
      <c r="AL630" s="340" t="n"/>
    </row>
    <row r="631" ht="12.75" customHeight="1">
      <c r="K631" s="340" t="n"/>
      <c r="L631" s="340" t="n"/>
      <c r="M631" s="340" t="n"/>
      <c r="N631" s="340" t="n"/>
      <c r="O631" s="340" t="n"/>
      <c r="P631" s="340" t="n"/>
      <c r="Q631" s="340" t="n"/>
      <c r="R631" s="340" t="n"/>
      <c r="S631" s="340" t="n"/>
      <c r="T631" s="340" t="n"/>
      <c r="U631" s="340" t="n"/>
      <c r="V631" s="340" t="n"/>
      <c r="W631" s="340" t="n"/>
      <c r="X631" s="340" t="n"/>
      <c r="Y631" s="340" t="n"/>
      <c r="Z631" s="340" t="n"/>
      <c r="AA631" s="340" t="n"/>
      <c r="AB631" s="340" t="n"/>
      <c r="AC631" s="340" t="n"/>
      <c r="AD631" s="340" t="n"/>
      <c r="AE631" s="340" t="n"/>
      <c r="AF631" s="340" t="n"/>
      <c r="AG631" s="340" t="n"/>
      <c r="AH631" s="340" t="n"/>
      <c r="AI631" s="340" t="n"/>
      <c r="AJ631" s="340" t="n"/>
      <c r="AK631" s="340" t="n"/>
      <c r="AL631" s="340" t="n"/>
    </row>
    <row r="632" ht="12.75" customHeight="1">
      <c r="K632" s="340" t="n"/>
      <c r="L632" s="340" t="n"/>
      <c r="M632" s="340" t="n"/>
      <c r="N632" s="340" t="n"/>
      <c r="O632" s="340" t="n"/>
      <c r="P632" s="340" t="n"/>
      <c r="Q632" s="340" t="n"/>
      <c r="R632" s="340" t="n"/>
      <c r="S632" s="340" t="n"/>
      <c r="T632" s="340" t="n"/>
      <c r="U632" s="340" t="n"/>
      <c r="V632" s="340" t="n"/>
      <c r="W632" s="340" t="n"/>
      <c r="X632" s="340" t="n"/>
      <c r="Y632" s="340" t="n"/>
      <c r="Z632" s="340" t="n"/>
      <c r="AA632" s="340" t="n"/>
      <c r="AB632" s="340" t="n"/>
      <c r="AC632" s="340" t="n"/>
      <c r="AD632" s="340" t="n"/>
      <c r="AE632" s="340" t="n"/>
      <c r="AF632" s="340" t="n"/>
      <c r="AG632" s="340" t="n"/>
      <c r="AH632" s="340" t="n"/>
      <c r="AI632" s="340" t="n"/>
      <c r="AJ632" s="340" t="n"/>
      <c r="AK632" s="340" t="n"/>
      <c r="AL632" s="340" t="n"/>
    </row>
    <row r="633" ht="12.75" customHeight="1">
      <c r="K633" s="340" t="n"/>
      <c r="L633" s="340" t="n"/>
      <c r="M633" s="340" t="n"/>
      <c r="N633" s="340" t="n"/>
      <c r="O633" s="340" t="n"/>
      <c r="P633" s="340" t="n"/>
      <c r="Q633" s="340" t="n"/>
      <c r="R633" s="340" t="n"/>
      <c r="S633" s="340" t="n"/>
      <c r="T633" s="340" t="n"/>
      <c r="U633" s="340" t="n"/>
      <c r="V633" s="340" t="n"/>
      <c r="W633" s="340" t="n"/>
      <c r="X633" s="340" t="n"/>
      <c r="Y633" s="340" t="n"/>
      <c r="Z633" s="340" t="n"/>
      <c r="AA633" s="340" t="n"/>
      <c r="AB633" s="340" t="n"/>
      <c r="AC633" s="340" t="n"/>
      <c r="AD633" s="340" t="n"/>
      <c r="AE633" s="340" t="n"/>
      <c r="AF633" s="340" t="n"/>
      <c r="AG633" s="340" t="n"/>
      <c r="AH633" s="340" t="n"/>
      <c r="AI633" s="340" t="n"/>
      <c r="AJ633" s="340" t="n"/>
      <c r="AK633" s="340" t="n"/>
      <c r="AL633" s="340" t="n"/>
    </row>
    <row r="634" ht="12.75" customHeight="1">
      <c r="K634" s="340" t="n"/>
      <c r="L634" s="340" t="n"/>
      <c r="M634" s="340" t="n"/>
      <c r="N634" s="340" t="n"/>
      <c r="O634" s="340" t="n"/>
      <c r="P634" s="340" t="n"/>
      <c r="Q634" s="340" t="n"/>
      <c r="R634" s="340" t="n"/>
      <c r="S634" s="340" t="n"/>
      <c r="T634" s="340" t="n"/>
      <c r="U634" s="340" t="n"/>
      <c r="V634" s="340" t="n"/>
      <c r="W634" s="340" t="n"/>
      <c r="X634" s="340" t="n"/>
      <c r="Y634" s="340" t="n"/>
      <c r="Z634" s="340" t="n"/>
      <c r="AA634" s="340" t="n"/>
      <c r="AB634" s="340" t="n"/>
      <c r="AC634" s="340" t="n"/>
      <c r="AD634" s="340" t="n"/>
      <c r="AE634" s="340" t="n"/>
      <c r="AF634" s="340" t="n"/>
      <c r="AG634" s="340" t="n"/>
      <c r="AH634" s="340" t="n"/>
      <c r="AI634" s="340" t="n"/>
      <c r="AJ634" s="340" t="n"/>
      <c r="AK634" s="340" t="n"/>
      <c r="AL634" s="340" t="n"/>
    </row>
    <row r="635" ht="12.75" customHeight="1">
      <c r="K635" s="340" t="n"/>
      <c r="L635" s="340" t="n"/>
      <c r="M635" s="340" t="n"/>
      <c r="N635" s="340" t="n"/>
      <c r="O635" s="340" t="n"/>
      <c r="P635" s="340" t="n"/>
      <c r="Q635" s="340" t="n"/>
      <c r="R635" s="340" t="n"/>
      <c r="S635" s="340" t="n"/>
      <c r="T635" s="340" t="n"/>
      <c r="U635" s="340" t="n"/>
      <c r="V635" s="340" t="n"/>
      <c r="W635" s="340" t="n"/>
      <c r="X635" s="340" t="n"/>
      <c r="Y635" s="340" t="n"/>
      <c r="Z635" s="340" t="n"/>
      <c r="AA635" s="340" t="n"/>
      <c r="AB635" s="340" t="n"/>
      <c r="AC635" s="340" t="n"/>
      <c r="AD635" s="340" t="n"/>
      <c r="AE635" s="340" t="n"/>
      <c r="AF635" s="340" t="n"/>
      <c r="AG635" s="340" t="n"/>
      <c r="AH635" s="340" t="n"/>
      <c r="AI635" s="340" t="n"/>
      <c r="AJ635" s="340" t="n"/>
      <c r="AK635" s="340" t="n"/>
      <c r="AL635" s="340" t="n"/>
    </row>
    <row r="636" ht="12.75" customHeight="1">
      <c r="K636" s="340" t="n"/>
      <c r="L636" s="340" t="n"/>
      <c r="M636" s="340" t="n"/>
      <c r="N636" s="340" t="n"/>
      <c r="O636" s="340" t="n"/>
      <c r="P636" s="340" t="n"/>
      <c r="Q636" s="340" t="n"/>
      <c r="R636" s="340" t="n"/>
      <c r="S636" s="340" t="n"/>
      <c r="T636" s="340" t="n"/>
      <c r="U636" s="340" t="n"/>
      <c r="V636" s="340" t="n"/>
      <c r="W636" s="340" t="n"/>
      <c r="X636" s="340" t="n"/>
      <c r="Y636" s="340" t="n"/>
      <c r="Z636" s="340" t="n"/>
      <c r="AA636" s="340" t="n"/>
      <c r="AB636" s="340" t="n"/>
      <c r="AC636" s="340" t="n"/>
      <c r="AD636" s="340" t="n"/>
      <c r="AE636" s="340" t="n"/>
      <c r="AF636" s="340" t="n"/>
      <c r="AG636" s="340" t="n"/>
      <c r="AH636" s="340" t="n"/>
      <c r="AI636" s="340" t="n"/>
      <c r="AJ636" s="340" t="n"/>
      <c r="AK636" s="340" t="n"/>
      <c r="AL636" s="340" t="n"/>
    </row>
    <row r="637" ht="12.75" customHeight="1">
      <c r="K637" s="340" t="n"/>
      <c r="L637" s="340" t="n"/>
      <c r="M637" s="340" t="n"/>
      <c r="N637" s="340" t="n"/>
      <c r="O637" s="340" t="n"/>
      <c r="P637" s="340" t="n"/>
      <c r="Q637" s="340" t="n"/>
      <c r="R637" s="340" t="n"/>
      <c r="S637" s="340" t="n"/>
      <c r="T637" s="340" t="n"/>
      <c r="U637" s="340" t="n"/>
      <c r="V637" s="340" t="n"/>
      <c r="W637" s="340" t="n"/>
      <c r="X637" s="340" t="n"/>
      <c r="Y637" s="340" t="n"/>
      <c r="Z637" s="340" t="n"/>
      <c r="AA637" s="340" t="n"/>
      <c r="AB637" s="340" t="n"/>
      <c r="AC637" s="340" t="n"/>
      <c r="AD637" s="340" t="n"/>
      <c r="AE637" s="340" t="n"/>
      <c r="AF637" s="340" t="n"/>
      <c r="AG637" s="340" t="n"/>
      <c r="AH637" s="340" t="n"/>
      <c r="AI637" s="340" t="n"/>
      <c r="AJ637" s="340" t="n"/>
      <c r="AK637" s="340" t="n"/>
      <c r="AL637" s="340" t="n"/>
    </row>
    <row r="638" ht="12.75" customHeight="1">
      <c r="K638" s="340" t="n"/>
      <c r="L638" s="340" t="n"/>
      <c r="M638" s="340" t="n"/>
      <c r="N638" s="340" t="n"/>
      <c r="O638" s="340" t="n"/>
      <c r="P638" s="340" t="n"/>
      <c r="Q638" s="340" t="n"/>
      <c r="R638" s="340" t="n"/>
      <c r="S638" s="340" t="n"/>
      <c r="T638" s="340" t="n"/>
      <c r="U638" s="340" t="n"/>
      <c r="V638" s="340" t="n"/>
      <c r="W638" s="340" t="n"/>
      <c r="X638" s="340" t="n"/>
      <c r="Y638" s="340" t="n"/>
      <c r="Z638" s="340" t="n"/>
      <c r="AA638" s="340" t="n"/>
      <c r="AB638" s="340" t="n"/>
      <c r="AC638" s="340" t="n"/>
      <c r="AD638" s="340" t="n"/>
      <c r="AE638" s="340" t="n"/>
      <c r="AF638" s="340" t="n"/>
      <c r="AG638" s="340" t="n"/>
      <c r="AH638" s="340" t="n"/>
      <c r="AI638" s="340" t="n"/>
      <c r="AJ638" s="340" t="n"/>
      <c r="AK638" s="340" t="n"/>
      <c r="AL638" s="340" t="n"/>
    </row>
    <row r="639" ht="12.75" customHeight="1">
      <c r="K639" s="340" t="n"/>
      <c r="L639" s="340" t="n"/>
      <c r="M639" s="340" t="n"/>
      <c r="N639" s="340" t="n"/>
      <c r="O639" s="340" t="n"/>
      <c r="P639" s="340" t="n"/>
      <c r="Q639" s="340" t="n"/>
      <c r="R639" s="340" t="n"/>
      <c r="S639" s="340" t="n"/>
      <c r="T639" s="340" t="n"/>
      <c r="U639" s="340" t="n"/>
      <c r="V639" s="340" t="n"/>
      <c r="W639" s="340" t="n"/>
      <c r="X639" s="340" t="n"/>
      <c r="Y639" s="340" t="n"/>
      <c r="Z639" s="340" t="n"/>
      <c r="AA639" s="340" t="n"/>
      <c r="AB639" s="340" t="n"/>
      <c r="AC639" s="340" t="n"/>
      <c r="AD639" s="340" t="n"/>
      <c r="AE639" s="340" t="n"/>
      <c r="AF639" s="340" t="n"/>
      <c r="AG639" s="340" t="n"/>
      <c r="AH639" s="340" t="n"/>
      <c r="AI639" s="340" t="n"/>
      <c r="AJ639" s="340" t="n"/>
      <c r="AK639" s="340" t="n"/>
      <c r="AL639" s="340" t="n"/>
    </row>
    <row r="640" ht="12.75" customHeight="1">
      <c r="K640" s="340" t="n"/>
      <c r="L640" s="340" t="n"/>
      <c r="M640" s="340" t="n"/>
      <c r="N640" s="340" t="n"/>
      <c r="O640" s="340" t="n"/>
      <c r="P640" s="340" t="n"/>
      <c r="Q640" s="340" t="n"/>
      <c r="R640" s="340" t="n"/>
      <c r="S640" s="340" t="n"/>
      <c r="T640" s="340" t="n"/>
      <c r="U640" s="340" t="n"/>
      <c r="V640" s="340" t="n"/>
      <c r="W640" s="340" t="n"/>
      <c r="X640" s="340" t="n"/>
      <c r="Y640" s="340" t="n"/>
      <c r="Z640" s="340" t="n"/>
      <c r="AA640" s="340" t="n"/>
      <c r="AB640" s="340" t="n"/>
      <c r="AC640" s="340" t="n"/>
      <c r="AD640" s="340" t="n"/>
      <c r="AE640" s="340" t="n"/>
      <c r="AF640" s="340" t="n"/>
      <c r="AG640" s="340" t="n"/>
      <c r="AH640" s="340" t="n"/>
      <c r="AI640" s="340" t="n"/>
      <c r="AJ640" s="340" t="n"/>
      <c r="AK640" s="340" t="n"/>
      <c r="AL640" s="340" t="n"/>
    </row>
    <row r="641" ht="12.75" customHeight="1">
      <c r="K641" s="340" t="n"/>
      <c r="L641" s="340" t="n"/>
      <c r="M641" s="340" t="n"/>
      <c r="N641" s="340" t="n"/>
      <c r="O641" s="340" t="n"/>
      <c r="P641" s="340" t="n"/>
      <c r="Q641" s="340" t="n"/>
      <c r="R641" s="340" t="n"/>
      <c r="S641" s="340" t="n"/>
      <c r="T641" s="340" t="n"/>
      <c r="U641" s="340" t="n"/>
      <c r="V641" s="340" t="n"/>
      <c r="W641" s="340" t="n"/>
      <c r="X641" s="340" t="n"/>
      <c r="Y641" s="340" t="n"/>
      <c r="Z641" s="340" t="n"/>
      <c r="AA641" s="340" t="n"/>
      <c r="AB641" s="340" t="n"/>
      <c r="AC641" s="340" t="n"/>
      <c r="AD641" s="340" t="n"/>
      <c r="AE641" s="340" t="n"/>
      <c r="AF641" s="340" t="n"/>
      <c r="AG641" s="340" t="n"/>
      <c r="AH641" s="340" t="n"/>
      <c r="AI641" s="340" t="n"/>
      <c r="AJ641" s="340" t="n"/>
      <c r="AK641" s="340" t="n"/>
      <c r="AL641" s="340" t="n"/>
    </row>
    <row r="642" ht="12.75" customHeight="1">
      <c r="K642" s="340" t="n"/>
      <c r="L642" s="340" t="n"/>
      <c r="M642" s="340" t="n"/>
      <c r="N642" s="340" t="n"/>
      <c r="O642" s="340" t="n"/>
      <c r="P642" s="340" t="n"/>
      <c r="Q642" s="340" t="n"/>
      <c r="R642" s="340" t="n"/>
      <c r="S642" s="340" t="n"/>
      <c r="T642" s="340" t="n"/>
      <c r="U642" s="340" t="n"/>
      <c r="V642" s="340" t="n"/>
      <c r="W642" s="340" t="n"/>
      <c r="X642" s="340" t="n"/>
      <c r="Y642" s="340" t="n"/>
      <c r="Z642" s="340" t="n"/>
      <c r="AA642" s="340" t="n"/>
      <c r="AB642" s="340" t="n"/>
      <c r="AC642" s="340" t="n"/>
      <c r="AD642" s="340" t="n"/>
      <c r="AE642" s="340" t="n"/>
      <c r="AF642" s="340" t="n"/>
      <c r="AG642" s="340" t="n"/>
      <c r="AH642" s="340" t="n"/>
      <c r="AI642" s="340" t="n"/>
      <c r="AJ642" s="340" t="n"/>
      <c r="AK642" s="340" t="n"/>
      <c r="AL642" s="340" t="n"/>
    </row>
    <row r="643" ht="12.75" customHeight="1">
      <c r="K643" s="340" t="n"/>
      <c r="L643" s="340" t="n"/>
      <c r="M643" s="340" t="n"/>
      <c r="N643" s="340" t="n"/>
      <c r="O643" s="340" t="n"/>
      <c r="P643" s="340" t="n"/>
      <c r="Q643" s="340" t="n"/>
      <c r="R643" s="340" t="n"/>
      <c r="S643" s="340" t="n"/>
      <c r="T643" s="340" t="n"/>
      <c r="U643" s="340" t="n"/>
      <c r="V643" s="340" t="n"/>
      <c r="W643" s="340" t="n"/>
      <c r="X643" s="340" t="n"/>
      <c r="Y643" s="340" t="n"/>
      <c r="Z643" s="340" t="n"/>
      <c r="AA643" s="340" t="n"/>
      <c r="AB643" s="340" t="n"/>
      <c r="AC643" s="340" t="n"/>
      <c r="AD643" s="340" t="n"/>
      <c r="AE643" s="340" t="n"/>
      <c r="AF643" s="340" t="n"/>
      <c r="AG643" s="340" t="n"/>
      <c r="AH643" s="340" t="n"/>
      <c r="AI643" s="340" t="n"/>
      <c r="AJ643" s="340" t="n"/>
      <c r="AK643" s="340" t="n"/>
      <c r="AL643" s="340" t="n"/>
    </row>
    <row r="644" ht="12.75" customHeight="1">
      <c r="K644" s="340" t="n"/>
      <c r="L644" s="340" t="n"/>
      <c r="M644" s="340" t="n"/>
      <c r="N644" s="340" t="n"/>
      <c r="O644" s="340" t="n"/>
      <c r="P644" s="340" t="n"/>
      <c r="Q644" s="340" t="n"/>
      <c r="R644" s="340" t="n"/>
      <c r="S644" s="340" t="n"/>
      <c r="T644" s="340" t="n"/>
      <c r="U644" s="340" t="n"/>
      <c r="V644" s="340" t="n"/>
      <c r="W644" s="340" t="n"/>
      <c r="X644" s="340" t="n"/>
      <c r="Y644" s="340" t="n"/>
      <c r="Z644" s="340" t="n"/>
      <c r="AA644" s="340" t="n"/>
      <c r="AB644" s="340" t="n"/>
      <c r="AC644" s="340" t="n"/>
      <c r="AD644" s="340" t="n"/>
      <c r="AE644" s="340" t="n"/>
      <c r="AF644" s="340" t="n"/>
      <c r="AG644" s="340" t="n"/>
      <c r="AH644" s="340" t="n"/>
      <c r="AI644" s="340" t="n"/>
      <c r="AJ644" s="340" t="n"/>
      <c r="AK644" s="340" t="n"/>
      <c r="AL644" s="340" t="n"/>
    </row>
    <row r="645" ht="12.75" customHeight="1">
      <c r="K645" s="340" t="n"/>
      <c r="L645" s="340" t="n"/>
      <c r="M645" s="340" t="n"/>
      <c r="N645" s="340" t="n"/>
      <c r="O645" s="340" t="n"/>
      <c r="P645" s="340" t="n"/>
      <c r="Q645" s="340" t="n"/>
      <c r="R645" s="340" t="n"/>
      <c r="S645" s="340" t="n"/>
      <c r="T645" s="340" t="n"/>
      <c r="U645" s="340" t="n"/>
      <c r="V645" s="340" t="n"/>
      <c r="W645" s="340" t="n"/>
      <c r="X645" s="340" t="n"/>
      <c r="Y645" s="340" t="n"/>
      <c r="Z645" s="340" t="n"/>
      <c r="AA645" s="340" t="n"/>
      <c r="AB645" s="340" t="n"/>
      <c r="AC645" s="340" t="n"/>
      <c r="AD645" s="340" t="n"/>
      <c r="AE645" s="340" t="n"/>
      <c r="AF645" s="340" t="n"/>
      <c r="AG645" s="340" t="n"/>
      <c r="AH645" s="340" t="n"/>
      <c r="AI645" s="340" t="n"/>
      <c r="AJ645" s="340" t="n"/>
      <c r="AK645" s="340" t="n"/>
      <c r="AL645" s="340" t="n"/>
    </row>
    <row r="646" ht="12.75" customHeight="1">
      <c r="K646" s="340" t="n"/>
      <c r="L646" s="340" t="n"/>
      <c r="M646" s="340" t="n"/>
      <c r="N646" s="340" t="n"/>
      <c r="O646" s="340" t="n"/>
      <c r="P646" s="340" t="n"/>
      <c r="Q646" s="340" t="n"/>
      <c r="R646" s="340" t="n"/>
      <c r="S646" s="340" t="n"/>
      <c r="T646" s="340" t="n"/>
      <c r="U646" s="340" t="n"/>
      <c r="V646" s="340" t="n"/>
      <c r="W646" s="340" t="n"/>
      <c r="X646" s="340" t="n"/>
      <c r="Y646" s="340" t="n"/>
      <c r="Z646" s="340" t="n"/>
      <c r="AA646" s="340" t="n"/>
      <c r="AB646" s="340" t="n"/>
      <c r="AC646" s="340" t="n"/>
      <c r="AD646" s="340" t="n"/>
      <c r="AE646" s="340" t="n"/>
      <c r="AF646" s="340" t="n"/>
      <c r="AG646" s="340" t="n"/>
      <c r="AH646" s="340" t="n"/>
      <c r="AI646" s="340" t="n"/>
      <c r="AJ646" s="340" t="n"/>
      <c r="AK646" s="340" t="n"/>
      <c r="AL646" s="340" t="n"/>
    </row>
    <row r="647" ht="12.75" customHeight="1">
      <c r="K647" s="340" t="n"/>
      <c r="L647" s="340" t="n"/>
      <c r="M647" s="340" t="n"/>
      <c r="N647" s="340" t="n"/>
      <c r="O647" s="340" t="n"/>
      <c r="P647" s="340" t="n"/>
      <c r="Q647" s="340" t="n"/>
      <c r="R647" s="340" t="n"/>
      <c r="S647" s="340" t="n"/>
      <c r="T647" s="340" t="n"/>
      <c r="U647" s="340" t="n"/>
      <c r="V647" s="340" t="n"/>
      <c r="W647" s="340" t="n"/>
      <c r="X647" s="340" t="n"/>
      <c r="Y647" s="340" t="n"/>
      <c r="Z647" s="340" t="n"/>
      <c r="AA647" s="340" t="n"/>
      <c r="AB647" s="340" t="n"/>
      <c r="AC647" s="340" t="n"/>
      <c r="AD647" s="340" t="n"/>
      <c r="AE647" s="340" t="n"/>
      <c r="AF647" s="340" t="n"/>
      <c r="AG647" s="340" t="n"/>
      <c r="AH647" s="340" t="n"/>
      <c r="AI647" s="340" t="n"/>
      <c r="AJ647" s="340" t="n"/>
      <c r="AK647" s="340" t="n"/>
      <c r="AL647" s="340" t="n"/>
    </row>
    <row r="648" ht="12.75" customHeight="1">
      <c r="K648" s="340" t="n"/>
      <c r="L648" s="340" t="n"/>
      <c r="M648" s="340" t="n"/>
      <c r="N648" s="340" t="n"/>
      <c r="O648" s="340" t="n"/>
      <c r="P648" s="340" t="n"/>
      <c r="Q648" s="340" t="n"/>
      <c r="R648" s="340" t="n"/>
      <c r="S648" s="340" t="n"/>
      <c r="T648" s="340" t="n"/>
      <c r="U648" s="340" t="n"/>
      <c r="V648" s="340" t="n"/>
      <c r="W648" s="340" t="n"/>
      <c r="X648" s="340" t="n"/>
      <c r="Y648" s="340" t="n"/>
      <c r="Z648" s="340" t="n"/>
      <c r="AA648" s="340" t="n"/>
      <c r="AB648" s="340" t="n"/>
      <c r="AC648" s="340" t="n"/>
      <c r="AD648" s="340" t="n"/>
      <c r="AE648" s="340" t="n"/>
      <c r="AF648" s="340" t="n"/>
      <c r="AG648" s="340" t="n"/>
      <c r="AH648" s="340" t="n"/>
      <c r="AI648" s="340" t="n"/>
      <c r="AJ648" s="340" t="n"/>
      <c r="AK648" s="340" t="n"/>
      <c r="AL648" s="340" t="n"/>
    </row>
    <row r="649" ht="12.75" customHeight="1">
      <c r="K649" s="340" t="n"/>
      <c r="L649" s="340" t="n"/>
      <c r="M649" s="340" t="n"/>
      <c r="N649" s="340" t="n"/>
      <c r="O649" s="340" t="n"/>
      <c r="P649" s="340" t="n"/>
      <c r="Q649" s="340" t="n"/>
      <c r="R649" s="340" t="n"/>
      <c r="S649" s="340" t="n"/>
      <c r="T649" s="340" t="n"/>
      <c r="U649" s="340" t="n"/>
      <c r="V649" s="340" t="n"/>
      <c r="W649" s="340" t="n"/>
      <c r="X649" s="340" t="n"/>
      <c r="Y649" s="340" t="n"/>
      <c r="Z649" s="340" t="n"/>
      <c r="AA649" s="340" t="n"/>
      <c r="AB649" s="340" t="n"/>
      <c r="AC649" s="340" t="n"/>
      <c r="AD649" s="340" t="n"/>
      <c r="AE649" s="340" t="n"/>
      <c r="AF649" s="340" t="n"/>
      <c r="AG649" s="340" t="n"/>
      <c r="AH649" s="340" t="n"/>
      <c r="AI649" s="340" t="n"/>
      <c r="AJ649" s="340" t="n"/>
      <c r="AK649" s="340" t="n"/>
      <c r="AL649" s="340" t="n"/>
    </row>
    <row r="650" ht="12.75" customHeight="1">
      <c r="K650" s="340" t="n"/>
      <c r="L650" s="340" t="n"/>
      <c r="M650" s="340" t="n"/>
      <c r="N650" s="340" t="n"/>
      <c r="O650" s="340" t="n"/>
      <c r="P650" s="340" t="n"/>
      <c r="Q650" s="340" t="n"/>
      <c r="R650" s="340" t="n"/>
      <c r="S650" s="340" t="n"/>
      <c r="T650" s="340" t="n"/>
      <c r="U650" s="340" t="n"/>
      <c r="V650" s="340" t="n"/>
      <c r="W650" s="340" t="n"/>
      <c r="X650" s="340" t="n"/>
      <c r="Y650" s="340" t="n"/>
      <c r="Z650" s="340" t="n"/>
      <c r="AA650" s="340" t="n"/>
      <c r="AB650" s="340" t="n"/>
      <c r="AC650" s="340" t="n"/>
      <c r="AD650" s="340" t="n"/>
      <c r="AE650" s="340" t="n"/>
      <c r="AF650" s="340" t="n"/>
      <c r="AG650" s="340" t="n"/>
      <c r="AH650" s="340" t="n"/>
      <c r="AI650" s="340" t="n"/>
      <c r="AJ650" s="340" t="n"/>
      <c r="AK650" s="340" t="n"/>
      <c r="AL650" s="340" t="n"/>
    </row>
    <row r="651" ht="12.75" customHeight="1">
      <c r="K651" s="340" t="n"/>
      <c r="L651" s="340" t="n"/>
      <c r="M651" s="340" t="n"/>
      <c r="N651" s="340" t="n"/>
      <c r="O651" s="340" t="n"/>
      <c r="P651" s="340" t="n"/>
      <c r="Q651" s="340" t="n"/>
      <c r="R651" s="340" t="n"/>
      <c r="S651" s="340" t="n"/>
      <c r="T651" s="340" t="n"/>
      <c r="U651" s="340" t="n"/>
      <c r="V651" s="340" t="n"/>
      <c r="W651" s="340" t="n"/>
      <c r="X651" s="340" t="n"/>
      <c r="Y651" s="340" t="n"/>
      <c r="Z651" s="340" t="n"/>
      <c r="AA651" s="340" t="n"/>
      <c r="AB651" s="340" t="n"/>
      <c r="AC651" s="340" t="n"/>
      <c r="AD651" s="340" t="n"/>
      <c r="AE651" s="340" t="n"/>
      <c r="AF651" s="340" t="n"/>
      <c r="AG651" s="340" t="n"/>
      <c r="AH651" s="340" t="n"/>
      <c r="AI651" s="340" t="n"/>
      <c r="AJ651" s="340" t="n"/>
      <c r="AK651" s="340" t="n"/>
      <c r="AL651" s="340" t="n"/>
    </row>
    <row r="652" ht="12.75" customHeight="1">
      <c r="K652" s="340" t="n"/>
      <c r="L652" s="340" t="n"/>
      <c r="M652" s="340" t="n"/>
      <c r="N652" s="340" t="n"/>
      <c r="O652" s="340" t="n"/>
      <c r="P652" s="340" t="n"/>
      <c r="Q652" s="340" t="n"/>
      <c r="R652" s="340" t="n"/>
      <c r="S652" s="340" t="n"/>
      <c r="T652" s="340" t="n"/>
      <c r="U652" s="340" t="n"/>
      <c r="V652" s="340" t="n"/>
      <c r="W652" s="340" t="n"/>
      <c r="X652" s="340" t="n"/>
      <c r="Y652" s="340" t="n"/>
      <c r="Z652" s="340" t="n"/>
      <c r="AA652" s="340" t="n"/>
      <c r="AB652" s="340" t="n"/>
      <c r="AC652" s="340" t="n"/>
      <c r="AD652" s="340" t="n"/>
      <c r="AE652" s="340" t="n"/>
      <c r="AF652" s="340" t="n"/>
      <c r="AG652" s="340" t="n"/>
      <c r="AH652" s="340" t="n"/>
      <c r="AI652" s="340" t="n"/>
      <c r="AJ652" s="340" t="n"/>
      <c r="AK652" s="340" t="n"/>
      <c r="AL652" s="340" t="n"/>
    </row>
    <row r="653" ht="12.75" customHeight="1">
      <c r="K653" s="340" t="n"/>
      <c r="L653" s="340" t="n"/>
      <c r="M653" s="340" t="n"/>
      <c r="N653" s="340" t="n"/>
      <c r="O653" s="340" t="n"/>
      <c r="P653" s="340" t="n"/>
      <c r="Q653" s="340" t="n"/>
      <c r="R653" s="340" t="n"/>
      <c r="S653" s="340" t="n"/>
      <c r="T653" s="340" t="n"/>
      <c r="U653" s="340" t="n"/>
      <c r="V653" s="340" t="n"/>
      <c r="W653" s="340" t="n"/>
      <c r="X653" s="340" t="n"/>
      <c r="Y653" s="340" t="n"/>
      <c r="Z653" s="340" t="n"/>
      <c r="AA653" s="340" t="n"/>
      <c r="AB653" s="340" t="n"/>
      <c r="AC653" s="340" t="n"/>
      <c r="AD653" s="340" t="n"/>
      <c r="AE653" s="340" t="n"/>
      <c r="AF653" s="340" t="n"/>
      <c r="AG653" s="340" t="n"/>
      <c r="AH653" s="340" t="n"/>
      <c r="AI653" s="340" t="n"/>
      <c r="AJ653" s="340" t="n"/>
      <c r="AK653" s="340" t="n"/>
      <c r="AL653" s="340" t="n"/>
    </row>
    <row r="654" ht="12.75" customHeight="1">
      <c r="K654" s="340" t="n"/>
      <c r="L654" s="340" t="n"/>
      <c r="M654" s="340" t="n"/>
      <c r="N654" s="340" t="n"/>
      <c r="O654" s="340" t="n"/>
      <c r="P654" s="340" t="n"/>
      <c r="Q654" s="340" t="n"/>
      <c r="R654" s="340" t="n"/>
      <c r="S654" s="340" t="n"/>
      <c r="T654" s="340" t="n"/>
      <c r="U654" s="340" t="n"/>
      <c r="V654" s="340" t="n"/>
      <c r="W654" s="340" t="n"/>
      <c r="X654" s="340" t="n"/>
      <c r="Y654" s="340" t="n"/>
      <c r="Z654" s="340" t="n"/>
      <c r="AA654" s="340" t="n"/>
      <c r="AB654" s="340" t="n"/>
      <c r="AC654" s="340" t="n"/>
      <c r="AD654" s="340" t="n"/>
      <c r="AE654" s="340" t="n"/>
      <c r="AF654" s="340" t="n"/>
      <c r="AG654" s="340" t="n"/>
      <c r="AH654" s="340" t="n"/>
      <c r="AI654" s="340" t="n"/>
      <c r="AJ654" s="340" t="n"/>
      <c r="AK654" s="340" t="n"/>
      <c r="AL654" s="340" t="n"/>
    </row>
    <row r="655" ht="12.75" customHeight="1">
      <c r="K655" s="340" t="n"/>
      <c r="L655" s="340" t="n"/>
      <c r="M655" s="340" t="n"/>
      <c r="N655" s="340" t="n"/>
      <c r="O655" s="340" t="n"/>
      <c r="P655" s="340" t="n"/>
      <c r="Q655" s="340" t="n"/>
      <c r="R655" s="340" t="n"/>
      <c r="S655" s="340" t="n"/>
      <c r="T655" s="340" t="n"/>
      <c r="U655" s="340" t="n"/>
      <c r="V655" s="340" t="n"/>
      <c r="W655" s="340" t="n"/>
      <c r="X655" s="340" t="n"/>
      <c r="Y655" s="340" t="n"/>
      <c r="Z655" s="340" t="n"/>
      <c r="AA655" s="340" t="n"/>
      <c r="AB655" s="340" t="n"/>
      <c r="AC655" s="340" t="n"/>
      <c r="AD655" s="340" t="n"/>
      <c r="AE655" s="340" t="n"/>
      <c r="AF655" s="340" t="n"/>
      <c r="AG655" s="340" t="n"/>
      <c r="AH655" s="340" t="n"/>
      <c r="AI655" s="340" t="n"/>
      <c r="AJ655" s="340" t="n"/>
      <c r="AK655" s="340" t="n"/>
      <c r="AL655" s="340" t="n"/>
    </row>
    <row r="656" ht="12.75" customHeight="1">
      <c r="K656" s="340" t="n"/>
      <c r="L656" s="340" t="n"/>
      <c r="M656" s="340" t="n"/>
      <c r="N656" s="340" t="n"/>
      <c r="O656" s="340" t="n"/>
      <c r="P656" s="340" t="n"/>
      <c r="Q656" s="340" t="n"/>
      <c r="R656" s="340" t="n"/>
      <c r="S656" s="340" t="n"/>
      <c r="T656" s="340" t="n"/>
      <c r="U656" s="340" t="n"/>
      <c r="V656" s="340" t="n"/>
      <c r="W656" s="340" t="n"/>
      <c r="X656" s="340" t="n"/>
      <c r="Y656" s="340" t="n"/>
      <c r="Z656" s="340" t="n"/>
      <c r="AA656" s="340" t="n"/>
      <c r="AB656" s="340" t="n"/>
      <c r="AC656" s="340" t="n"/>
      <c r="AD656" s="340" t="n"/>
      <c r="AE656" s="340" t="n"/>
      <c r="AF656" s="340" t="n"/>
      <c r="AG656" s="340" t="n"/>
      <c r="AH656" s="340" t="n"/>
      <c r="AI656" s="340" t="n"/>
      <c r="AJ656" s="340" t="n"/>
      <c r="AK656" s="340" t="n"/>
      <c r="AL656" s="340" t="n"/>
    </row>
    <row r="657" ht="12.75" customHeight="1">
      <c r="K657" s="340" t="n"/>
      <c r="L657" s="340" t="n"/>
      <c r="M657" s="340" t="n"/>
      <c r="N657" s="340" t="n"/>
      <c r="O657" s="340" t="n"/>
      <c r="P657" s="340" t="n"/>
      <c r="Q657" s="340" t="n"/>
      <c r="R657" s="340" t="n"/>
      <c r="S657" s="340" t="n"/>
      <c r="T657" s="340" t="n"/>
      <c r="U657" s="340" t="n"/>
      <c r="V657" s="340" t="n"/>
      <c r="W657" s="340" t="n"/>
      <c r="X657" s="340" t="n"/>
      <c r="Y657" s="340" t="n"/>
      <c r="Z657" s="340" t="n"/>
      <c r="AA657" s="340" t="n"/>
      <c r="AB657" s="340" t="n"/>
      <c r="AC657" s="340" t="n"/>
      <c r="AD657" s="340" t="n"/>
      <c r="AE657" s="340" t="n"/>
      <c r="AF657" s="340" t="n"/>
      <c r="AG657" s="340" t="n"/>
      <c r="AH657" s="340" t="n"/>
      <c r="AI657" s="340" t="n"/>
      <c r="AJ657" s="340" t="n"/>
      <c r="AK657" s="340" t="n"/>
      <c r="AL657" s="340" t="n"/>
    </row>
    <row r="658" ht="12.75" customHeight="1">
      <c r="K658" s="340" t="n"/>
      <c r="L658" s="340" t="n"/>
      <c r="M658" s="340" t="n"/>
      <c r="N658" s="340" t="n"/>
      <c r="O658" s="340" t="n"/>
      <c r="P658" s="340" t="n"/>
      <c r="Q658" s="340" t="n"/>
      <c r="R658" s="340" t="n"/>
      <c r="S658" s="340" t="n"/>
      <c r="T658" s="340" t="n"/>
      <c r="U658" s="340" t="n"/>
      <c r="V658" s="340" t="n"/>
      <c r="W658" s="340" t="n"/>
      <c r="X658" s="340" t="n"/>
      <c r="Y658" s="340" t="n"/>
      <c r="Z658" s="340" t="n"/>
      <c r="AA658" s="340" t="n"/>
      <c r="AB658" s="340" t="n"/>
      <c r="AC658" s="340" t="n"/>
      <c r="AD658" s="340" t="n"/>
      <c r="AE658" s="340" t="n"/>
      <c r="AF658" s="340" t="n"/>
      <c r="AG658" s="340" t="n"/>
      <c r="AH658" s="340" t="n"/>
      <c r="AI658" s="340" t="n"/>
      <c r="AJ658" s="340" t="n"/>
      <c r="AK658" s="340" t="n"/>
      <c r="AL658" s="340" t="n"/>
    </row>
    <row r="659" ht="12.75" customHeight="1">
      <c r="K659" s="340" t="n"/>
      <c r="L659" s="340" t="n"/>
      <c r="M659" s="340" t="n"/>
      <c r="N659" s="340" t="n"/>
      <c r="O659" s="340" t="n"/>
      <c r="P659" s="340" t="n"/>
      <c r="Q659" s="340" t="n"/>
      <c r="R659" s="340" t="n"/>
      <c r="S659" s="340" t="n"/>
      <c r="T659" s="340" t="n"/>
      <c r="U659" s="340" t="n"/>
      <c r="V659" s="340" t="n"/>
      <c r="W659" s="340" t="n"/>
      <c r="X659" s="340" t="n"/>
      <c r="Y659" s="340" t="n"/>
      <c r="Z659" s="340" t="n"/>
      <c r="AA659" s="340" t="n"/>
      <c r="AB659" s="340" t="n"/>
      <c r="AC659" s="340" t="n"/>
      <c r="AD659" s="340" t="n"/>
      <c r="AE659" s="340" t="n"/>
      <c r="AF659" s="340" t="n"/>
      <c r="AG659" s="340" t="n"/>
      <c r="AH659" s="340" t="n"/>
      <c r="AI659" s="340" t="n"/>
      <c r="AJ659" s="340" t="n"/>
      <c r="AK659" s="340" t="n"/>
      <c r="AL659" s="340" t="n"/>
    </row>
    <row r="660" ht="12.75" customHeight="1">
      <c r="K660" s="340" t="n"/>
      <c r="L660" s="340" t="n"/>
      <c r="M660" s="340" t="n"/>
      <c r="N660" s="340" t="n"/>
      <c r="O660" s="340" t="n"/>
      <c r="P660" s="340" t="n"/>
      <c r="Q660" s="340" t="n"/>
      <c r="R660" s="340" t="n"/>
      <c r="S660" s="340" t="n"/>
      <c r="T660" s="340" t="n"/>
      <c r="U660" s="340" t="n"/>
      <c r="V660" s="340" t="n"/>
      <c r="W660" s="340" t="n"/>
      <c r="X660" s="340" t="n"/>
      <c r="Y660" s="340" t="n"/>
      <c r="Z660" s="340" t="n"/>
      <c r="AA660" s="340" t="n"/>
      <c r="AB660" s="340" t="n"/>
      <c r="AC660" s="340" t="n"/>
      <c r="AD660" s="340" t="n"/>
      <c r="AE660" s="340" t="n"/>
      <c r="AF660" s="340" t="n"/>
      <c r="AG660" s="340" t="n"/>
      <c r="AH660" s="340" t="n"/>
      <c r="AI660" s="340" t="n"/>
      <c r="AJ660" s="340" t="n"/>
      <c r="AK660" s="340" t="n"/>
      <c r="AL660" s="340" t="n"/>
    </row>
    <row r="661" ht="12.75" customHeight="1">
      <c r="K661" s="340" t="n"/>
      <c r="L661" s="340" t="n"/>
      <c r="M661" s="340" t="n"/>
      <c r="N661" s="340" t="n"/>
      <c r="O661" s="340" t="n"/>
      <c r="P661" s="340" t="n"/>
      <c r="Q661" s="340" t="n"/>
      <c r="R661" s="340" t="n"/>
      <c r="S661" s="340" t="n"/>
      <c r="T661" s="340" t="n"/>
      <c r="U661" s="340" t="n"/>
      <c r="V661" s="340" t="n"/>
      <c r="W661" s="340" t="n"/>
      <c r="X661" s="340" t="n"/>
      <c r="Y661" s="340" t="n"/>
      <c r="Z661" s="340" t="n"/>
      <c r="AA661" s="340" t="n"/>
      <c r="AB661" s="340" t="n"/>
      <c r="AC661" s="340" t="n"/>
      <c r="AD661" s="340" t="n"/>
      <c r="AE661" s="340" t="n"/>
      <c r="AF661" s="340" t="n"/>
      <c r="AG661" s="340" t="n"/>
      <c r="AH661" s="340" t="n"/>
      <c r="AI661" s="340" t="n"/>
      <c r="AJ661" s="340" t="n"/>
      <c r="AK661" s="340" t="n"/>
      <c r="AL661" s="340" t="n"/>
    </row>
    <row r="662" ht="12.75" customHeight="1">
      <c r="K662" s="340" t="n"/>
      <c r="L662" s="340" t="n"/>
      <c r="M662" s="340" t="n"/>
      <c r="N662" s="340" t="n"/>
      <c r="O662" s="340" t="n"/>
      <c r="P662" s="340" t="n"/>
      <c r="Q662" s="340" t="n"/>
      <c r="R662" s="340" t="n"/>
      <c r="S662" s="340" t="n"/>
      <c r="T662" s="340" t="n"/>
      <c r="U662" s="340" t="n"/>
      <c r="V662" s="340" t="n"/>
      <c r="W662" s="340" t="n"/>
      <c r="X662" s="340" t="n"/>
      <c r="Y662" s="340" t="n"/>
      <c r="Z662" s="340" t="n"/>
      <c r="AA662" s="340" t="n"/>
      <c r="AB662" s="340" t="n"/>
      <c r="AC662" s="340" t="n"/>
      <c r="AD662" s="340" t="n"/>
      <c r="AE662" s="340" t="n"/>
      <c r="AF662" s="340" t="n"/>
      <c r="AG662" s="340" t="n"/>
      <c r="AH662" s="340" t="n"/>
      <c r="AI662" s="340" t="n"/>
      <c r="AJ662" s="340" t="n"/>
      <c r="AK662" s="340" t="n"/>
      <c r="AL662" s="340" t="n"/>
    </row>
    <row r="663" ht="12.75" customHeight="1">
      <c r="K663" s="340" t="n"/>
      <c r="L663" s="340" t="n"/>
      <c r="M663" s="340" t="n"/>
      <c r="N663" s="340" t="n"/>
      <c r="O663" s="340" t="n"/>
      <c r="P663" s="340" t="n"/>
      <c r="Q663" s="340" t="n"/>
      <c r="R663" s="340" t="n"/>
      <c r="S663" s="340" t="n"/>
      <c r="T663" s="340" t="n"/>
      <c r="U663" s="340" t="n"/>
      <c r="V663" s="340" t="n"/>
      <c r="W663" s="340" t="n"/>
      <c r="X663" s="340" t="n"/>
      <c r="Y663" s="340" t="n"/>
      <c r="Z663" s="340" t="n"/>
      <c r="AA663" s="340" t="n"/>
      <c r="AB663" s="340" t="n"/>
      <c r="AC663" s="340" t="n"/>
      <c r="AD663" s="340" t="n"/>
      <c r="AE663" s="340" t="n"/>
      <c r="AF663" s="340" t="n"/>
      <c r="AG663" s="340" t="n"/>
      <c r="AH663" s="340" t="n"/>
      <c r="AI663" s="340" t="n"/>
      <c r="AJ663" s="340" t="n"/>
      <c r="AK663" s="340" t="n"/>
      <c r="AL663" s="340" t="n"/>
    </row>
    <row r="664" ht="12.75" customHeight="1">
      <c r="K664" s="340" t="n"/>
      <c r="L664" s="340" t="n"/>
      <c r="M664" s="340" t="n"/>
      <c r="N664" s="340" t="n"/>
      <c r="O664" s="340" t="n"/>
      <c r="P664" s="340" t="n"/>
      <c r="Q664" s="340" t="n"/>
      <c r="R664" s="340" t="n"/>
      <c r="S664" s="340" t="n"/>
      <c r="T664" s="340" t="n"/>
      <c r="U664" s="340" t="n"/>
      <c r="V664" s="340" t="n"/>
      <c r="W664" s="340" t="n"/>
      <c r="X664" s="340" t="n"/>
      <c r="Y664" s="340" t="n"/>
      <c r="Z664" s="340" t="n"/>
      <c r="AA664" s="340" t="n"/>
      <c r="AB664" s="340" t="n"/>
      <c r="AC664" s="340" t="n"/>
      <c r="AD664" s="340" t="n"/>
      <c r="AE664" s="340" t="n"/>
      <c r="AF664" s="340" t="n"/>
      <c r="AG664" s="340" t="n"/>
      <c r="AH664" s="340" t="n"/>
      <c r="AI664" s="340" t="n"/>
      <c r="AJ664" s="340" t="n"/>
      <c r="AK664" s="340" t="n"/>
      <c r="AL664" s="340" t="n"/>
    </row>
    <row r="665" ht="12.75" customHeight="1">
      <c r="K665" s="340" t="n"/>
      <c r="L665" s="340" t="n"/>
      <c r="M665" s="340" t="n"/>
      <c r="N665" s="340" t="n"/>
      <c r="O665" s="340" t="n"/>
      <c r="P665" s="340" t="n"/>
      <c r="Q665" s="340" t="n"/>
      <c r="R665" s="340" t="n"/>
      <c r="S665" s="340" t="n"/>
      <c r="T665" s="340" t="n"/>
      <c r="U665" s="340" t="n"/>
      <c r="V665" s="340" t="n"/>
      <c r="W665" s="340" t="n"/>
      <c r="X665" s="340" t="n"/>
      <c r="Y665" s="340" t="n"/>
      <c r="Z665" s="340" t="n"/>
      <c r="AA665" s="340" t="n"/>
      <c r="AB665" s="340" t="n"/>
      <c r="AC665" s="340" t="n"/>
      <c r="AD665" s="340" t="n"/>
      <c r="AE665" s="340" t="n"/>
      <c r="AF665" s="340" t="n"/>
      <c r="AG665" s="340" t="n"/>
      <c r="AH665" s="340" t="n"/>
      <c r="AI665" s="340" t="n"/>
      <c r="AJ665" s="340" t="n"/>
      <c r="AK665" s="340" t="n"/>
      <c r="AL665" s="340" t="n"/>
    </row>
    <row r="666" ht="12.75" customHeight="1">
      <c r="K666" s="340" t="n"/>
      <c r="L666" s="340" t="n"/>
      <c r="M666" s="340" t="n"/>
      <c r="N666" s="340" t="n"/>
      <c r="O666" s="340" t="n"/>
      <c r="P666" s="340" t="n"/>
      <c r="Q666" s="340" t="n"/>
      <c r="R666" s="340" t="n"/>
      <c r="S666" s="340" t="n"/>
      <c r="T666" s="340" t="n"/>
      <c r="U666" s="340" t="n"/>
      <c r="V666" s="340" t="n"/>
      <c r="W666" s="340" t="n"/>
      <c r="X666" s="340" t="n"/>
      <c r="Y666" s="340" t="n"/>
      <c r="Z666" s="340" t="n"/>
      <c r="AA666" s="340" t="n"/>
      <c r="AB666" s="340" t="n"/>
      <c r="AC666" s="340" t="n"/>
      <c r="AD666" s="340" t="n"/>
      <c r="AE666" s="340" t="n"/>
      <c r="AF666" s="340" t="n"/>
      <c r="AG666" s="340" t="n"/>
      <c r="AH666" s="340" t="n"/>
      <c r="AI666" s="340" t="n"/>
      <c r="AJ666" s="340" t="n"/>
      <c r="AK666" s="340" t="n"/>
      <c r="AL666" s="340" t="n"/>
    </row>
    <row r="667" ht="12.75" customHeight="1">
      <c r="K667" s="340" t="n"/>
      <c r="L667" s="340" t="n"/>
      <c r="M667" s="340" t="n"/>
      <c r="N667" s="340" t="n"/>
      <c r="O667" s="340" t="n"/>
      <c r="P667" s="340" t="n"/>
      <c r="Q667" s="340" t="n"/>
      <c r="R667" s="340" t="n"/>
      <c r="S667" s="340" t="n"/>
      <c r="T667" s="340" t="n"/>
      <c r="U667" s="340" t="n"/>
      <c r="V667" s="340" t="n"/>
      <c r="W667" s="340" t="n"/>
      <c r="X667" s="340" t="n"/>
      <c r="Y667" s="340" t="n"/>
      <c r="Z667" s="340" t="n"/>
      <c r="AA667" s="340" t="n"/>
      <c r="AB667" s="340" t="n"/>
      <c r="AC667" s="340" t="n"/>
      <c r="AD667" s="340" t="n"/>
      <c r="AE667" s="340" t="n"/>
      <c r="AF667" s="340" t="n"/>
      <c r="AG667" s="340" t="n"/>
      <c r="AH667" s="340" t="n"/>
      <c r="AI667" s="340" t="n"/>
      <c r="AJ667" s="340" t="n"/>
      <c r="AK667" s="340" t="n"/>
      <c r="AL667" s="340" t="n"/>
    </row>
    <row r="668" ht="12.75" customHeight="1">
      <c r="K668" s="340" t="n"/>
      <c r="L668" s="340" t="n"/>
      <c r="M668" s="340" t="n"/>
      <c r="N668" s="340" t="n"/>
      <c r="O668" s="340" t="n"/>
      <c r="P668" s="340" t="n"/>
      <c r="Q668" s="340" t="n"/>
      <c r="R668" s="340" t="n"/>
      <c r="S668" s="340" t="n"/>
      <c r="T668" s="340" t="n"/>
      <c r="U668" s="340" t="n"/>
      <c r="V668" s="340" t="n"/>
      <c r="W668" s="340" t="n"/>
      <c r="X668" s="340" t="n"/>
      <c r="Y668" s="340" t="n"/>
      <c r="Z668" s="340" t="n"/>
      <c r="AA668" s="340" t="n"/>
      <c r="AB668" s="340" t="n"/>
      <c r="AC668" s="340" t="n"/>
      <c r="AD668" s="340" t="n"/>
      <c r="AE668" s="340" t="n"/>
      <c r="AF668" s="340" t="n"/>
      <c r="AG668" s="340" t="n"/>
      <c r="AH668" s="340" t="n"/>
      <c r="AI668" s="340" t="n"/>
      <c r="AJ668" s="340" t="n"/>
      <c r="AK668" s="340" t="n"/>
      <c r="AL668" s="340" t="n"/>
    </row>
    <row r="669" ht="12.75" customHeight="1">
      <c r="K669" s="340" t="n"/>
      <c r="L669" s="340" t="n"/>
      <c r="M669" s="340" t="n"/>
      <c r="N669" s="340" t="n"/>
      <c r="O669" s="340" t="n"/>
      <c r="P669" s="340" t="n"/>
      <c r="Q669" s="340" t="n"/>
      <c r="R669" s="340" t="n"/>
      <c r="S669" s="340" t="n"/>
      <c r="T669" s="340" t="n"/>
      <c r="U669" s="340" t="n"/>
      <c r="V669" s="340" t="n"/>
      <c r="W669" s="340" t="n"/>
      <c r="X669" s="340" t="n"/>
      <c r="Y669" s="340" t="n"/>
      <c r="Z669" s="340" t="n"/>
      <c r="AA669" s="340" t="n"/>
      <c r="AB669" s="340" t="n"/>
      <c r="AC669" s="340" t="n"/>
      <c r="AD669" s="340" t="n"/>
      <c r="AE669" s="340" t="n"/>
      <c r="AF669" s="340" t="n"/>
      <c r="AG669" s="340" t="n"/>
      <c r="AH669" s="340" t="n"/>
      <c r="AI669" s="340" t="n"/>
      <c r="AJ669" s="340" t="n"/>
      <c r="AK669" s="340" t="n"/>
      <c r="AL669" s="340" t="n"/>
    </row>
    <row r="670" ht="12.75" customHeight="1">
      <c r="K670" s="340" t="n"/>
      <c r="L670" s="340" t="n"/>
      <c r="M670" s="340" t="n"/>
      <c r="N670" s="340" t="n"/>
      <c r="O670" s="340" t="n"/>
      <c r="P670" s="340" t="n"/>
      <c r="Q670" s="340" t="n"/>
      <c r="R670" s="340" t="n"/>
      <c r="S670" s="340" t="n"/>
      <c r="T670" s="340" t="n"/>
      <c r="U670" s="340" t="n"/>
      <c r="V670" s="340" t="n"/>
      <c r="W670" s="340" t="n"/>
      <c r="X670" s="340" t="n"/>
      <c r="Y670" s="340" t="n"/>
      <c r="Z670" s="340" t="n"/>
      <c r="AA670" s="340" t="n"/>
      <c r="AB670" s="340" t="n"/>
      <c r="AC670" s="340" t="n"/>
      <c r="AD670" s="340" t="n"/>
      <c r="AE670" s="340" t="n"/>
      <c r="AF670" s="340" t="n"/>
      <c r="AG670" s="340" t="n"/>
      <c r="AH670" s="340" t="n"/>
      <c r="AI670" s="340" t="n"/>
      <c r="AJ670" s="340" t="n"/>
      <c r="AK670" s="340" t="n"/>
      <c r="AL670" s="340" t="n"/>
    </row>
    <row r="671" ht="12.75" customHeight="1">
      <c r="K671" s="340" t="n"/>
      <c r="L671" s="340" t="n"/>
      <c r="M671" s="340" t="n"/>
      <c r="N671" s="340" t="n"/>
      <c r="O671" s="340" t="n"/>
      <c r="P671" s="340" t="n"/>
      <c r="Q671" s="340" t="n"/>
      <c r="R671" s="340" t="n"/>
      <c r="S671" s="340" t="n"/>
      <c r="T671" s="340" t="n"/>
      <c r="U671" s="340" t="n"/>
      <c r="V671" s="340" t="n"/>
      <c r="W671" s="340" t="n"/>
      <c r="X671" s="340" t="n"/>
      <c r="Y671" s="340" t="n"/>
      <c r="Z671" s="340" t="n"/>
      <c r="AA671" s="340" t="n"/>
      <c r="AB671" s="340" t="n"/>
      <c r="AC671" s="340" t="n"/>
      <c r="AD671" s="340" t="n"/>
      <c r="AE671" s="340" t="n"/>
      <c r="AF671" s="340" t="n"/>
      <c r="AG671" s="340" t="n"/>
      <c r="AH671" s="340" t="n"/>
      <c r="AI671" s="340" t="n"/>
      <c r="AJ671" s="340" t="n"/>
      <c r="AK671" s="340" t="n"/>
      <c r="AL671" s="340" t="n"/>
    </row>
    <row r="672" ht="12.75" customHeight="1">
      <c r="K672" s="340" t="n"/>
      <c r="L672" s="340" t="n"/>
      <c r="M672" s="340" t="n"/>
      <c r="N672" s="340" t="n"/>
      <c r="O672" s="340" t="n"/>
      <c r="P672" s="340" t="n"/>
      <c r="Q672" s="340" t="n"/>
      <c r="R672" s="340" t="n"/>
      <c r="S672" s="340" t="n"/>
      <c r="T672" s="340" t="n"/>
      <c r="U672" s="340" t="n"/>
      <c r="V672" s="340" t="n"/>
      <c r="W672" s="340" t="n"/>
      <c r="X672" s="340" t="n"/>
      <c r="Y672" s="340" t="n"/>
      <c r="Z672" s="340" t="n"/>
      <c r="AA672" s="340" t="n"/>
      <c r="AB672" s="340" t="n"/>
      <c r="AC672" s="340" t="n"/>
      <c r="AD672" s="340" t="n"/>
      <c r="AE672" s="340" t="n"/>
      <c r="AF672" s="340" t="n"/>
      <c r="AG672" s="340" t="n"/>
      <c r="AH672" s="340" t="n"/>
      <c r="AI672" s="340" t="n"/>
      <c r="AJ672" s="340" t="n"/>
      <c r="AK672" s="340" t="n"/>
      <c r="AL672" s="340" t="n"/>
    </row>
    <row r="673" ht="12.75" customHeight="1">
      <c r="K673" s="340" t="n"/>
      <c r="L673" s="340" t="n"/>
      <c r="M673" s="340" t="n"/>
      <c r="N673" s="340" t="n"/>
      <c r="O673" s="340" t="n"/>
      <c r="P673" s="340" t="n"/>
      <c r="Q673" s="340" t="n"/>
      <c r="R673" s="340" t="n"/>
      <c r="S673" s="340" t="n"/>
      <c r="T673" s="340" t="n"/>
      <c r="U673" s="340" t="n"/>
      <c r="V673" s="340" t="n"/>
      <c r="W673" s="340" t="n"/>
      <c r="X673" s="340" t="n"/>
      <c r="Y673" s="340" t="n"/>
      <c r="Z673" s="340" t="n"/>
      <c r="AA673" s="340" t="n"/>
      <c r="AB673" s="340" t="n"/>
      <c r="AC673" s="340" t="n"/>
      <c r="AD673" s="340" t="n"/>
      <c r="AE673" s="340" t="n"/>
      <c r="AF673" s="340" t="n"/>
      <c r="AG673" s="340" t="n"/>
      <c r="AH673" s="340" t="n"/>
      <c r="AI673" s="340" t="n"/>
      <c r="AJ673" s="340" t="n"/>
      <c r="AK673" s="340" t="n"/>
      <c r="AL673" s="340" t="n"/>
    </row>
    <row r="674" ht="12.75" customHeight="1">
      <c r="K674" s="340" t="n"/>
      <c r="L674" s="340" t="n"/>
      <c r="M674" s="340" t="n"/>
      <c r="N674" s="340" t="n"/>
      <c r="O674" s="340" t="n"/>
      <c r="P674" s="340" t="n"/>
      <c r="Q674" s="340" t="n"/>
      <c r="R674" s="340" t="n"/>
      <c r="S674" s="340" t="n"/>
      <c r="T674" s="340" t="n"/>
      <c r="U674" s="340" t="n"/>
      <c r="V674" s="340" t="n"/>
      <c r="W674" s="340" t="n"/>
      <c r="X674" s="340" t="n"/>
      <c r="Y674" s="340" t="n"/>
      <c r="Z674" s="340" t="n"/>
      <c r="AA674" s="340" t="n"/>
      <c r="AB674" s="340" t="n"/>
      <c r="AC674" s="340" t="n"/>
      <c r="AD674" s="340" t="n"/>
      <c r="AE674" s="340" t="n"/>
      <c r="AF674" s="340" t="n"/>
      <c r="AG674" s="340" t="n"/>
      <c r="AH674" s="340" t="n"/>
      <c r="AI674" s="340" t="n"/>
      <c r="AJ674" s="340" t="n"/>
      <c r="AK674" s="340" t="n"/>
      <c r="AL674" s="340" t="n"/>
    </row>
    <row r="675" ht="12.75" customHeight="1">
      <c r="K675" s="340" t="n"/>
      <c r="L675" s="340" t="n"/>
      <c r="M675" s="340" t="n"/>
      <c r="N675" s="340" t="n"/>
      <c r="O675" s="340" t="n"/>
      <c r="P675" s="340" t="n"/>
      <c r="Q675" s="340" t="n"/>
      <c r="R675" s="340" t="n"/>
      <c r="S675" s="340" t="n"/>
      <c r="T675" s="340" t="n"/>
      <c r="U675" s="340" t="n"/>
      <c r="V675" s="340" t="n"/>
      <c r="W675" s="340" t="n"/>
      <c r="X675" s="340" t="n"/>
      <c r="Y675" s="340" t="n"/>
      <c r="Z675" s="340" t="n"/>
      <c r="AA675" s="340" t="n"/>
      <c r="AB675" s="340" t="n"/>
      <c r="AC675" s="340" t="n"/>
      <c r="AD675" s="340" t="n"/>
      <c r="AE675" s="340" t="n"/>
      <c r="AF675" s="340" t="n"/>
      <c r="AG675" s="340" t="n"/>
      <c r="AH675" s="340" t="n"/>
      <c r="AI675" s="340" t="n"/>
      <c r="AJ675" s="340" t="n"/>
      <c r="AK675" s="340" t="n"/>
      <c r="AL675" s="340" t="n"/>
    </row>
    <row r="676" ht="12.75" customHeight="1">
      <c r="K676" s="340" t="n"/>
      <c r="L676" s="340" t="n"/>
      <c r="M676" s="340" t="n"/>
      <c r="N676" s="340" t="n"/>
      <c r="O676" s="340" t="n"/>
      <c r="P676" s="340" t="n"/>
      <c r="Q676" s="340" t="n"/>
      <c r="R676" s="340" t="n"/>
      <c r="S676" s="340" t="n"/>
      <c r="T676" s="340" t="n"/>
      <c r="U676" s="340" t="n"/>
      <c r="V676" s="340" t="n"/>
      <c r="W676" s="340" t="n"/>
      <c r="X676" s="340" t="n"/>
      <c r="Y676" s="340" t="n"/>
      <c r="Z676" s="340" t="n"/>
      <c r="AA676" s="340" t="n"/>
      <c r="AB676" s="340" t="n"/>
      <c r="AC676" s="340" t="n"/>
      <c r="AD676" s="340" t="n"/>
      <c r="AE676" s="340" t="n"/>
      <c r="AF676" s="340" t="n"/>
      <c r="AG676" s="340" t="n"/>
      <c r="AH676" s="340" t="n"/>
      <c r="AI676" s="340" t="n"/>
      <c r="AJ676" s="340" t="n"/>
      <c r="AK676" s="340" t="n"/>
      <c r="AL676" s="340" t="n"/>
    </row>
    <row r="677" ht="12.75" customHeight="1">
      <c r="K677" s="340" t="n"/>
      <c r="L677" s="340" t="n"/>
      <c r="M677" s="340" t="n"/>
      <c r="N677" s="340" t="n"/>
      <c r="O677" s="340" t="n"/>
      <c r="P677" s="340" t="n"/>
      <c r="Q677" s="340" t="n"/>
      <c r="R677" s="340" t="n"/>
      <c r="S677" s="340" t="n"/>
      <c r="T677" s="340" t="n"/>
      <c r="U677" s="340" t="n"/>
      <c r="V677" s="340" t="n"/>
      <c r="W677" s="340" t="n"/>
      <c r="X677" s="340" t="n"/>
      <c r="Y677" s="340" t="n"/>
      <c r="Z677" s="340" t="n"/>
      <c r="AA677" s="340" t="n"/>
      <c r="AB677" s="340" t="n"/>
      <c r="AC677" s="340" t="n"/>
      <c r="AD677" s="340" t="n"/>
      <c r="AE677" s="340" t="n"/>
      <c r="AF677" s="340" t="n"/>
      <c r="AG677" s="340" t="n"/>
      <c r="AH677" s="340" t="n"/>
      <c r="AI677" s="340" t="n"/>
      <c r="AJ677" s="340" t="n"/>
      <c r="AK677" s="340" t="n"/>
      <c r="AL677" s="340" t="n"/>
    </row>
    <row r="678" ht="12.75" customHeight="1">
      <c r="K678" s="340" t="n"/>
      <c r="L678" s="340" t="n"/>
      <c r="M678" s="340" t="n"/>
      <c r="N678" s="340" t="n"/>
      <c r="O678" s="340" t="n"/>
      <c r="P678" s="340" t="n"/>
      <c r="Q678" s="340" t="n"/>
      <c r="R678" s="340" t="n"/>
      <c r="S678" s="340" t="n"/>
      <c r="T678" s="340" t="n"/>
      <c r="U678" s="340" t="n"/>
      <c r="V678" s="340" t="n"/>
      <c r="W678" s="340" t="n"/>
      <c r="X678" s="340" t="n"/>
      <c r="Y678" s="340" t="n"/>
      <c r="Z678" s="340" t="n"/>
      <c r="AA678" s="340" t="n"/>
      <c r="AB678" s="340" t="n"/>
      <c r="AC678" s="340" t="n"/>
      <c r="AD678" s="340" t="n"/>
      <c r="AE678" s="340" t="n"/>
      <c r="AF678" s="340" t="n"/>
      <c r="AG678" s="340" t="n"/>
      <c r="AH678" s="340" t="n"/>
      <c r="AI678" s="340" t="n"/>
      <c r="AJ678" s="340" t="n"/>
      <c r="AK678" s="340" t="n"/>
      <c r="AL678" s="340" t="n"/>
    </row>
    <row r="679" ht="12.75" customHeight="1">
      <c r="K679" s="340" t="n"/>
      <c r="L679" s="340" t="n"/>
      <c r="M679" s="340" t="n"/>
      <c r="N679" s="340" t="n"/>
      <c r="O679" s="340" t="n"/>
      <c r="P679" s="340" t="n"/>
      <c r="Q679" s="340" t="n"/>
      <c r="R679" s="340" t="n"/>
      <c r="S679" s="340" t="n"/>
      <c r="T679" s="340" t="n"/>
      <c r="U679" s="340" t="n"/>
      <c r="V679" s="340" t="n"/>
      <c r="W679" s="340" t="n"/>
      <c r="X679" s="340" t="n"/>
      <c r="Y679" s="340" t="n"/>
      <c r="Z679" s="340" t="n"/>
      <c r="AA679" s="340" t="n"/>
      <c r="AB679" s="340" t="n"/>
      <c r="AC679" s="340" t="n"/>
      <c r="AD679" s="340" t="n"/>
      <c r="AE679" s="340" t="n"/>
      <c r="AF679" s="340" t="n"/>
      <c r="AG679" s="340" t="n"/>
      <c r="AH679" s="340" t="n"/>
      <c r="AI679" s="340" t="n"/>
      <c r="AJ679" s="340" t="n"/>
      <c r="AK679" s="340" t="n"/>
      <c r="AL679" s="340" t="n"/>
    </row>
    <row r="680" ht="12.75" customHeight="1">
      <c r="K680" s="340" t="n"/>
      <c r="L680" s="340" t="n"/>
      <c r="M680" s="340" t="n"/>
      <c r="N680" s="340" t="n"/>
      <c r="O680" s="340" t="n"/>
      <c r="P680" s="340" t="n"/>
      <c r="Q680" s="340" t="n"/>
      <c r="R680" s="340" t="n"/>
      <c r="S680" s="340" t="n"/>
      <c r="T680" s="340" t="n"/>
      <c r="U680" s="340" t="n"/>
      <c r="V680" s="340" t="n"/>
      <c r="W680" s="340" t="n"/>
      <c r="X680" s="340" t="n"/>
      <c r="Y680" s="340" t="n"/>
      <c r="Z680" s="340" t="n"/>
      <c r="AA680" s="340" t="n"/>
      <c r="AB680" s="340" t="n"/>
      <c r="AC680" s="340" t="n"/>
      <c r="AD680" s="340" t="n"/>
      <c r="AE680" s="340" t="n"/>
      <c r="AF680" s="340" t="n"/>
      <c r="AG680" s="340" t="n"/>
      <c r="AH680" s="340" t="n"/>
      <c r="AI680" s="340" t="n"/>
      <c r="AJ680" s="340" t="n"/>
      <c r="AK680" s="340" t="n"/>
      <c r="AL680" s="340" t="n"/>
    </row>
    <row r="681" ht="12.75" customHeight="1">
      <c r="K681" s="340" t="n"/>
      <c r="L681" s="340" t="n"/>
      <c r="M681" s="340" t="n"/>
      <c r="N681" s="340" t="n"/>
      <c r="O681" s="340" t="n"/>
      <c r="P681" s="340" t="n"/>
      <c r="Q681" s="340" t="n"/>
      <c r="R681" s="340" t="n"/>
      <c r="S681" s="340" t="n"/>
      <c r="T681" s="340" t="n"/>
      <c r="U681" s="340" t="n"/>
      <c r="V681" s="340" t="n"/>
      <c r="W681" s="340" t="n"/>
      <c r="X681" s="340" t="n"/>
      <c r="Y681" s="340" t="n"/>
      <c r="Z681" s="340" t="n"/>
      <c r="AA681" s="340" t="n"/>
      <c r="AB681" s="340" t="n"/>
      <c r="AC681" s="340" t="n"/>
      <c r="AD681" s="340" t="n"/>
      <c r="AE681" s="340" t="n"/>
      <c r="AF681" s="340" t="n"/>
      <c r="AG681" s="340" t="n"/>
      <c r="AH681" s="340" t="n"/>
      <c r="AI681" s="340" t="n"/>
      <c r="AJ681" s="340" t="n"/>
      <c r="AK681" s="340" t="n"/>
      <c r="AL681" s="340" t="n"/>
    </row>
    <row r="682" ht="12.75" customHeight="1">
      <c r="K682" s="340" t="n"/>
      <c r="L682" s="340" t="n"/>
      <c r="M682" s="340" t="n"/>
      <c r="N682" s="340" t="n"/>
      <c r="O682" s="340" t="n"/>
      <c r="P682" s="340" t="n"/>
      <c r="Q682" s="340" t="n"/>
      <c r="R682" s="340" t="n"/>
      <c r="S682" s="340" t="n"/>
      <c r="T682" s="340" t="n"/>
      <c r="U682" s="340" t="n"/>
      <c r="V682" s="340" t="n"/>
      <c r="W682" s="340" t="n"/>
      <c r="X682" s="340" t="n"/>
      <c r="Y682" s="340" t="n"/>
      <c r="Z682" s="340" t="n"/>
      <c r="AA682" s="340" t="n"/>
      <c r="AB682" s="340" t="n"/>
      <c r="AC682" s="340" t="n"/>
      <c r="AD682" s="340" t="n"/>
      <c r="AE682" s="340" t="n"/>
      <c r="AF682" s="340" t="n"/>
      <c r="AG682" s="340" t="n"/>
      <c r="AH682" s="340" t="n"/>
      <c r="AI682" s="340" t="n"/>
      <c r="AJ682" s="340" t="n"/>
      <c r="AK682" s="340" t="n"/>
      <c r="AL682" s="340" t="n"/>
    </row>
    <row r="683" ht="12.75" customHeight="1">
      <c r="K683" s="340" t="n"/>
      <c r="L683" s="340" t="n"/>
      <c r="M683" s="340" t="n"/>
      <c r="N683" s="340" t="n"/>
      <c r="O683" s="340" t="n"/>
      <c r="P683" s="340" t="n"/>
      <c r="Q683" s="340" t="n"/>
      <c r="R683" s="340" t="n"/>
      <c r="S683" s="340" t="n"/>
      <c r="T683" s="340" t="n"/>
      <c r="U683" s="340" t="n"/>
      <c r="V683" s="340" t="n"/>
      <c r="W683" s="340" t="n"/>
      <c r="X683" s="340" t="n"/>
      <c r="Y683" s="340" t="n"/>
      <c r="Z683" s="340" t="n"/>
      <c r="AA683" s="340" t="n"/>
      <c r="AB683" s="340" t="n"/>
      <c r="AC683" s="340" t="n"/>
      <c r="AD683" s="340" t="n"/>
      <c r="AE683" s="340" t="n"/>
      <c r="AF683" s="340" t="n"/>
      <c r="AG683" s="340" t="n"/>
      <c r="AH683" s="340" t="n"/>
      <c r="AI683" s="340" t="n"/>
      <c r="AJ683" s="340" t="n"/>
      <c r="AK683" s="340" t="n"/>
      <c r="AL683" s="340" t="n"/>
    </row>
    <row r="684" ht="12.75" customHeight="1">
      <c r="K684" s="340" t="n"/>
      <c r="L684" s="340" t="n"/>
      <c r="M684" s="340" t="n"/>
      <c r="N684" s="340" t="n"/>
      <c r="O684" s="340" t="n"/>
      <c r="P684" s="340" t="n"/>
      <c r="Q684" s="340" t="n"/>
      <c r="R684" s="340" t="n"/>
      <c r="S684" s="340" t="n"/>
      <c r="T684" s="340" t="n"/>
      <c r="U684" s="340" t="n"/>
      <c r="V684" s="340" t="n"/>
      <c r="W684" s="340" t="n"/>
      <c r="X684" s="340" t="n"/>
      <c r="Y684" s="340" t="n"/>
      <c r="Z684" s="340" t="n"/>
      <c r="AA684" s="340" t="n"/>
      <c r="AB684" s="340" t="n"/>
      <c r="AC684" s="340" t="n"/>
      <c r="AD684" s="340" t="n"/>
      <c r="AE684" s="340" t="n"/>
      <c r="AF684" s="340" t="n"/>
      <c r="AG684" s="340" t="n"/>
      <c r="AH684" s="340" t="n"/>
      <c r="AI684" s="340" t="n"/>
      <c r="AJ684" s="340" t="n"/>
      <c r="AK684" s="340" t="n"/>
      <c r="AL684" s="340" t="n"/>
    </row>
    <row r="685" ht="12.75" customHeight="1">
      <c r="K685" s="340" t="n"/>
      <c r="L685" s="340" t="n"/>
      <c r="M685" s="340" t="n"/>
      <c r="N685" s="340" t="n"/>
      <c r="O685" s="340" t="n"/>
      <c r="P685" s="340" t="n"/>
      <c r="Q685" s="340" t="n"/>
      <c r="R685" s="340" t="n"/>
      <c r="S685" s="340" t="n"/>
      <c r="T685" s="340" t="n"/>
      <c r="U685" s="340" t="n"/>
      <c r="V685" s="340" t="n"/>
      <c r="W685" s="340" t="n"/>
      <c r="X685" s="340" t="n"/>
      <c r="Y685" s="340" t="n"/>
      <c r="Z685" s="340" t="n"/>
      <c r="AA685" s="340" t="n"/>
      <c r="AB685" s="340" t="n"/>
      <c r="AC685" s="340" t="n"/>
      <c r="AD685" s="340" t="n"/>
      <c r="AE685" s="340" t="n"/>
      <c r="AF685" s="340" t="n"/>
      <c r="AG685" s="340" t="n"/>
      <c r="AH685" s="340" t="n"/>
      <c r="AI685" s="340" t="n"/>
      <c r="AJ685" s="340" t="n"/>
      <c r="AK685" s="340" t="n"/>
      <c r="AL685" s="340" t="n"/>
    </row>
    <row r="686" ht="12.75" customHeight="1">
      <c r="K686" s="340" t="n"/>
      <c r="L686" s="340" t="n"/>
      <c r="M686" s="340" t="n"/>
      <c r="N686" s="340" t="n"/>
      <c r="O686" s="340" t="n"/>
      <c r="P686" s="340" t="n"/>
      <c r="Q686" s="340" t="n"/>
      <c r="R686" s="340" t="n"/>
      <c r="S686" s="340" t="n"/>
      <c r="T686" s="340" t="n"/>
      <c r="U686" s="340" t="n"/>
      <c r="V686" s="340" t="n"/>
      <c r="W686" s="340" t="n"/>
      <c r="X686" s="340" t="n"/>
      <c r="Y686" s="340" t="n"/>
      <c r="Z686" s="340" t="n"/>
      <c r="AA686" s="340" t="n"/>
      <c r="AB686" s="340" t="n"/>
      <c r="AC686" s="340" t="n"/>
      <c r="AD686" s="340" t="n"/>
      <c r="AE686" s="340" t="n"/>
      <c r="AF686" s="340" t="n"/>
      <c r="AG686" s="340" t="n"/>
      <c r="AH686" s="340" t="n"/>
      <c r="AI686" s="340" t="n"/>
      <c r="AJ686" s="340" t="n"/>
      <c r="AK686" s="340" t="n"/>
      <c r="AL686" s="340" t="n"/>
    </row>
    <row r="687" ht="12.75" customHeight="1">
      <c r="K687" s="340" t="n"/>
      <c r="L687" s="340" t="n"/>
      <c r="M687" s="340" t="n"/>
      <c r="N687" s="340" t="n"/>
      <c r="O687" s="340" t="n"/>
      <c r="P687" s="340" t="n"/>
      <c r="Q687" s="340" t="n"/>
      <c r="R687" s="340" t="n"/>
      <c r="S687" s="340" t="n"/>
      <c r="T687" s="340" t="n"/>
      <c r="U687" s="340" t="n"/>
      <c r="V687" s="340" t="n"/>
      <c r="W687" s="340" t="n"/>
      <c r="X687" s="340" t="n"/>
      <c r="Y687" s="340" t="n"/>
      <c r="Z687" s="340" t="n"/>
      <c r="AA687" s="340" t="n"/>
      <c r="AB687" s="340" t="n"/>
      <c r="AC687" s="340" t="n"/>
      <c r="AD687" s="340" t="n"/>
      <c r="AE687" s="340" t="n"/>
      <c r="AF687" s="340" t="n"/>
      <c r="AG687" s="340" t="n"/>
      <c r="AH687" s="340" t="n"/>
      <c r="AI687" s="340" t="n"/>
      <c r="AJ687" s="340" t="n"/>
      <c r="AK687" s="340" t="n"/>
      <c r="AL687" s="340" t="n"/>
    </row>
    <row r="688" ht="12.75" customHeight="1">
      <c r="K688" s="340" t="n"/>
      <c r="L688" s="340" t="n"/>
      <c r="M688" s="340" t="n"/>
      <c r="N688" s="340" t="n"/>
      <c r="O688" s="340" t="n"/>
      <c r="P688" s="340" t="n"/>
      <c r="Q688" s="340" t="n"/>
      <c r="R688" s="340" t="n"/>
      <c r="S688" s="340" t="n"/>
      <c r="T688" s="340" t="n"/>
      <c r="U688" s="340" t="n"/>
      <c r="V688" s="340" t="n"/>
      <c r="W688" s="340" t="n"/>
      <c r="X688" s="340" t="n"/>
      <c r="Y688" s="340" t="n"/>
      <c r="Z688" s="340" t="n"/>
      <c r="AA688" s="340" t="n"/>
      <c r="AB688" s="340" t="n"/>
      <c r="AC688" s="340" t="n"/>
      <c r="AD688" s="340" t="n"/>
      <c r="AE688" s="340" t="n"/>
      <c r="AF688" s="340" t="n"/>
      <c r="AG688" s="340" t="n"/>
      <c r="AH688" s="340" t="n"/>
      <c r="AI688" s="340" t="n"/>
      <c r="AJ688" s="340" t="n"/>
      <c r="AK688" s="340" t="n"/>
      <c r="AL688" s="340" t="n"/>
    </row>
    <row r="689" ht="12.75" customHeight="1">
      <c r="K689" s="340" t="n"/>
      <c r="L689" s="340" t="n"/>
      <c r="M689" s="340" t="n"/>
      <c r="N689" s="340" t="n"/>
      <c r="O689" s="340" t="n"/>
      <c r="P689" s="340" t="n"/>
      <c r="Q689" s="340" t="n"/>
      <c r="R689" s="340" t="n"/>
      <c r="S689" s="340" t="n"/>
      <c r="T689" s="340" t="n"/>
      <c r="U689" s="340" t="n"/>
      <c r="V689" s="340" t="n"/>
      <c r="W689" s="340" t="n"/>
      <c r="X689" s="340" t="n"/>
      <c r="Y689" s="340" t="n"/>
      <c r="Z689" s="340" t="n"/>
      <c r="AA689" s="340" t="n"/>
      <c r="AB689" s="340" t="n"/>
      <c r="AC689" s="340" t="n"/>
      <c r="AD689" s="340" t="n"/>
      <c r="AE689" s="340" t="n"/>
      <c r="AF689" s="340" t="n"/>
      <c r="AG689" s="340" t="n"/>
      <c r="AH689" s="340" t="n"/>
      <c r="AI689" s="340" t="n"/>
      <c r="AJ689" s="340" t="n"/>
      <c r="AK689" s="340" t="n"/>
      <c r="AL689" s="340" t="n"/>
    </row>
    <row r="690" ht="12.75" customHeight="1">
      <c r="K690" s="340" t="n"/>
      <c r="L690" s="340" t="n"/>
      <c r="M690" s="340" t="n"/>
      <c r="N690" s="340" t="n"/>
      <c r="O690" s="340" t="n"/>
      <c r="P690" s="340" t="n"/>
      <c r="Q690" s="340" t="n"/>
      <c r="R690" s="340" t="n"/>
      <c r="S690" s="340" t="n"/>
      <c r="T690" s="340" t="n"/>
      <c r="U690" s="340" t="n"/>
      <c r="V690" s="340" t="n"/>
      <c r="W690" s="340" t="n"/>
      <c r="X690" s="340" t="n"/>
      <c r="Y690" s="340" t="n"/>
      <c r="Z690" s="340" t="n"/>
      <c r="AA690" s="340" t="n"/>
      <c r="AB690" s="340" t="n"/>
      <c r="AC690" s="340" t="n"/>
      <c r="AD690" s="340" t="n"/>
      <c r="AE690" s="340" t="n"/>
      <c r="AF690" s="340" t="n"/>
      <c r="AG690" s="340" t="n"/>
      <c r="AH690" s="340" t="n"/>
      <c r="AI690" s="340" t="n"/>
      <c r="AJ690" s="340" t="n"/>
      <c r="AK690" s="340" t="n"/>
      <c r="AL690" s="340" t="n"/>
    </row>
    <row r="691" ht="12.75" customHeight="1">
      <c r="K691" s="340" t="n"/>
      <c r="L691" s="340" t="n"/>
      <c r="M691" s="340" t="n"/>
      <c r="N691" s="340" t="n"/>
      <c r="O691" s="340" t="n"/>
      <c r="P691" s="340" t="n"/>
      <c r="Q691" s="340" t="n"/>
      <c r="R691" s="340" t="n"/>
      <c r="S691" s="340" t="n"/>
      <c r="T691" s="340" t="n"/>
      <c r="U691" s="340" t="n"/>
      <c r="V691" s="340" t="n"/>
      <c r="W691" s="340" t="n"/>
      <c r="X691" s="340" t="n"/>
      <c r="Y691" s="340" t="n"/>
      <c r="Z691" s="340" t="n"/>
      <c r="AA691" s="340" t="n"/>
      <c r="AB691" s="340" t="n"/>
      <c r="AC691" s="340" t="n"/>
      <c r="AD691" s="340" t="n"/>
      <c r="AE691" s="340" t="n"/>
      <c r="AF691" s="340" t="n"/>
      <c r="AG691" s="340" t="n"/>
      <c r="AH691" s="340" t="n"/>
      <c r="AI691" s="340" t="n"/>
      <c r="AJ691" s="340" t="n"/>
      <c r="AK691" s="340" t="n"/>
      <c r="AL691" s="340" t="n"/>
    </row>
    <row r="692" ht="12.75" customHeight="1">
      <c r="K692" s="340" t="n"/>
      <c r="L692" s="340" t="n"/>
      <c r="M692" s="340" t="n"/>
      <c r="N692" s="340" t="n"/>
      <c r="O692" s="340" t="n"/>
      <c r="P692" s="340" t="n"/>
      <c r="Q692" s="340" t="n"/>
      <c r="R692" s="340" t="n"/>
      <c r="S692" s="340" t="n"/>
      <c r="T692" s="340" t="n"/>
      <c r="U692" s="340" t="n"/>
      <c r="V692" s="340" t="n"/>
      <c r="W692" s="340" t="n"/>
      <c r="X692" s="340" t="n"/>
      <c r="Y692" s="340" t="n"/>
      <c r="Z692" s="340" t="n"/>
      <c r="AA692" s="340" t="n"/>
      <c r="AB692" s="340" t="n"/>
      <c r="AC692" s="340" t="n"/>
      <c r="AD692" s="340" t="n"/>
      <c r="AE692" s="340" t="n"/>
      <c r="AF692" s="340" t="n"/>
      <c r="AG692" s="340" t="n"/>
      <c r="AH692" s="340" t="n"/>
      <c r="AI692" s="340" t="n"/>
      <c r="AJ692" s="340" t="n"/>
      <c r="AK692" s="340" t="n"/>
      <c r="AL692" s="340" t="n"/>
    </row>
    <row r="693" ht="12.75" customHeight="1">
      <c r="K693" s="340" t="n"/>
      <c r="L693" s="340" t="n"/>
      <c r="M693" s="340" t="n"/>
      <c r="N693" s="340" t="n"/>
      <c r="O693" s="340" t="n"/>
      <c r="P693" s="340" t="n"/>
      <c r="Q693" s="340" t="n"/>
      <c r="R693" s="340" t="n"/>
      <c r="S693" s="340" t="n"/>
      <c r="T693" s="340" t="n"/>
      <c r="U693" s="340" t="n"/>
      <c r="V693" s="340" t="n"/>
      <c r="W693" s="340" t="n"/>
      <c r="X693" s="340" t="n"/>
      <c r="Y693" s="340" t="n"/>
      <c r="Z693" s="340" t="n"/>
      <c r="AA693" s="340" t="n"/>
      <c r="AB693" s="340" t="n"/>
      <c r="AC693" s="340" t="n"/>
      <c r="AD693" s="340" t="n"/>
      <c r="AE693" s="340" t="n"/>
      <c r="AF693" s="340" t="n"/>
      <c r="AG693" s="340" t="n"/>
      <c r="AH693" s="340" t="n"/>
      <c r="AI693" s="340" t="n"/>
      <c r="AJ693" s="340" t="n"/>
      <c r="AK693" s="340" t="n"/>
      <c r="AL693" s="340" t="n"/>
    </row>
    <row r="694" ht="12.75" customHeight="1">
      <c r="K694" s="340" t="n"/>
      <c r="L694" s="340" t="n"/>
      <c r="M694" s="340" t="n"/>
      <c r="N694" s="340" t="n"/>
      <c r="O694" s="340" t="n"/>
      <c r="P694" s="340" t="n"/>
      <c r="Q694" s="340" t="n"/>
      <c r="R694" s="340" t="n"/>
      <c r="S694" s="340" t="n"/>
      <c r="T694" s="340" t="n"/>
      <c r="U694" s="340" t="n"/>
      <c r="V694" s="340" t="n"/>
      <c r="W694" s="340" t="n"/>
      <c r="X694" s="340" t="n"/>
      <c r="Y694" s="340" t="n"/>
      <c r="Z694" s="340" t="n"/>
      <c r="AA694" s="340" t="n"/>
      <c r="AB694" s="340" t="n"/>
      <c r="AC694" s="340" t="n"/>
      <c r="AD694" s="340" t="n"/>
      <c r="AE694" s="340" t="n"/>
      <c r="AF694" s="340" t="n"/>
      <c r="AG694" s="340" t="n"/>
      <c r="AH694" s="340" t="n"/>
      <c r="AI694" s="340" t="n"/>
      <c r="AJ694" s="340" t="n"/>
      <c r="AK694" s="340" t="n"/>
      <c r="AL694" s="340" t="n"/>
    </row>
    <row r="695" ht="12.75" customHeight="1">
      <c r="K695" s="340" t="n"/>
      <c r="L695" s="340" t="n"/>
      <c r="M695" s="340" t="n"/>
      <c r="N695" s="340" t="n"/>
      <c r="O695" s="340" t="n"/>
      <c r="P695" s="340" t="n"/>
      <c r="Q695" s="340" t="n"/>
      <c r="R695" s="340" t="n"/>
      <c r="S695" s="340" t="n"/>
      <c r="T695" s="340" t="n"/>
      <c r="U695" s="340" t="n"/>
      <c r="V695" s="340" t="n"/>
      <c r="W695" s="340" t="n"/>
      <c r="X695" s="340" t="n"/>
      <c r="Y695" s="340" t="n"/>
      <c r="Z695" s="340" t="n"/>
      <c r="AA695" s="340" t="n"/>
      <c r="AB695" s="340" t="n"/>
      <c r="AC695" s="340" t="n"/>
      <c r="AD695" s="340" t="n"/>
      <c r="AE695" s="340" t="n"/>
      <c r="AF695" s="340" t="n"/>
      <c r="AG695" s="340" t="n"/>
      <c r="AH695" s="340" t="n"/>
      <c r="AI695" s="340" t="n"/>
      <c r="AJ695" s="340" t="n"/>
      <c r="AK695" s="340" t="n"/>
      <c r="AL695" s="340" t="n"/>
    </row>
    <row r="696" ht="12.75" customHeight="1">
      <c r="K696" s="340" t="n"/>
      <c r="L696" s="340" t="n"/>
      <c r="M696" s="340" t="n"/>
      <c r="N696" s="340" t="n"/>
      <c r="O696" s="340" t="n"/>
      <c r="P696" s="340" t="n"/>
      <c r="Q696" s="340" t="n"/>
      <c r="R696" s="340" t="n"/>
      <c r="S696" s="340" t="n"/>
      <c r="T696" s="340" t="n"/>
      <c r="U696" s="340" t="n"/>
      <c r="V696" s="340" t="n"/>
      <c r="W696" s="340" t="n"/>
      <c r="X696" s="340" t="n"/>
      <c r="Y696" s="340" t="n"/>
      <c r="Z696" s="340" t="n"/>
      <c r="AA696" s="340" t="n"/>
      <c r="AB696" s="340" t="n"/>
      <c r="AC696" s="340" t="n"/>
      <c r="AD696" s="340" t="n"/>
      <c r="AE696" s="340" t="n"/>
      <c r="AF696" s="340" t="n"/>
      <c r="AG696" s="340" t="n"/>
      <c r="AH696" s="340" t="n"/>
      <c r="AI696" s="340" t="n"/>
      <c r="AJ696" s="340" t="n"/>
      <c r="AK696" s="340" t="n"/>
      <c r="AL696" s="340" t="n"/>
    </row>
    <row r="697" ht="12.75" customHeight="1">
      <c r="K697" s="340" t="n"/>
      <c r="L697" s="340" t="n"/>
      <c r="M697" s="340" t="n"/>
      <c r="N697" s="340" t="n"/>
      <c r="O697" s="340" t="n"/>
      <c r="P697" s="340" t="n"/>
      <c r="Q697" s="340" t="n"/>
      <c r="R697" s="340" t="n"/>
      <c r="S697" s="340" t="n"/>
      <c r="T697" s="340" t="n"/>
      <c r="U697" s="340" t="n"/>
      <c r="V697" s="340" t="n"/>
      <c r="W697" s="340" t="n"/>
      <c r="X697" s="340" t="n"/>
      <c r="Y697" s="340" t="n"/>
      <c r="Z697" s="340" t="n"/>
      <c r="AA697" s="340" t="n"/>
      <c r="AB697" s="340" t="n"/>
      <c r="AC697" s="340" t="n"/>
      <c r="AD697" s="340" t="n"/>
      <c r="AE697" s="340" t="n"/>
      <c r="AF697" s="340" t="n"/>
      <c r="AG697" s="340" t="n"/>
      <c r="AH697" s="340" t="n"/>
      <c r="AI697" s="340" t="n"/>
      <c r="AJ697" s="340" t="n"/>
      <c r="AK697" s="340" t="n"/>
      <c r="AL697" s="340" t="n"/>
    </row>
    <row r="698" ht="12.75" customHeight="1">
      <c r="K698" s="340" t="n"/>
      <c r="L698" s="340" t="n"/>
      <c r="M698" s="340" t="n"/>
      <c r="N698" s="340" t="n"/>
      <c r="O698" s="340" t="n"/>
      <c r="P698" s="340" t="n"/>
      <c r="Q698" s="340" t="n"/>
      <c r="R698" s="340" t="n"/>
      <c r="S698" s="340" t="n"/>
      <c r="T698" s="340" t="n"/>
      <c r="U698" s="340" t="n"/>
      <c r="V698" s="340" t="n"/>
      <c r="W698" s="340" t="n"/>
      <c r="X698" s="340" t="n"/>
      <c r="Y698" s="340" t="n"/>
      <c r="Z698" s="340" t="n"/>
      <c r="AA698" s="340" t="n"/>
      <c r="AB698" s="340" t="n"/>
      <c r="AC698" s="340" t="n"/>
      <c r="AD698" s="340" t="n"/>
      <c r="AE698" s="340" t="n"/>
      <c r="AF698" s="340" t="n"/>
      <c r="AG698" s="340" t="n"/>
      <c r="AH698" s="340" t="n"/>
      <c r="AI698" s="340" t="n"/>
      <c r="AJ698" s="340" t="n"/>
      <c r="AK698" s="340" t="n"/>
      <c r="AL698" s="340" t="n"/>
    </row>
    <row r="699" ht="12.75" customHeight="1">
      <c r="K699" s="340" t="n"/>
      <c r="L699" s="340" t="n"/>
      <c r="M699" s="340" t="n"/>
      <c r="N699" s="340" t="n"/>
      <c r="O699" s="340" t="n"/>
      <c r="P699" s="340" t="n"/>
      <c r="Q699" s="340" t="n"/>
      <c r="R699" s="340" t="n"/>
      <c r="S699" s="340" t="n"/>
      <c r="T699" s="340" t="n"/>
      <c r="U699" s="340" t="n"/>
      <c r="V699" s="340" t="n"/>
      <c r="W699" s="340" t="n"/>
      <c r="X699" s="340" t="n"/>
      <c r="Y699" s="340" t="n"/>
      <c r="Z699" s="340" t="n"/>
      <c r="AA699" s="340" t="n"/>
      <c r="AB699" s="340" t="n"/>
      <c r="AC699" s="340" t="n"/>
      <c r="AD699" s="340" t="n"/>
      <c r="AE699" s="340" t="n"/>
      <c r="AF699" s="340" t="n"/>
      <c r="AG699" s="340" t="n"/>
      <c r="AH699" s="340" t="n"/>
      <c r="AI699" s="340" t="n"/>
      <c r="AJ699" s="340" t="n"/>
      <c r="AK699" s="340" t="n"/>
      <c r="AL699" s="340" t="n"/>
    </row>
    <row r="700" ht="12.75" customHeight="1">
      <c r="K700" s="340" t="n"/>
      <c r="L700" s="340" t="n"/>
      <c r="M700" s="340" t="n"/>
      <c r="N700" s="340" t="n"/>
      <c r="O700" s="340" t="n"/>
      <c r="P700" s="340" t="n"/>
      <c r="Q700" s="340" t="n"/>
      <c r="R700" s="340" t="n"/>
      <c r="S700" s="340" t="n"/>
      <c r="T700" s="340" t="n"/>
      <c r="U700" s="340" t="n"/>
      <c r="V700" s="340" t="n"/>
      <c r="W700" s="340" t="n"/>
      <c r="X700" s="340" t="n"/>
      <c r="Y700" s="340" t="n"/>
      <c r="Z700" s="340" t="n"/>
      <c r="AA700" s="340" t="n"/>
      <c r="AB700" s="340" t="n"/>
      <c r="AC700" s="340" t="n"/>
      <c r="AD700" s="340" t="n"/>
      <c r="AE700" s="340" t="n"/>
      <c r="AF700" s="340" t="n"/>
      <c r="AG700" s="340" t="n"/>
      <c r="AH700" s="340" t="n"/>
      <c r="AI700" s="340" t="n"/>
      <c r="AJ700" s="340" t="n"/>
      <c r="AK700" s="340" t="n"/>
      <c r="AL700" s="340" t="n"/>
    </row>
    <row r="701" ht="12.75" customHeight="1">
      <c r="K701" s="340" t="n"/>
      <c r="L701" s="340" t="n"/>
      <c r="M701" s="340" t="n"/>
      <c r="N701" s="340" t="n"/>
      <c r="O701" s="340" t="n"/>
      <c r="P701" s="340" t="n"/>
      <c r="Q701" s="340" t="n"/>
      <c r="R701" s="340" t="n"/>
      <c r="S701" s="340" t="n"/>
      <c r="T701" s="340" t="n"/>
      <c r="U701" s="340" t="n"/>
      <c r="V701" s="340" t="n"/>
      <c r="W701" s="340" t="n"/>
      <c r="X701" s="340" t="n"/>
      <c r="Y701" s="340" t="n"/>
      <c r="Z701" s="340" t="n"/>
      <c r="AA701" s="340" t="n"/>
      <c r="AB701" s="340" t="n"/>
      <c r="AC701" s="340" t="n"/>
      <c r="AD701" s="340" t="n"/>
      <c r="AE701" s="340" t="n"/>
      <c r="AF701" s="340" t="n"/>
      <c r="AG701" s="340" t="n"/>
      <c r="AH701" s="340" t="n"/>
      <c r="AI701" s="340" t="n"/>
      <c r="AJ701" s="340" t="n"/>
      <c r="AK701" s="340" t="n"/>
      <c r="AL701" s="340" t="n"/>
    </row>
    <row r="702" ht="12.75" customHeight="1">
      <c r="K702" s="340" t="n"/>
      <c r="L702" s="340" t="n"/>
      <c r="M702" s="340" t="n"/>
      <c r="N702" s="340" t="n"/>
      <c r="O702" s="340" t="n"/>
      <c r="P702" s="340" t="n"/>
      <c r="Q702" s="340" t="n"/>
      <c r="R702" s="340" t="n"/>
      <c r="S702" s="340" t="n"/>
      <c r="T702" s="340" t="n"/>
      <c r="U702" s="340" t="n"/>
      <c r="V702" s="340" t="n"/>
      <c r="W702" s="340" t="n"/>
      <c r="X702" s="340" t="n"/>
      <c r="Y702" s="340" t="n"/>
      <c r="Z702" s="340" t="n"/>
      <c r="AA702" s="340" t="n"/>
      <c r="AB702" s="340" t="n"/>
      <c r="AC702" s="340" t="n"/>
      <c r="AD702" s="340" t="n"/>
      <c r="AE702" s="340" t="n"/>
      <c r="AF702" s="340" t="n"/>
      <c r="AG702" s="340" t="n"/>
      <c r="AH702" s="340" t="n"/>
      <c r="AI702" s="340" t="n"/>
      <c r="AJ702" s="340" t="n"/>
      <c r="AK702" s="340" t="n"/>
      <c r="AL702" s="340" t="n"/>
    </row>
    <row r="703" ht="12.75" customHeight="1">
      <c r="K703" s="340" t="n"/>
      <c r="L703" s="340" t="n"/>
      <c r="M703" s="340" t="n"/>
      <c r="N703" s="340" t="n"/>
      <c r="O703" s="340" t="n"/>
      <c r="P703" s="340" t="n"/>
      <c r="Q703" s="340" t="n"/>
      <c r="R703" s="340" t="n"/>
      <c r="S703" s="340" t="n"/>
      <c r="T703" s="340" t="n"/>
      <c r="U703" s="340" t="n"/>
      <c r="V703" s="340" t="n"/>
      <c r="W703" s="340" t="n"/>
      <c r="X703" s="340" t="n"/>
      <c r="Y703" s="340" t="n"/>
      <c r="Z703" s="340" t="n"/>
      <c r="AA703" s="340" t="n"/>
      <c r="AB703" s="340" t="n"/>
      <c r="AC703" s="340" t="n"/>
      <c r="AD703" s="340" t="n"/>
      <c r="AE703" s="340" t="n"/>
      <c r="AF703" s="340" t="n"/>
      <c r="AG703" s="340" t="n"/>
      <c r="AH703" s="340" t="n"/>
      <c r="AI703" s="340" t="n"/>
      <c r="AJ703" s="340" t="n"/>
      <c r="AK703" s="340" t="n"/>
      <c r="AL703" s="340" t="n"/>
    </row>
    <row r="704" ht="12.75" customHeight="1">
      <c r="K704" s="340" t="n"/>
      <c r="L704" s="340" t="n"/>
      <c r="M704" s="340" t="n"/>
      <c r="N704" s="340" t="n"/>
      <c r="O704" s="340" t="n"/>
      <c r="P704" s="340" t="n"/>
      <c r="Q704" s="340" t="n"/>
      <c r="R704" s="340" t="n"/>
      <c r="S704" s="340" t="n"/>
      <c r="T704" s="340" t="n"/>
      <c r="U704" s="340" t="n"/>
      <c r="V704" s="340" t="n"/>
      <c r="W704" s="340" t="n"/>
      <c r="X704" s="340" t="n"/>
      <c r="Y704" s="340" t="n"/>
      <c r="Z704" s="340" t="n"/>
      <c r="AA704" s="340" t="n"/>
      <c r="AB704" s="340" t="n"/>
      <c r="AC704" s="340" t="n"/>
      <c r="AD704" s="340" t="n"/>
      <c r="AE704" s="340" t="n"/>
      <c r="AF704" s="340" t="n"/>
      <c r="AG704" s="340" t="n"/>
      <c r="AH704" s="340" t="n"/>
      <c r="AI704" s="340" t="n"/>
      <c r="AJ704" s="340" t="n"/>
      <c r="AK704" s="340" t="n"/>
      <c r="AL704" s="340" t="n"/>
    </row>
    <row r="705" ht="12.75" customHeight="1">
      <c r="K705" s="340" t="n"/>
      <c r="L705" s="340" t="n"/>
      <c r="M705" s="340" t="n"/>
      <c r="N705" s="340" t="n"/>
      <c r="O705" s="340" t="n"/>
      <c r="P705" s="340" t="n"/>
      <c r="Q705" s="340" t="n"/>
      <c r="R705" s="340" t="n"/>
      <c r="S705" s="340" t="n"/>
      <c r="T705" s="340" t="n"/>
      <c r="U705" s="340" t="n"/>
      <c r="V705" s="340" t="n"/>
      <c r="W705" s="340" t="n"/>
      <c r="X705" s="340" t="n"/>
      <c r="Y705" s="340" t="n"/>
      <c r="Z705" s="340" t="n"/>
      <c r="AA705" s="340" t="n"/>
      <c r="AB705" s="340" t="n"/>
      <c r="AC705" s="340" t="n"/>
      <c r="AD705" s="340" t="n"/>
      <c r="AE705" s="340" t="n"/>
      <c r="AF705" s="340" t="n"/>
      <c r="AG705" s="340" t="n"/>
      <c r="AH705" s="340" t="n"/>
      <c r="AI705" s="340" t="n"/>
      <c r="AJ705" s="340" t="n"/>
      <c r="AK705" s="340" t="n"/>
      <c r="AL705" s="340" t="n"/>
    </row>
    <row r="706" ht="12.75" customHeight="1">
      <c r="K706" s="340" t="n"/>
      <c r="L706" s="340" t="n"/>
      <c r="M706" s="340" t="n"/>
      <c r="N706" s="340" t="n"/>
      <c r="O706" s="340" t="n"/>
      <c r="P706" s="340" t="n"/>
      <c r="Q706" s="340" t="n"/>
      <c r="R706" s="340" t="n"/>
      <c r="S706" s="340" t="n"/>
      <c r="T706" s="340" t="n"/>
      <c r="U706" s="340" t="n"/>
      <c r="V706" s="340" t="n"/>
      <c r="W706" s="340" t="n"/>
      <c r="X706" s="340" t="n"/>
      <c r="Y706" s="340" t="n"/>
      <c r="Z706" s="340" t="n"/>
      <c r="AA706" s="340" t="n"/>
      <c r="AB706" s="340" t="n"/>
      <c r="AC706" s="340" t="n"/>
      <c r="AD706" s="340" t="n"/>
      <c r="AE706" s="340" t="n"/>
      <c r="AF706" s="340" t="n"/>
      <c r="AG706" s="340" t="n"/>
      <c r="AH706" s="340" t="n"/>
      <c r="AI706" s="340" t="n"/>
      <c r="AJ706" s="340" t="n"/>
      <c r="AK706" s="340" t="n"/>
      <c r="AL706" s="340" t="n"/>
    </row>
    <row r="707" ht="12.75" customHeight="1">
      <c r="K707" s="340" t="n"/>
      <c r="L707" s="340" t="n"/>
      <c r="M707" s="340" t="n"/>
      <c r="N707" s="340" t="n"/>
      <c r="O707" s="340" t="n"/>
      <c r="P707" s="340" t="n"/>
      <c r="Q707" s="340" t="n"/>
      <c r="R707" s="340" t="n"/>
      <c r="S707" s="340" t="n"/>
      <c r="T707" s="340" t="n"/>
      <c r="U707" s="340" t="n"/>
      <c r="V707" s="340" t="n"/>
      <c r="W707" s="340" t="n"/>
      <c r="X707" s="340" t="n"/>
      <c r="Y707" s="340" t="n"/>
      <c r="Z707" s="340" t="n"/>
      <c r="AA707" s="340" t="n"/>
      <c r="AB707" s="340" t="n"/>
      <c r="AC707" s="340" t="n"/>
      <c r="AD707" s="340" t="n"/>
      <c r="AE707" s="340" t="n"/>
      <c r="AF707" s="340" t="n"/>
      <c r="AG707" s="340" t="n"/>
      <c r="AH707" s="340" t="n"/>
      <c r="AI707" s="340" t="n"/>
      <c r="AJ707" s="340" t="n"/>
      <c r="AK707" s="340" t="n"/>
      <c r="AL707" s="340" t="n"/>
    </row>
    <row r="708" ht="12.75" customHeight="1">
      <c r="K708" s="340" t="n"/>
      <c r="L708" s="340" t="n"/>
      <c r="M708" s="340" t="n"/>
      <c r="N708" s="340" t="n"/>
      <c r="O708" s="340" t="n"/>
      <c r="P708" s="340" t="n"/>
      <c r="Q708" s="340" t="n"/>
      <c r="R708" s="340" t="n"/>
      <c r="S708" s="340" t="n"/>
      <c r="T708" s="340" t="n"/>
      <c r="U708" s="340" t="n"/>
      <c r="V708" s="340" t="n"/>
      <c r="W708" s="340" t="n"/>
      <c r="X708" s="340" t="n"/>
      <c r="Y708" s="340" t="n"/>
      <c r="Z708" s="340" t="n"/>
      <c r="AA708" s="340" t="n"/>
      <c r="AB708" s="340" t="n"/>
      <c r="AC708" s="340" t="n"/>
      <c r="AD708" s="340" t="n"/>
      <c r="AE708" s="340" t="n"/>
      <c r="AF708" s="340" t="n"/>
      <c r="AG708" s="340" t="n"/>
      <c r="AH708" s="340" t="n"/>
      <c r="AI708" s="340" t="n"/>
      <c r="AJ708" s="340" t="n"/>
      <c r="AK708" s="340" t="n"/>
      <c r="AL708" s="340" t="n"/>
    </row>
    <row r="709" ht="12.75" customHeight="1">
      <c r="K709" s="340" t="n"/>
      <c r="L709" s="340" t="n"/>
      <c r="M709" s="340" t="n"/>
      <c r="N709" s="340" t="n"/>
      <c r="O709" s="340" t="n"/>
      <c r="P709" s="340" t="n"/>
      <c r="Q709" s="340" t="n"/>
      <c r="R709" s="340" t="n"/>
      <c r="S709" s="340" t="n"/>
      <c r="T709" s="340" t="n"/>
      <c r="U709" s="340" t="n"/>
      <c r="V709" s="340" t="n"/>
      <c r="W709" s="340" t="n"/>
      <c r="X709" s="340" t="n"/>
      <c r="Y709" s="340" t="n"/>
      <c r="Z709" s="340" t="n"/>
      <c r="AA709" s="340" t="n"/>
      <c r="AB709" s="340" t="n"/>
      <c r="AC709" s="340" t="n"/>
      <c r="AD709" s="340" t="n"/>
      <c r="AE709" s="340" t="n"/>
      <c r="AF709" s="340" t="n"/>
      <c r="AG709" s="340" t="n"/>
      <c r="AH709" s="340" t="n"/>
      <c r="AI709" s="340" t="n"/>
      <c r="AJ709" s="340" t="n"/>
      <c r="AK709" s="340" t="n"/>
      <c r="AL709" s="340" t="n"/>
    </row>
    <row r="710" ht="12.75" customHeight="1">
      <c r="K710" s="340" t="n"/>
      <c r="L710" s="340" t="n"/>
      <c r="M710" s="340" t="n"/>
      <c r="N710" s="340" t="n"/>
      <c r="O710" s="340" t="n"/>
      <c r="P710" s="340" t="n"/>
      <c r="Q710" s="340" t="n"/>
      <c r="R710" s="340" t="n"/>
      <c r="S710" s="340" t="n"/>
      <c r="T710" s="340" t="n"/>
      <c r="U710" s="340" t="n"/>
      <c r="V710" s="340" t="n"/>
      <c r="W710" s="340" t="n"/>
      <c r="X710" s="340" t="n"/>
      <c r="Y710" s="340" t="n"/>
      <c r="Z710" s="340" t="n"/>
      <c r="AA710" s="340" t="n"/>
      <c r="AB710" s="340" t="n"/>
      <c r="AC710" s="340" t="n"/>
      <c r="AD710" s="340" t="n"/>
      <c r="AE710" s="340" t="n"/>
      <c r="AF710" s="340" t="n"/>
      <c r="AG710" s="340" t="n"/>
      <c r="AH710" s="340" t="n"/>
      <c r="AI710" s="340" t="n"/>
      <c r="AJ710" s="340" t="n"/>
      <c r="AK710" s="340" t="n"/>
      <c r="AL710" s="340" t="n"/>
    </row>
    <row r="711" ht="12.75" customHeight="1">
      <c r="K711" s="340" t="n"/>
      <c r="L711" s="340" t="n"/>
      <c r="M711" s="340" t="n"/>
      <c r="N711" s="340" t="n"/>
      <c r="O711" s="340" t="n"/>
      <c r="P711" s="340" t="n"/>
      <c r="Q711" s="340" t="n"/>
      <c r="R711" s="340" t="n"/>
      <c r="S711" s="340" t="n"/>
      <c r="T711" s="340" t="n"/>
      <c r="U711" s="340" t="n"/>
      <c r="V711" s="340" t="n"/>
      <c r="W711" s="340" t="n"/>
      <c r="X711" s="340" t="n"/>
      <c r="Y711" s="340" t="n"/>
      <c r="Z711" s="340" t="n"/>
      <c r="AA711" s="340" t="n"/>
      <c r="AB711" s="340" t="n"/>
      <c r="AC711" s="340" t="n"/>
      <c r="AD711" s="340" t="n"/>
      <c r="AE711" s="340" t="n"/>
      <c r="AF711" s="340" t="n"/>
      <c r="AG711" s="340" t="n"/>
      <c r="AH711" s="340" t="n"/>
      <c r="AI711" s="340" t="n"/>
      <c r="AJ711" s="340" t="n"/>
      <c r="AK711" s="340" t="n"/>
      <c r="AL711" s="340" t="n"/>
    </row>
    <row r="712" ht="12.75" customHeight="1">
      <c r="K712" s="340" t="n"/>
      <c r="L712" s="340" t="n"/>
      <c r="M712" s="340" t="n"/>
      <c r="N712" s="340" t="n"/>
      <c r="O712" s="340" t="n"/>
      <c r="P712" s="340" t="n"/>
      <c r="Q712" s="340" t="n"/>
      <c r="R712" s="340" t="n"/>
      <c r="S712" s="340" t="n"/>
      <c r="T712" s="340" t="n"/>
      <c r="U712" s="340" t="n"/>
      <c r="V712" s="340" t="n"/>
      <c r="W712" s="340" t="n"/>
      <c r="X712" s="340" t="n"/>
      <c r="Y712" s="340" t="n"/>
      <c r="Z712" s="340" t="n"/>
      <c r="AA712" s="340" t="n"/>
      <c r="AB712" s="340" t="n"/>
      <c r="AC712" s="340" t="n"/>
      <c r="AD712" s="340" t="n"/>
      <c r="AE712" s="340" t="n"/>
      <c r="AF712" s="340" t="n"/>
      <c r="AG712" s="340" t="n"/>
      <c r="AH712" s="340" t="n"/>
      <c r="AI712" s="340" t="n"/>
      <c r="AJ712" s="340" t="n"/>
      <c r="AK712" s="340" t="n"/>
      <c r="AL712" s="340" t="n"/>
    </row>
    <row r="713" ht="12.75" customHeight="1">
      <c r="K713" s="340" t="n"/>
      <c r="L713" s="340" t="n"/>
      <c r="M713" s="340" t="n"/>
      <c r="N713" s="340" t="n"/>
      <c r="O713" s="340" t="n"/>
      <c r="P713" s="340" t="n"/>
      <c r="Q713" s="340" t="n"/>
      <c r="R713" s="340" t="n"/>
      <c r="S713" s="340" t="n"/>
      <c r="T713" s="340" t="n"/>
      <c r="U713" s="340" t="n"/>
      <c r="V713" s="340" t="n"/>
      <c r="W713" s="340" t="n"/>
      <c r="X713" s="340" t="n"/>
      <c r="Y713" s="340" t="n"/>
      <c r="Z713" s="340" t="n"/>
      <c r="AA713" s="340" t="n"/>
      <c r="AB713" s="340" t="n"/>
      <c r="AC713" s="340" t="n"/>
      <c r="AD713" s="340" t="n"/>
      <c r="AE713" s="340" t="n"/>
      <c r="AF713" s="340" t="n"/>
      <c r="AG713" s="340" t="n"/>
      <c r="AH713" s="340" t="n"/>
      <c r="AI713" s="340" t="n"/>
      <c r="AJ713" s="340" t="n"/>
      <c r="AK713" s="340" t="n"/>
      <c r="AL713" s="340" t="n"/>
    </row>
    <row r="714" ht="12.75" customHeight="1">
      <c r="K714" s="340" t="n"/>
      <c r="L714" s="340" t="n"/>
      <c r="M714" s="340" t="n"/>
      <c r="N714" s="340" t="n"/>
      <c r="O714" s="340" t="n"/>
      <c r="P714" s="340" t="n"/>
      <c r="Q714" s="340" t="n"/>
      <c r="R714" s="340" t="n"/>
      <c r="S714" s="340" t="n"/>
      <c r="T714" s="340" t="n"/>
      <c r="U714" s="340" t="n"/>
      <c r="V714" s="340" t="n"/>
      <c r="W714" s="340" t="n"/>
      <c r="X714" s="340" t="n"/>
      <c r="Y714" s="340" t="n"/>
      <c r="Z714" s="340" t="n"/>
      <c r="AA714" s="340" t="n"/>
      <c r="AB714" s="340" t="n"/>
      <c r="AC714" s="340" t="n"/>
      <c r="AD714" s="340" t="n"/>
      <c r="AE714" s="340" t="n"/>
      <c r="AF714" s="340" t="n"/>
      <c r="AG714" s="340" t="n"/>
      <c r="AH714" s="340" t="n"/>
      <c r="AI714" s="340" t="n"/>
      <c r="AJ714" s="340" t="n"/>
      <c r="AK714" s="340" t="n"/>
      <c r="AL714" s="340" t="n"/>
    </row>
    <row r="715" ht="12.75" customHeight="1">
      <c r="K715" s="340" t="n"/>
      <c r="L715" s="340" t="n"/>
      <c r="M715" s="340" t="n"/>
      <c r="N715" s="340" t="n"/>
      <c r="O715" s="340" t="n"/>
      <c r="P715" s="340" t="n"/>
      <c r="Q715" s="340" t="n"/>
      <c r="R715" s="340" t="n"/>
      <c r="S715" s="340" t="n"/>
      <c r="T715" s="340" t="n"/>
      <c r="U715" s="340" t="n"/>
      <c r="V715" s="340" t="n"/>
      <c r="W715" s="340" t="n"/>
      <c r="X715" s="340" t="n"/>
      <c r="Y715" s="340" t="n"/>
      <c r="Z715" s="340" t="n"/>
      <c r="AA715" s="340" t="n"/>
      <c r="AB715" s="340" t="n"/>
      <c r="AC715" s="340" t="n"/>
      <c r="AD715" s="340" t="n"/>
      <c r="AE715" s="340" t="n"/>
      <c r="AF715" s="340" t="n"/>
      <c r="AG715" s="340" t="n"/>
      <c r="AH715" s="340" t="n"/>
      <c r="AI715" s="340" t="n"/>
      <c r="AJ715" s="340" t="n"/>
      <c r="AK715" s="340" t="n"/>
      <c r="AL715" s="340" t="n"/>
    </row>
    <row r="716" ht="12.75" customHeight="1">
      <c r="K716" s="340" t="n"/>
      <c r="L716" s="340" t="n"/>
      <c r="M716" s="340" t="n"/>
      <c r="N716" s="340" t="n"/>
      <c r="O716" s="340" t="n"/>
      <c r="P716" s="340" t="n"/>
      <c r="Q716" s="340" t="n"/>
      <c r="R716" s="340" t="n"/>
      <c r="S716" s="340" t="n"/>
      <c r="T716" s="340" t="n"/>
      <c r="U716" s="340" t="n"/>
      <c r="V716" s="340" t="n"/>
      <c r="W716" s="340" t="n"/>
      <c r="X716" s="340" t="n"/>
      <c r="Y716" s="340" t="n"/>
      <c r="Z716" s="340" t="n"/>
      <c r="AA716" s="340" t="n"/>
      <c r="AB716" s="340" t="n"/>
      <c r="AC716" s="340" t="n"/>
      <c r="AD716" s="340" t="n"/>
      <c r="AE716" s="340" t="n"/>
      <c r="AF716" s="340" t="n"/>
      <c r="AG716" s="340" t="n"/>
      <c r="AH716" s="340" t="n"/>
      <c r="AI716" s="340" t="n"/>
      <c r="AJ716" s="340" t="n"/>
      <c r="AK716" s="340" t="n"/>
      <c r="AL716" s="340" t="n"/>
    </row>
    <row r="717" ht="12.75" customHeight="1">
      <c r="K717" s="340" t="n"/>
      <c r="L717" s="340" t="n"/>
      <c r="M717" s="340" t="n"/>
      <c r="N717" s="340" t="n"/>
      <c r="O717" s="340" t="n"/>
      <c r="P717" s="340" t="n"/>
      <c r="Q717" s="340" t="n"/>
      <c r="R717" s="340" t="n"/>
      <c r="S717" s="340" t="n"/>
      <c r="T717" s="340" t="n"/>
      <c r="U717" s="340" t="n"/>
      <c r="V717" s="340" t="n"/>
      <c r="W717" s="340" t="n"/>
      <c r="X717" s="340" t="n"/>
      <c r="Y717" s="340" t="n"/>
      <c r="Z717" s="340" t="n"/>
      <c r="AA717" s="340" t="n"/>
      <c r="AB717" s="340" t="n"/>
      <c r="AC717" s="340" t="n"/>
      <c r="AD717" s="340" t="n"/>
      <c r="AE717" s="340" t="n"/>
      <c r="AF717" s="340" t="n"/>
      <c r="AG717" s="340" t="n"/>
      <c r="AH717" s="340" t="n"/>
      <c r="AI717" s="340" t="n"/>
      <c r="AJ717" s="340" t="n"/>
      <c r="AK717" s="340" t="n"/>
      <c r="AL717" s="340" t="n"/>
    </row>
    <row r="718" ht="12.75" customHeight="1">
      <c r="K718" s="340" t="n"/>
      <c r="L718" s="340" t="n"/>
      <c r="M718" s="340" t="n"/>
      <c r="N718" s="340" t="n"/>
      <c r="O718" s="340" t="n"/>
      <c r="P718" s="340" t="n"/>
      <c r="Q718" s="340" t="n"/>
      <c r="R718" s="340" t="n"/>
      <c r="S718" s="340" t="n"/>
      <c r="T718" s="340" t="n"/>
      <c r="U718" s="340" t="n"/>
      <c r="V718" s="340" t="n"/>
      <c r="W718" s="340" t="n"/>
      <c r="X718" s="340" t="n"/>
      <c r="Y718" s="340" t="n"/>
      <c r="Z718" s="340" t="n"/>
      <c r="AA718" s="340" t="n"/>
      <c r="AB718" s="340" t="n"/>
      <c r="AC718" s="340" t="n"/>
      <c r="AD718" s="340" t="n"/>
      <c r="AE718" s="340" t="n"/>
      <c r="AF718" s="340" t="n"/>
      <c r="AG718" s="340" t="n"/>
      <c r="AH718" s="340" t="n"/>
      <c r="AI718" s="340" t="n"/>
      <c r="AJ718" s="340" t="n"/>
      <c r="AK718" s="340" t="n"/>
      <c r="AL718" s="340" t="n"/>
    </row>
    <row r="719" ht="12.75" customHeight="1">
      <c r="K719" s="340" t="n"/>
      <c r="L719" s="340" t="n"/>
      <c r="M719" s="340" t="n"/>
      <c r="N719" s="340" t="n"/>
      <c r="O719" s="340" t="n"/>
      <c r="P719" s="340" t="n"/>
      <c r="Q719" s="340" t="n"/>
      <c r="R719" s="340" t="n"/>
      <c r="S719" s="340" t="n"/>
      <c r="T719" s="340" t="n"/>
      <c r="U719" s="340" t="n"/>
      <c r="V719" s="340" t="n"/>
      <c r="W719" s="340" t="n"/>
      <c r="X719" s="340" t="n"/>
      <c r="Y719" s="340" t="n"/>
      <c r="Z719" s="340" t="n"/>
      <c r="AA719" s="340" t="n"/>
      <c r="AB719" s="340" t="n"/>
      <c r="AC719" s="340" t="n"/>
      <c r="AD719" s="340" t="n"/>
      <c r="AE719" s="340" t="n"/>
      <c r="AF719" s="340" t="n"/>
      <c r="AG719" s="340" t="n"/>
      <c r="AH719" s="340" t="n"/>
      <c r="AI719" s="340" t="n"/>
      <c r="AJ719" s="340" t="n"/>
      <c r="AK719" s="340" t="n"/>
      <c r="AL719" s="340" t="n"/>
    </row>
    <row r="720" ht="12.75" customHeight="1">
      <c r="K720" s="340" t="n"/>
      <c r="L720" s="340" t="n"/>
      <c r="M720" s="340" t="n"/>
      <c r="N720" s="340" t="n"/>
      <c r="O720" s="340" t="n"/>
      <c r="P720" s="340" t="n"/>
      <c r="Q720" s="340" t="n"/>
      <c r="R720" s="340" t="n"/>
      <c r="S720" s="340" t="n"/>
      <c r="T720" s="340" t="n"/>
      <c r="U720" s="340" t="n"/>
      <c r="V720" s="340" t="n"/>
      <c r="W720" s="340" t="n"/>
      <c r="X720" s="340" t="n"/>
      <c r="Y720" s="340" t="n"/>
      <c r="Z720" s="340" t="n"/>
      <c r="AA720" s="340" t="n"/>
      <c r="AB720" s="340" t="n"/>
      <c r="AC720" s="340" t="n"/>
      <c r="AD720" s="340" t="n"/>
      <c r="AE720" s="340" t="n"/>
      <c r="AF720" s="340" t="n"/>
      <c r="AG720" s="340" t="n"/>
      <c r="AH720" s="340" t="n"/>
      <c r="AI720" s="340" t="n"/>
      <c r="AJ720" s="340" t="n"/>
      <c r="AK720" s="340" t="n"/>
      <c r="AL720" s="340" t="n"/>
    </row>
    <row r="721" ht="12.75" customHeight="1">
      <c r="K721" s="340" t="n"/>
      <c r="L721" s="340" t="n"/>
      <c r="M721" s="340" t="n"/>
      <c r="N721" s="340" t="n"/>
      <c r="O721" s="340" t="n"/>
      <c r="P721" s="340" t="n"/>
      <c r="Q721" s="340" t="n"/>
      <c r="R721" s="340" t="n"/>
      <c r="S721" s="340" t="n"/>
      <c r="T721" s="340" t="n"/>
      <c r="U721" s="340" t="n"/>
      <c r="V721" s="340" t="n"/>
      <c r="W721" s="340" t="n"/>
      <c r="X721" s="340" t="n"/>
      <c r="Y721" s="340" t="n"/>
      <c r="Z721" s="340" t="n"/>
      <c r="AA721" s="340" t="n"/>
      <c r="AB721" s="340" t="n"/>
      <c r="AC721" s="340" t="n"/>
      <c r="AD721" s="340" t="n"/>
      <c r="AE721" s="340" t="n"/>
      <c r="AF721" s="340" t="n"/>
      <c r="AG721" s="340" t="n"/>
      <c r="AH721" s="340" t="n"/>
      <c r="AI721" s="340" t="n"/>
      <c r="AJ721" s="340" t="n"/>
      <c r="AK721" s="340" t="n"/>
      <c r="AL721" s="340" t="n"/>
    </row>
    <row r="722" ht="12.75" customHeight="1">
      <c r="K722" s="340" t="n"/>
      <c r="L722" s="340" t="n"/>
      <c r="M722" s="340" t="n"/>
      <c r="N722" s="340" t="n"/>
      <c r="O722" s="340" t="n"/>
      <c r="P722" s="340" t="n"/>
      <c r="Q722" s="340" t="n"/>
      <c r="R722" s="340" t="n"/>
      <c r="S722" s="340" t="n"/>
      <c r="T722" s="340" t="n"/>
      <c r="U722" s="340" t="n"/>
      <c r="V722" s="340" t="n"/>
      <c r="W722" s="340" t="n"/>
      <c r="X722" s="340" t="n"/>
      <c r="Y722" s="340" t="n"/>
      <c r="Z722" s="340" t="n"/>
      <c r="AA722" s="340" t="n"/>
      <c r="AB722" s="340" t="n"/>
      <c r="AC722" s="340" t="n"/>
      <c r="AD722" s="340" t="n"/>
      <c r="AE722" s="340" t="n"/>
      <c r="AF722" s="340" t="n"/>
      <c r="AG722" s="340" t="n"/>
      <c r="AH722" s="340" t="n"/>
      <c r="AI722" s="340" t="n"/>
      <c r="AJ722" s="340" t="n"/>
      <c r="AK722" s="340" t="n"/>
      <c r="AL722" s="340" t="n"/>
    </row>
    <row r="723" ht="12.75" customHeight="1">
      <c r="K723" s="340" t="n"/>
      <c r="L723" s="340" t="n"/>
      <c r="M723" s="340" t="n"/>
      <c r="N723" s="340" t="n"/>
      <c r="O723" s="340" t="n"/>
      <c r="P723" s="340" t="n"/>
      <c r="Q723" s="340" t="n"/>
      <c r="R723" s="340" t="n"/>
      <c r="S723" s="340" t="n"/>
      <c r="T723" s="340" t="n"/>
      <c r="U723" s="340" t="n"/>
      <c r="V723" s="340" t="n"/>
      <c r="W723" s="340" t="n"/>
      <c r="X723" s="340" t="n"/>
      <c r="Y723" s="340" t="n"/>
      <c r="Z723" s="340" t="n"/>
      <c r="AA723" s="340" t="n"/>
      <c r="AB723" s="340" t="n"/>
      <c r="AC723" s="340" t="n"/>
      <c r="AD723" s="340" t="n"/>
      <c r="AE723" s="340" t="n"/>
      <c r="AF723" s="340" t="n"/>
      <c r="AG723" s="340" t="n"/>
      <c r="AH723" s="340" t="n"/>
      <c r="AI723" s="340" t="n"/>
      <c r="AJ723" s="340" t="n"/>
      <c r="AK723" s="340" t="n"/>
      <c r="AL723" s="340" t="n"/>
    </row>
    <row r="724" ht="12.75" customHeight="1">
      <c r="K724" s="340" t="n"/>
      <c r="L724" s="340" t="n"/>
      <c r="M724" s="340" t="n"/>
      <c r="N724" s="340" t="n"/>
      <c r="O724" s="340" t="n"/>
      <c r="P724" s="340" t="n"/>
      <c r="Q724" s="340" t="n"/>
      <c r="R724" s="340" t="n"/>
      <c r="S724" s="340" t="n"/>
      <c r="T724" s="340" t="n"/>
      <c r="U724" s="340" t="n"/>
      <c r="V724" s="340" t="n"/>
      <c r="W724" s="340" t="n"/>
      <c r="X724" s="340" t="n"/>
      <c r="Y724" s="340" t="n"/>
      <c r="Z724" s="340" t="n"/>
      <c r="AA724" s="340" t="n"/>
      <c r="AB724" s="340" t="n"/>
      <c r="AC724" s="340" t="n"/>
      <c r="AD724" s="340" t="n"/>
      <c r="AE724" s="340" t="n"/>
      <c r="AF724" s="340" t="n"/>
      <c r="AG724" s="340" t="n"/>
      <c r="AH724" s="340" t="n"/>
      <c r="AI724" s="340" t="n"/>
      <c r="AJ724" s="340" t="n"/>
      <c r="AK724" s="340" t="n"/>
      <c r="AL724" s="340" t="n"/>
    </row>
    <row r="725" ht="12.75" customHeight="1">
      <c r="K725" s="340" t="n"/>
      <c r="L725" s="340" t="n"/>
      <c r="M725" s="340" t="n"/>
      <c r="N725" s="340" t="n"/>
      <c r="O725" s="340" t="n"/>
      <c r="P725" s="340" t="n"/>
      <c r="Q725" s="340" t="n"/>
      <c r="R725" s="340" t="n"/>
      <c r="S725" s="340" t="n"/>
      <c r="T725" s="340" t="n"/>
      <c r="U725" s="340" t="n"/>
      <c r="V725" s="340" t="n"/>
      <c r="W725" s="340" t="n"/>
      <c r="X725" s="340" t="n"/>
      <c r="Y725" s="340" t="n"/>
      <c r="Z725" s="340" t="n"/>
      <c r="AA725" s="340" t="n"/>
      <c r="AB725" s="340" t="n"/>
      <c r="AC725" s="340" t="n"/>
      <c r="AD725" s="340" t="n"/>
      <c r="AE725" s="340" t="n"/>
      <c r="AF725" s="340" t="n"/>
      <c r="AG725" s="340" t="n"/>
      <c r="AH725" s="340" t="n"/>
      <c r="AI725" s="340" t="n"/>
      <c r="AJ725" s="340" t="n"/>
      <c r="AK725" s="340" t="n"/>
      <c r="AL725" s="340" t="n"/>
    </row>
    <row r="726" ht="12.75" customHeight="1">
      <c r="K726" s="340" t="n"/>
      <c r="L726" s="340" t="n"/>
      <c r="M726" s="340" t="n"/>
      <c r="N726" s="340" t="n"/>
      <c r="O726" s="340" t="n"/>
      <c r="P726" s="340" t="n"/>
      <c r="Q726" s="340" t="n"/>
      <c r="R726" s="340" t="n"/>
      <c r="S726" s="340" t="n"/>
      <c r="T726" s="340" t="n"/>
      <c r="U726" s="340" t="n"/>
      <c r="V726" s="340" t="n"/>
      <c r="W726" s="340" t="n"/>
      <c r="X726" s="340" t="n"/>
      <c r="Y726" s="340" t="n"/>
      <c r="Z726" s="340" t="n"/>
      <c r="AA726" s="340" t="n"/>
      <c r="AB726" s="340" t="n"/>
      <c r="AC726" s="340" t="n"/>
      <c r="AD726" s="340" t="n"/>
      <c r="AE726" s="340" t="n"/>
      <c r="AF726" s="340" t="n"/>
      <c r="AG726" s="340" t="n"/>
      <c r="AH726" s="340" t="n"/>
      <c r="AI726" s="340" t="n"/>
      <c r="AJ726" s="340" t="n"/>
      <c r="AK726" s="340" t="n"/>
      <c r="AL726" s="340" t="n"/>
    </row>
    <row r="727" ht="12.75" customHeight="1">
      <c r="K727" s="340" t="n"/>
      <c r="L727" s="340" t="n"/>
      <c r="M727" s="340" t="n"/>
      <c r="N727" s="340" t="n"/>
      <c r="O727" s="340" t="n"/>
      <c r="P727" s="340" t="n"/>
      <c r="Q727" s="340" t="n"/>
      <c r="R727" s="340" t="n"/>
      <c r="S727" s="340" t="n"/>
      <c r="T727" s="340" t="n"/>
      <c r="U727" s="340" t="n"/>
      <c r="V727" s="340" t="n"/>
      <c r="W727" s="340" t="n"/>
      <c r="X727" s="340" t="n"/>
      <c r="Y727" s="340" t="n"/>
      <c r="Z727" s="340" t="n"/>
      <c r="AA727" s="340" t="n"/>
      <c r="AB727" s="340" t="n"/>
      <c r="AC727" s="340" t="n"/>
      <c r="AD727" s="340" t="n"/>
      <c r="AE727" s="340" t="n"/>
      <c r="AF727" s="340" t="n"/>
      <c r="AG727" s="340" t="n"/>
      <c r="AH727" s="340" t="n"/>
      <c r="AI727" s="340" t="n"/>
      <c r="AJ727" s="340" t="n"/>
      <c r="AK727" s="340" t="n"/>
      <c r="AL727" s="340" t="n"/>
    </row>
    <row r="728" ht="12.75" customHeight="1">
      <c r="K728" s="340" t="n"/>
      <c r="L728" s="340" t="n"/>
      <c r="M728" s="340" t="n"/>
      <c r="N728" s="340" t="n"/>
      <c r="O728" s="340" t="n"/>
      <c r="P728" s="340" t="n"/>
      <c r="Q728" s="340" t="n"/>
      <c r="R728" s="340" t="n"/>
      <c r="S728" s="340" t="n"/>
      <c r="T728" s="340" t="n"/>
      <c r="U728" s="340" t="n"/>
      <c r="V728" s="340" t="n"/>
      <c r="W728" s="340" t="n"/>
      <c r="X728" s="340" t="n"/>
      <c r="Y728" s="340" t="n"/>
      <c r="Z728" s="340" t="n"/>
      <c r="AA728" s="340" t="n"/>
      <c r="AB728" s="340" t="n"/>
      <c r="AC728" s="340" t="n"/>
      <c r="AD728" s="340" t="n"/>
      <c r="AE728" s="340" t="n"/>
      <c r="AF728" s="340" t="n"/>
      <c r="AG728" s="340" t="n"/>
      <c r="AH728" s="340" t="n"/>
      <c r="AI728" s="340" t="n"/>
      <c r="AJ728" s="340" t="n"/>
      <c r="AK728" s="340" t="n"/>
      <c r="AL728" s="340" t="n"/>
    </row>
    <row r="729" ht="12.75" customHeight="1">
      <c r="K729" s="340" t="n"/>
      <c r="L729" s="340" t="n"/>
      <c r="M729" s="340" t="n"/>
      <c r="N729" s="340" t="n"/>
      <c r="O729" s="340" t="n"/>
      <c r="P729" s="340" t="n"/>
      <c r="Q729" s="340" t="n"/>
      <c r="R729" s="340" t="n"/>
      <c r="S729" s="340" t="n"/>
      <c r="T729" s="340" t="n"/>
      <c r="U729" s="340" t="n"/>
      <c r="V729" s="340" t="n"/>
      <c r="W729" s="340" t="n"/>
      <c r="X729" s="340" t="n"/>
      <c r="Y729" s="340" t="n"/>
      <c r="Z729" s="340" t="n"/>
      <c r="AA729" s="340" t="n"/>
      <c r="AB729" s="340" t="n"/>
      <c r="AC729" s="340" t="n"/>
      <c r="AD729" s="340" t="n"/>
      <c r="AE729" s="340" t="n"/>
      <c r="AF729" s="340" t="n"/>
      <c r="AG729" s="340" t="n"/>
      <c r="AH729" s="340" t="n"/>
      <c r="AI729" s="340" t="n"/>
      <c r="AJ729" s="340" t="n"/>
      <c r="AK729" s="340" t="n"/>
      <c r="AL729" s="340" t="n"/>
    </row>
    <row r="730" ht="12.75" customHeight="1">
      <c r="K730" s="340" t="n"/>
      <c r="L730" s="340" t="n"/>
      <c r="M730" s="340" t="n"/>
      <c r="N730" s="340" t="n"/>
      <c r="O730" s="340" t="n"/>
      <c r="P730" s="340" t="n"/>
      <c r="Q730" s="340" t="n"/>
      <c r="R730" s="340" t="n"/>
      <c r="S730" s="340" t="n"/>
      <c r="T730" s="340" t="n"/>
      <c r="U730" s="340" t="n"/>
      <c r="V730" s="340" t="n"/>
      <c r="W730" s="340" t="n"/>
      <c r="X730" s="340" t="n"/>
      <c r="Y730" s="340" t="n"/>
      <c r="Z730" s="340" t="n"/>
      <c r="AA730" s="340" t="n"/>
      <c r="AB730" s="340" t="n"/>
      <c r="AC730" s="340" t="n"/>
      <c r="AD730" s="340" t="n"/>
      <c r="AE730" s="340" t="n"/>
      <c r="AF730" s="340" t="n"/>
      <c r="AG730" s="340" t="n"/>
      <c r="AH730" s="340" t="n"/>
      <c r="AI730" s="340" t="n"/>
      <c r="AJ730" s="340" t="n"/>
      <c r="AK730" s="340" t="n"/>
      <c r="AL730" s="340" t="n"/>
    </row>
    <row r="731" ht="12.75" customHeight="1">
      <c r="K731" s="340" t="n"/>
      <c r="L731" s="340" t="n"/>
      <c r="M731" s="340" t="n"/>
      <c r="N731" s="340" t="n"/>
      <c r="O731" s="340" t="n"/>
      <c r="P731" s="340" t="n"/>
      <c r="Q731" s="340" t="n"/>
      <c r="R731" s="340" t="n"/>
      <c r="S731" s="340" t="n"/>
      <c r="T731" s="340" t="n"/>
      <c r="U731" s="340" t="n"/>
      <c r="V731" s="340" t="n"/>
      <c r="W731" s="340" t="n"/>
      <c r="X731" s="340" t="n"/>
      <c r="Y731" s="340" t="n"/>
      <c r="Z731" s="340" t="n"/>
      <c r="AA731" s="340" t="n"/>
      <c r="AB731" s="340" t="n"/>
      <c r="AC731" s="340" t="n"/>
      <c r="AD731" s="340" t="n"/>
      <c r="AE731" s="340" t="n"/>
      <c r="AF731" s="340" t="n"/>
      <c r="AG731" s="340" t="n"/>
      <c r="AH731" s="340" t="n"/>
      <c r="AI731" s="340" t="n"/>
      <c r="AJ731" s="340" t="n"/>
      <c r="AK731" s="340" t="n"/>
      <c r="AL731" s="340" t="n"/>
    </row>
    <row r="732" ht="12.75" customHeight="1">
      <c r="K732" s="340" t="n"/>
      <c r="L732" s="340" t="n"/>
      <c r="M732" s="340" t="n"/>
      <c r="N732" s="340" t="n"/>
      <c r="O732" s="340" t="n"/>
      <c r="P732" s="340" t="n"/>
      <c r="Q732" s="340" t="n"/>
      <c r="R732" s="340" t="n"/>
      <c r="S732" s="340" t="n"/>
      <c r="T732" s="340" t="n"/>
      <c r="U732" s="340" t="n"/>
      <c r="V732" s="340" t="n"/>
      <c r="W732" s="340" t="n"/>
      <c r="X732" s="340" t="n"/>
      <c r="Y732" s="340" t="n"/>
      <c r="Z732" s="340" t="n"/>
      <c r="AA732" s="340" t="n"/>
      <c r="AB732" s="340" t="n"/>
      <c r="AC732" s="340" t="n"/>
      <c r="AD732" s="340" t="n"/>
      <c r="AE732" s="340" t="n"/>
      <c r="AF732" s="340" t="n"/>
      <c r="AG732" s="340" t="n"/>
      <c r="AH732" s="340" t="n"/>
      <c r="AI732" s="340" t="n"/>
      <c r="AJ732" s="340" t="n"/>
      <c r="AK732" s="340" t="n"/>
      <c r="AL732" s="340" t="n"/>
    </row>
    <row r="733" ht="12.75" customHeight="1">
      <c r="K733" s="340" t="n"/>
      <c r="L733" s="340" t="n"/>
      <c r="M733" s="340" t="n"/>
      <c r="N733" s="340" t="n"/>
      <c r="O733" s="340" t="n"/>
      <c r="P733" s="340" t="n"/>
      <c r="Q733" s="340" t="n"/>
      <c r="R733" s="340" t="n"/>
      <c r="S733" s="340" t="n"/>
      <c r="T733" s="340" t="n"/>
      <c r="U733" s="340" t="n"/>
      <c r="V733" s="340" t="n"/>
      <c r="W733" s="340" t="n"/>
      <c r="X733" s="340" t="n"/>
      <c r="Y733" s="340" t="n"/>
      <c r="Z733" s="340" t="n"/>
      <c r="AA733" s="340" t="n"/>
      <c r="AB733" s="340" t="n"/>
      <c r="AC733" s="340" t="n"/>
      <c r="AD733" s="340" t="n"/>
      <c r="AE733" s="340" t="n"/>
      <c r="AF733" s="340" t="n"/>
      <c r="AG733" s="340" t="n"/>
      <c r="AH733" s="340" t="n"/>
      <c r="AI733" s="340" t="n"/>
      <c r="AJ733" s="340" t="n"/>
      <c r="AK733" s="340" t="n"/>
      <c r="AL733" s="340" t="n"/>
    </row>
    <row r="734" ht="12.75" customHeight="1">
      <c r="K734" s="340" t="n"/>
      <c r="L734" s="340" t="n"/>
      <c r="M734" s="340" t="n"/>
      <c r="N734" s="340" t="n"/>
      <c r="O734" s="340" t="n"/>
      <c r="P734" s="340" t="n"/>
      <c r="Q734" s="340" t="n"/>
      <c r="R734" s="340" t="n"/>
      <c r="S734" s="340" t="n"/>
      <c r="T734" s="340" t="n"/>
      <c r="U734" s="340" t="n"/>
      <c r="V734" s="340" t="n"/>
      <c r="W734" s="340" t="n"/>
      <c r="X734" s="340" t="n"/>
      <c r="Y734" s="340" t="n"/>
      <c r="Z734" s="340" t="n"/>
      <c r="AA734" s="340" t="n"/>
      <c r="AB734" s="340" t="n"/>
      <c r="AC734" s="340" t="n"/>
      <c r="AD734" s="340" t="n"/>
      <c r="AE734" s="340" t="n"/>
      <c r="AF734" s="340" t="n"/>
      <c r="AG734" s="340" t="n"/>
      <c r="AH734" s="340" t="n"/>
      <c r="AI734" s="340" t="n"/>
      <c r="AJ734" s="340" t="n"/>
      <c r="AK734" s="340" t="n"/>
      <c r="AL734" s="340" t="n"/>
    </row>
    <row r="735" ht="12.75" customHeight="1">
      <c r="K735" s="340" t="n"/>
      <c r="L735" s="340" t="n"/>
      <c r="M735" s="340" t="n"/>
      <c r="N735" s="340" t="n"/>
      <c r="O735" s="340" t="n"/>
      <c r="P735" s="340" t="n"/>
      <c r="Q735" s="340" t="n"/>
      <c r="R735" s="340" t="n"/>
      <c r="S735" s="340" t="n"/>
      <c r="T735" s="340" t="n"/>
      <c r="U735" s="340" t="n"/>
      <c r="V735" s="340" t="n"/>
      <c r="W735" s="340" t="n"/>
      <c r="X735" s="340" t="n"/>
      <c r="Y735" s="340" t="n"/>
      <c r="Z735" s="340" t="n"/>
      <c r="AA735" s="340" t="n"/>
      <c r="AB735" s="340" t="n"/>
      <c r="AC735" s="340" t="n"/>
      <c r="AD735" s="340" t="n"/>
      <c r="AE735" s="340" t="n"/>
      <c r="AF735" s="340" t="n"/>
      <c r="AG735" s="340" t="n"/>
      <c r="AH735" s="340" t="n"/>
      <c r="AI735" s="340" t="n"/>
      <c r="AJ735" s="340" t="n"/>
      <c r="AK735" s="340" t="n"/>
      <c r="AL735" s="340" t="n"/>
    </row>
    <row r="736" ht="12.75" customHeight="1">
      <c r="K736" s="340" t="n"/>
      <c r="L736" s="340" t="n"/>
      <c r="M736" s="340" t="n"/>
      <c r="N736" s="340" t="n"/>
      <c r="O736" s="340" t="n"/>
      <c r="P736" s="340" t="n"/>
      <c r="Q736" s="340" t="n"/>
      <c r="R736" s="340" t="n"/>
      <c r="S736" s="340" t="n"/>
      <c r="T736" s="340" t="n"/>
      <c r="U736" s="340" t="n"/>
      <c r="V736" s="340" t="n"/>
      <c r="W736" s="340" t="n"/>
      <c r="X736" s="340" t="n"/>
      <c r="Y736" s="340" t="n"/>
      <c r="Z736" s="340" t="n"/>
      <c r="AA736" s="340" t="n"/>
      <c r="AB736" s="340" t="n"/>
      <c r="AC736" s="340" t="n"/>
      <c r="AD736" s="340" t="n"/>
      <c r="AE736" s="340" t="n"/>
      <c r="AF736" s="340" t="n"/>
      <c r="AG736" s="340" t="n"/>
      <c r="AH736" s="340" t="n"/>
      <c r="AI736" s="340" t="n"/>
      <c r="AJ736" s="340" t="n"/>
      <c r="AK736" s="340" t="n"/>
      <c r="AL736" s="340" t="n"/>
    </row>
    <row r="737" ht="12.75" customHeight="1">
      <c r="K737" s="340" t="n"/>
      <c r="L737" s="340" t="n"/>
      <c r="M737" s="340" t="n"/>
      <c r="N737" s="340" t="n"/>
      <c r="O737" s="340" t="n"/>
      <c r="P737" s="340" t="n"/>
      <c r="Q737" s="340" t="n"/>
      <c r="R737" s="340" t="n"/>
      <c r="S737" s="340" t="n"/>
      <c r="T737" s="340" t="n"/>
      <c r="U737" s="340" t="n"/>
      <c r="V737" s="340" t="n"/>
      <c r="W737" s="340" t="n"/>
      <c r="X737" s="340" t="n"/>
      <c r="Y737" s="340" t="n"/>
      <c r="Z737" s="340" t="n"/>
      <c r="AA737" s="340" t="n"/>
      <c r="AB737" s="340" t="n"/>
      <c r="AC737" s="340" t="n"/>
      <c r="AD737" s="340" t="n"/>
      <c r="AE737" s="340" t="n"/>
      <c r="AF737" s="340" t="n"/>
      <c r="AG737" s="340" t="n"/>
      <c r="AH737" s="340" t="n"/>
      <c r="AI737" s="340" t="n"/>
      <c r="AJ737" s="340" t="n"/>
      <c r="AK737" s="340" t="n"/>
      <c r="AL737" s="340" t="n"/>
    </row>
    <row r="738" ht="12.75" customHeight="1">
      <c r="K738" s="340" t="n"/>
      <c r="L738" s="340" t="n"/>
      <c r="M738" s="340" t="n"/>
      <c r="N738" s="340" t="n"/>
      <c r="O738" s="340" t="n"/>
      <c r="P738" s="340" t="n"/>
      <c r="Q738" s="340" t="n"/>
      <c r="R738" s="340" t="n"/>
      <c r="S738" s="340" t="n"/>
      <c r="T738" s="340" t="n"/>
      <c r="U738" s="340" t="n"/>
      <c r="V738" s="340" t="n"/>
      <c r="W738" s="340" t="n"/>
      <c r="X738" s="340" t="n"/>
      <c r="Y738" s="340" t="n"/>
      <c r="Z738" s="340" t="n"/>
      <c r="AA738" s="340" t="n"/>
      <c r="AB738" s="340" t="n"/>
      <c r="AC738" s="340" t="n"/>
      <c r="AD738" s="340" t="n"/>
      <c r="AE738" s="340" t="n"/>
      <c r="AF738" s="340" t="n"/>
      <c r="AG738" s="340" t="n"/>
      <c r="AH738" s="340" t="n"/>
      <c r="AI738" s="340" t="n"/>
      <c r="AJ738" s="340" t="n"/>
      <c r="AK738" s="340" t="n"/>
      <c r="AL738" s="340" t="n"/>
    </row>
    <row r="739" ht="12.75" customHeight="1">
      <c r="K739" s="340" t="n"/>
      <c r="L739" s="340" t="n"/>
      <c r="M739" s="340" t="n"/>
      <c r="N739" s="340" t="n"/>
      <c r="O739" s="340" t="n"/>
      <c r="P739" s="340" t="n"/>
      <c r="Q739" s="340" t="n"/>
      <c r="R739" s="340" t="n"/>
      <c r="S739" s="340" t="n"/>
      <c r="T739" s="340" t="n"/>
      <c r="U739" s="340" t="n"/>
      <c r="V739" s="340" t="n"/>
      <c r="W739" s="340" t="n"/>
      <c r="X739" s="340" t="n"/>
      <c r="Y739" s="340" t="n"/>
      <c r="Z739" s="340" t="n"/>
      <c r="AA739" s="340" t="n"/>
      <c r="AB739" s="340" t="n"/>
      <c r="AC739" s="340" t="n"/>
      <c r="AD739" s="340" t="n"/>
      <c r="AE739" s="340" t="n"/>
      <c r="AF739" s="340" t="n"/>
      <c r="AG739" s="340" t="n"/>
      <c r="AH739" s="340" t="n"/>
      <c r="AI739" s="340" t="n"/>
      <c r="AJ739" s="340" t="n"/>
      <c r="AK739" s="340" t="n"/>
      <c r="AL739" s="340" t="n"/>
    </row>
    <row r="740" ht="12.75" customHeight="1">
      <c r="K740" s="340" t="n"/>
      <c r="L740" s="340" t="n"/>
      <c r="M740" s="340" t="n"/>
      <c r="N740" s="340" t="n"/>
      <c r="O740" s="340" t="n"/>
      <c r="P740" s="340" t="n"/>
      <c r="Q740" s="340" t="n"/>
      <c r="R740" s="340" t="n"/>
      <c r="S740" s="340" t="n"/>
      <c r="T740" s="340" t="n"/>
      <c r="U740" s="340" t="n"/>
      <c r="V740" s="340" t="n"/>
      <c r="W740" s="340" t="n"/>
      <c r="X740" s="340" t="n"/>
      <c r="Y740" s="340" t="n"/>
      <c r="Z740" s="340" t="n"/>
      <c r="AA740" s="340" t="n"/>
      <c r="AB740" s="340" t="n"/>
      <c r="AC740" s="340" t="n"/>
      <c r="AD740" s="340" t="n"/>
      <c r="AE740" s="340" t="n"/>
      <c r="AF740" s="340" t="n"/>
      <c r="AG740" s="340" t="n"/>
      <c r="AH740" s="340" t="n"/>
      <c r="AI740" s="340" t="n"/>
      <c r="AJ740" s="340" t="n"/>
      <c r="AK740" s="340" t="n"/>
      <c r="AL740" s="340" t="n"/>
    </row>
    <row r="741" ht="12.75" customHeight="1">
      <c r="K741" s="340" t="n"/>
      <c r="L741" s="340" t="n"/>
      <c r="M741" s="340" t="n"/>
      <c r="N741" s="340" t="n"/>
      <c r="O741" s="340" t="n"/>
      <c r="P741" s="340" t="n"/>
      <c r="Q741" s="340" t="n"/>
      <c r="R741" s="340" t="n"/>
      <c r="S741" s="340" t="n"/>
      <c r="T741" s="340" t="n"/>
      <c r="U741" s="340" t="n"/>
      <c r="V741" s="340" t="n"/>
      <c r="W741" s="340" t="n"/>
      <c r="X741" s="340" t="n"/>
      <c r="Y741" s="340" t="n"/>
      <c r="Z741" s="340" t="n"/>
      <c r="AA741" s="340" t="n"/>
      <c r="AB741" s="340" t="n"/>
      <c r="AC741" s="340" t="n"/>
      <c r="AD741" s="340" t="n"/>
      <c r="AE741" s="340" t="n"/>
      <c r="AF741" s="340" t="n"/>
      <c r="AG741" s="340" t="n"/>
      <c r="AH741" s="340" t="n"/>
      <c r="AI741" s="340" t="n"/>
      <c r="AJ741" s="340" t="n"/>
      <c r="AK741" s="340" t="n"/>
      <c r="AL741" s="340" t="n"/>
    </row>
    <row r="742" ht="12.75" customHeight="1">
      <c r="K742" s="340" t="n"/>
      <c r="L742" s="340" t="n"/>
      <c r="M742" s="340" t="n"/>
      <c r="N742" s="340" t="n"/>
      <c r="O742" s="340" t="n"/>
      <c r="P742" s="340" t="n"/>
      <c r="Q742" s="340" t="n"/>
      <c r="R742" s="340" t="n"/>
      <c r="S742" s="340" t="n"/>
      <c r="T742" s="340" t="n"/>
      <c r="U742" s="340" t="n"/>
      <c r="V742" s="340" t="n"/>
      <c r="W742" s="340" t="n"/>
      <c r="X742" s="340" t="n"/>
      <c r="Y742" s="340" t="n"/>
      <c r="Z742" s="340" t="n"/>
      <c r="AA742" s="340" t="n"/>
      <c r="AB742" s="340" t="n"/>
      <c r="AC742" s="340" t="n"/>
      <c r="AD742" s="340" t="n"/>
      <c r="AE742" s="340" t="n"/>
      <c r="AF742" s="340" t="n"/>
      <c r="AG742" s="340" t="n"/>
      <c r="AH742" s="340" t="n"/>
      <c r="AI742" s="340" t="n"/>
      <c r="AJ742" s="340" t="n"/>
      <c r="AK742" s="340" t="n"/>
      <c r="AL742" s="340" t="n"/>
    </row>
    <row r="743" ht="12.75" customHeight="1">
      <c r="K743" s="340" t="n"/>
      <c r="L743" s="340" t="n"/>
      <c r="M743" s="340" t="n"/>
      <c r="N743" s="340" t="n"/>
      <c r="O743" s="340" t="n"/>
      <c r="P743" s="340" t="n"/>
      <c r="Q743" s="340" t="n"/>
      <c r="R743" s="340" t="n"/>
      <c r="S743" s="340" t="n"/>
      <c r="T743" s="340" t="n"/>
      <c r="U743" s="340" t="n"/>
      <c r="V743" s="340" t="n"/>
      <c r="W743" s="340" t="n"/>
      <c r="X743" s="340" t="n"/>
      <c r="Y743" s="340" t="n"/>
      <c r="Z743" s="340" t="n"/>
      <c r="AA743" s="340" t="n"/>
      <c r="AB743" s="340" t="n"/>
      <c r="AC743" s="340" t="n"/>
      <c r="AD743" s="340" t="n"/>
      <c r="AE743" s="340" t="n"/>
      <c r="AF743" s="340" t="n"/>
      <c r="AG743" s="340" t="n"/>
      <c r="AH743" s="340" t="n"/>
      <c r="AI743" s="340" t="n"/>
      <c r="AJ743" s="340" t="n"/>
      <c r="AK743" s="340" t="n"/>
      <c r="AL743" s="340" t="n"/>
    </row>
    <row r="744" ht="12.75" customHeight="1">
      <c r="K744" s="340" t="n"/>
      <c r="L744" s="340" t="n"/>
      <c r="M744" s="340" t="n"/>
      <c r="N744" s="340" t="n"/>
      <c r="O744" s="340" t="n"/>
      <c r="P744" s="340" t="n"/>
      <c r="Q744" s="340" t="n"/>
      <c r="R744" s="340" t="n"/>
      <c r="S744" s="340" t="n"/>
      <c r="T744" s="340" t="n"/>
      <c r="U744" s="340" t="n"/>
      <c r="V744" s="340" t="n"/>
      <c r="W744" s="340" t="n"/>
      <c r="X744" s="340" t="n"/>
      <c r="Y744" s="340" t="n"/>
      <c r="Z744" s="340" t="n"/>
      <c r="AA744" s="340" t="n"/>
      <c r="AB744" s="340" t="n"/>
      <c r="AC744" s="340" t="n"/>
      <c r="AD744" s="340" t="n"/>
      <c r="AE744" s="340" t="n"/>
      <c r="AF744" s="340" t="n"/>
      <c r="AG744" s="340" t="n"/>
      <c r="AH744" s="340" t="n"/>
      <c r="AI744" s="340" t="n"/>
      <c r="AJ744" s="340" t="n"/>
      <c r="AK744" s="340" t="n"/>
      <c r="AL744" s="340" t="n"/>
    </row>
    <row r="745" ht="12.75" customHeight="1">
      <c r="K745" s="340" t="n"/>
      <c r="L745" s="340" t="n"/>
      <c r="M745" s="340" t="n"/>
      <c r="N745" s="340" t="n"/>
      <c r="O745" s="340" t="n"/>
      <c r="P745" s="340" t="n"/>
      <c r="Q745" s="340" t="n"/>
      <c r="R745" s="340" t="n"/>
      <c r="S745" s="340" t="n"/>
      <c r="T745" s="340" t="n"/>
      <c r="U745" s="340" t="n"/>
      <c r="V745" s="340" t="n"/>
      <c r="W745" s="340" t="n"/>
      <c r="X745" s="340" t="n"/>
      <c r="Y745" s="340" t="n"/>
      <c r="Z745" s="340" t="n"/>
      <c r="AA745" s="340" t="n"/>
      <c r="AB745" s="340" t="n"/>
      <c r="AC745" s="340" t="n"/>
      <c r="AD745" s="340" t="n"/>
      <c r="AE745" s="340" t="n"/>
      <c r="AF745" s="340" t="n"/>
      <c r="AG745" s="340" t="n"/>
      <c r="AH745" s="340" t="n"/>
      <c r="AI745" s="340" t="n"/>
      <c r="AJ745" s="340" t="n"/>
      <c r="AK745" s="340" t="n"/>
      <c r="AL745" s="340" t="n"/>
    </row>
    <row r="746" ht="12.75" customHeight="1">
      <c r="K746" s="340" t="n"/>
      <c r="L746" s="340" t="n"/>
      <c r="M746" s="340" t="n"/>
      <c r="N746" s="340" t="n"/>
      <c r="O746" s="340" t="n"/>
      <c r="P746" s="340" t="n"/>
      <c r="Q746" s="340" t="n"/>
      <c r="R746" s="340" t="n"/>
      <c r="S746" s="340" t="n"/>
      <c r="T746" s="340" t="n"/>
      <c r="U746" s="340" t="n"/>
      <c r="V746" s="340" t="n"/>
      <c r="W746" s="340" t="n"/>
      <c r="X746" s="340" t="n"/>
      <c r="Y746" s="340" t="n"/>
      <c r="Z746" s="340" t="n"/>
      <c r="AA746" s="340" t="n"/>
      <c r="AB746" s="340" t="n"/>
      <c r="AC746" s="340" t="n"/>
      <c r="AD746" s="340" t="n"/>
      <c r="AE746" s="340" t="n"/>
      <c r="AF746" s="340" t="n"/>
      <c r="AG746" s="340" t="n"/>
      <c r="AH746" s="340" t="n"/>
      <c r="AI746" s="340" t="n"/>
      <c r="AJ746" s="340" t="n"/>
      <c r="AK746" s="340" t="n"/>
      <c r="AL746" s="340" t="n"/>
    </row>
    <row r="747" ht="12.75" customHeight="1">
      <c r="K747" s="340" t="n"/>
      <c r="L747" s="340" t="n"/>
      <c r="M747" s="340" t="n"/>
      <c r="N747" s="340" t="n"/>
      <c r="O747" s="340" t="n"/>
      <c r="P747" s="340" t="n"/>
      <c r="Q747" s="340" t="n"/>
      <c r="R747" s="340" t="n"/>
      <c r="S747" s="340" t="n"/>
      <c r="T747" s="340" t="n"/>
      <c r="U747" s="340" t="n"/>
      <c r="V747" s="340" t="n"/>
      <c r="W747" s="340" t="n"/>
      <c r="X747" s="340" t="n"/>
      <c r="Y747" s="340" t="n"/>
      <c r="Z747" s="340" t="n"/>
      <c r="AA747" s="340" t="n"/>
      <c r="AB747" s="340" t="n"/>
      <c r="AC747" s="340" t="n"/>
      <c r="AD747" s="340" t="n"/>
      <c r="AE747" s="340" t="n"/>
      <c r="AF747" s="340" t="n"/>
      <c r="AG747" s="340" t="n"/>
      <c r="AH747" s="340" t="n"/>
      <c r="AI747" s="340" t="n"/>
      <c r="AJ747" s="340" t="n"/>
      <c r="AK747" s="340" t="n"/>
      <c r="AL747" s="340" t="n"/>
    </row>
    <row r="748" ht="12.75" customHeight="1">
      <c r="K748" s="340" t="n"/>
      <c r="L748" s="340" t="n"/>
      <c r="M748" s="340" t="n"/>
      <c r="N748" s="340" t="n"/>
      <c r="O748" s="340" t="n"/>
      <c r="P748" s="340" t="n"/>
      <c r="Q748" s="340" t="n"/>
      <c r="R748" s="340" t="n"/>
      <c r="S748" s="340" t="n"/>
      <c r="T748" s="340" t="n"/>
      <c r="U748" s="340" t="n"/>
      <c r="V748" s="340" t="n"/>
      <c r="W748" s="340" t="n"/>
      <c r="X748" s="340" t="n"/>
      <c r="Y748" s="340" t="n"/>
      <c r="Z748" s="340" t="n"/>
      <c r="AA748" s="340" t="n"/>
      <c r="AB748" s="340" t="n"/>
      <c r="AC748" s="340" t="n"/>
      <c r="AD748" s="340" t="n"/>
      <c r="AE748" s="340" t="n"/>
      <c r="AF748" s="340" t="n"/>
      <c r="AG748" s="340" t="n"/>
      <c r="AH748" s="340" t="n"/>
      <c r="AI748" s="340" t="n"/>
      <c r="AJ748" s="340" t="n"/>
      <c r="AK748" s="340" t="n"/>
      <c r="AL748" s="340" t="n"/>
    </row>
    <row r="749" ht="12.75" customHeight="1">
      <c r="K749" s="340" t="n"/>
      <c r="L749" s="340" t="n"/>
      <c r="M749" s="340" t="n"/>
      <c r="N749" s="340" t="n"/>
      <c r="O749" s="340" t="n"/>
      <c r="P749" s="340" t="n"/>
      <c r="Q749" s="340" t="n"/>
      <c r="R749" s="340" t="n"/>
      <c r="S749" s="340" t="n"/>
      <c r="T749" s="340" t="n"/>
      <c r="U749" s="340" t="n"/>
      <c r="V749" s="340" t="n"/>
      <c r="W749" s="340" t="n"/>
      <c r="X749" s="340" t="n"/>
      <c r="Y749" s="340" t="n"/>
      <c r="Z749" s="340" t="n"/>
      <c r="AA749" s="340" t="n"/>
      <c r="AB749" s="340" t="n"/>
      <c r="AC749" s="340" t="n"/>
      <c r="AD749" s="340" t="n"/>
      <c r="AE749" s="340" t="n"/>
      <c r="AF749" s="340" t="n"/>
      <c r="AG749" s="340" t="n"/>
      <c r="AH749" s="340" t="n"/>
      <c r="AI749" s="340" t="n"/>
      <c r="AJ749" s="340" t="n"/>
      <c r="AK749" s="340" t="n"/>
      <c r="AL749" s="340" t="n"/>
    </row>
    <row r="750" ht="12.75" customHeight="1">
      <c r="K750" s="340" t="n"/>
      <c r="L750" s="340" t="n"/>
      <c r="M750" s="340" t="n"/>
      <c r="N750" s="340" t="n"/>
      <c r="O750" s="340" t="n"/>
      <c r="P750" s="340" t="n"/>
      <c r="Q750" s="340" t="n"/>
      <c r="R750" s="340" t="n"/>
      <c r="S750" s="340" t="n"/>
      <c r="T750" s="340" t="n"/>
      <c r="U750" s="340" t="n"/>
      <c r="V750" s="340" t="n"/>
      <c r="W750" s="340" t="n"/>
      <c r="X750" s="340" t="n"/>
      <c r="Y750" s="340" t="n"/>
      <c r="Z750" s="340" t="n"/>
      <c r="AA750" s="340" t="n"/>
      <c r="AB750" s="340" t="n"/>
      <c r="AC750" s="340" t="n"/>
      <c r="AD750" s="340" t="n"/>
      <c r="AE750" s="340" t="n"/>
      <c r="AF750" s="340" t="n"/>
      <c r="AG750" s="340" t="n"/>
      <c r="AH750" s="340" t="n"/>
      <c r="AI750" s="340" t="n"/>
      <c r="AJ750" s="340" t="n"/>
      <c r="AK750" s="340" t="n"/>
      <c r="AL750" s="340" t="n"/>
    </row>
    <row r="751" ht="12.75" customHeight="1">
      <c r="K751" s="340" t="n"/>
      <c r="L751" s="340" t="n"/>
      <c r="M751" s="340" t="n"/>
      <c r="N751" s="340" t="n"/>
      <c r="O751" s="340" t="n"/>
      <c r="P751" s="340" t="n"/>
      <c r="Q751" s="340" t="n"/>
      <c r="R751" s="340" t="n"/>
      <c r="S751" s="340" t="n"/>
      <c r="T751" s="340" t="n"/>
      <c r="U751" s="340" t="n"/>
      <c r="V751" s="340" t="n"/>
      <c r="W751" s="340" t="n"/>
      <c r="X751" s="340" t="n"/>
      <c r="Y751" s="340" t="n"/>
      <c r="Z751" s="340" t="n"/>
      <c r="AA751" s="340" t="n"/>
      <c r="AB751" s="340" t="n"/>
      <c r="AC751" s="340" t="n"/>
      <c r="AD751" s="340" t="n"/>
      <c r="AE751" s="340" t="n"/>
      <c r="AF751" s="340" t="n"/>
      <c r="AG751" s="340" t="n"/>
      <c r="AH751" s="340" t="n"/>
      <c r="AI751" s="340" t="n"/>
      <c r="AJ751" s="340" t="n"/>
      <c r="AK751" s="340" t="n"/>
      <c r="AL751" s="340" t="n"/>
    </row>
    <row r="752" ht="12.75" customHeight="1">
      <c r="K752" s="340" t="n"/>
      <c r="L752" s="340" t="n"/>
      <c r="M752" s="340" t="n"/>
      <c r="N752" s="340" t="n"/>
      <c r="O752" s="340" t="n"/>
      <c r="P752" s="340" t="n"/>
      <c r="Q752" s="340" t="n"/>
      <c r="R752" s="340" t="n"/>
      <c r="S752" s="340" t="n"/>
      <c r="T752" s="340" t="n"/>
      <c r="U752" s="340" t="n"/>
      <c r="V752" s="340" t="n"/>
      <c r="W752" s="340" t="n"/>
      <c r="X752" s="340" t="n"/>
      <c r="Y752" s="340" t="n"/>
      <c r="Z752" s="340" t="n"/>
      <c r="AA752" s="340" t="n"/>
      <c r="AB752" s="340" t="n"/>
      <c r="AC752" s="340" t="n"/>
      <c r="AD752" s="340" t="n"/>
      <c r="AE752" s="340" t="n"/>
      <c r="AF752" s="340" t="n"/>
      <c r="AG752" s="340" t="n"/>
      <c r="AH752" s="340" t="n"/>
      <c r="AI752" s="340" t="n"/>
      <c r="AJ752" s="340" t="n"/>
      <c r="AK752" s="340" t="n"/>
      <c r="AL752" s="340" t="n"/>
    </row>
    <row r="753" ht="12.75" customHeight="1">
      <c r="K753" s="340" t="n"/>
      <c r="L753" s="340" t="n"/>
      <c r="M753" s="340" t="n"/>
      <c r="N753" s="340" t="n"/>
      <c r="O753" s="340" t="n"/>
      <c r="P753" s="340" t="n"/>
      <c r="Q753" s="340" t="n"/>
      <c r="R753" s="340" t="n"/>
      <c r="S753" s="340" t="n"/>
      <c r="T753" s="340" t="n"/>
      <c r="U753" s="340" t="n"/>
      <c r="V753" s="340" t="n"/>
      <c r="W753" s="340" t="n"/>
      <c r="X753" s="340" t="n"/>
      <c r="Y753" s="340" t="n"/>
      <c r="Z753" s="340" t="n"/>
      <c r="AA753" s="340" t="n"/>
      <c r="AB753" s="340" t="n"/>
      <c r="AC753" s="340" t="n"/>
      <c r="AD753" s="340" t="n"/>
      <c r="AE753" s="340" t="n"/>
      <c r="AF753" s="340" t="n"/>
      <c r="AG753" s="340" t="n"/>
      <c r="AH753" s="340" t="n"/>
      <c r="AI753" s="340" t="n"/>
      <c r="AJ753" s="340" t="n"/>
      <c r="AK753" s="340" t="n"/>
      <c r="AL753" s="340" t="n"/>
    </row>
    <row r="754" ht="12.75" customHeight="1">
      <c r="K754" s="340" t="n"/>
      <c r="L754" s="340" t="n"/>
      <c r="M754" s="340" t="n"/>
      <c r="N754" s="340" t="n"/>
      <c r="O754" s="340" t="n"/>
      <c r="P754" s="340" t="n"/>
      <c r="Q754" s="340" t="n"/>
      <c r="R754" s="340" t="n"/>
      <c r="S754" s="340" t="n"/>
      <c r="T754" s="340" t="n"/>
      <c r="U754" s="340" t="n"/>
      <c r="V754" s="340" t="n"/>
      <c r="W754" s="340" t="n"/>
      <c r="X754" s="340" t="n"/>
      <c r="Y754" s="340" t="n"/>
      <c r="Z754" s="340" t="n"/>
      <c r="AA754" s="340" t="n"/>
      <c r="AB754" s="340" t="n"/>
      <c r="AC754" s="340" t="n"/>
      <c r="AD754" s="340" t="n"/>
      <c r="AE754" s="340" t="n"/>
      <c r="AF754" s="340" t="n"/>
      <c r="AG754" s="340" t="n"/>
      <c r="AH754" s="340" t="n"/>
      <c r="AI754" s="340" t="n"/>
      <c r="AJ754" s="340" t="n"/>
      <c r="AK754" s="340" t="n"/>
      <c r="AL754" s="340" t="n"/>
    </row>
    <row r="755" ht="12.75" customHeight="1">
      <c r="K755" s="340" t="n"/>
      <c r="L755" s="340" t="n"/>
      <c r="M755" s="340" t="n"/>
      <c r="N755" s="340" t="n"/>
      <c r="O755" s="340" t="n"/>
      <c r="P755" s="340" t="n"/>
      <c r="Q755" s="340" t="n"/>
      <c r="R755" s="340" t="n"/>
      <c r="S755" s="340" t="n"/>
      <c r="T755" s="340" t="n"/>
      <c r="U755" s="340" t="n"/>
      <c r="V755" s="340" t="n"/>
      <c r="W755" s="340" t="n"/>
      <c r="X755" s="340" t="n"/>
      <c r="Y755" s="340" t="n"/>
      <c r="Z755" s="340" t="n"/>
      <c r="AA755" s="340" t="n"/>
      <c r="AB755" s="340" t="n"/>
      <c r="AC755" s="340" t="n"/>
      <c r="AD755" s="340" t="n"/>
      <c r="AE755" s="340" t="n"/>
      <c r="AF755" s="340" t="n"/>
      <c r="AG755" s="340" t="n"/>
      <c r="AH755" s="340" t="n"/>
      <c r="AI755" s="340" t="n"/>
      <c r="AJ755" s="340" t="n"/>
      <c r="AK755" s="340" t="n"/>
      <c r="AL755" s="340" t="n"/>
    </row>
    <row r="756" ht="12.75" customHeight="1">
      <c r="K756" s="340" t="n"/>
      <c r="L756" s="340" t="n"/>
      <c r="M756" s="340" t="n"/>
      <c r="N756" s="340" t="n"/>
      <c r="O756" s="340" t="n"/>
      <c r="P756" s="340" t="n"/>
      <c r="Q756" s="340" t="n"/>
      <c r="R756" s="340" t="n"/>
      <c r="S756" s="340" t="n"/>
      <c r="T756" s="340" t="n"/>
      <c r="U756" s="340" t="n"/>
      <c r="V756" s="340" t="n"/>
      <c r="W756" s="340" t="n"/>
      <c r="X756" s="340" t="n"/>
      <c r="Y756" s="340" t="n"/>
      <c r="Z756" s="340" t="n"/>
      <c r="AA756" s="340" t="n"/>
      <c r="AB756" s="340" t="n"/>
      <c r="AC756" s="340" t="n"/>
      <c r="AD756" s="340" t="n"/>
      <c r="AE756" s="340" t="n"/>
      <c r="AF756" s="340" t="n"/>
      <c r="AG756" s="340" t="n"/>
      <c r="AH756" s="340" t="n"/>
      <c r="AI756" s="340" t="n"/>
      <c r="AJ756" s="340" t="n"/>
      <c r="AK756" s="340" t="n"/>
      <c r="AL756" s="340" t="n"/>
    </row>
    <row r="757" ht="12.75" customHeight="1">
      <c r="K757" s="340" t="n"/>
      <c r="L757" s="340" t="n"/>
      <c r="M757" s="340" t="n"/>
      <c r="N757" s="340" t="n"/>
      <c r="O757" s="340" t="n"/>
      <c r="P757" s="340" t="n"/>
      <c r="Q757" s="340" t="n"/>
      <c r="R757" s="340" t="n"/>
      <c r="S757" s="340" t="n"/>
      <c r="T757" s="340" t="n"/>
      <c r="U757" s="340" t="n"/>
      <c r="V757" s="340" t="n"/>
      <c r="W757" s="340" t="n"/>
      <c r="X757" s="340" t="n"/>
      <c r="Y757" s="340" t="n"/>
      <c r="Z757" s="340" t="n"/>
      <c r="AA757" s="340" t="n"/>
      <c r="AB757" s="340" t="n"/>
      <c r="AC757" s="340" t="n"/>
      <c r="AD757" s="340" t="n"/>
      <c r="AE757" s="340" t="n"/>
      <c r="AF757" s="340" t="n"/>
      <c r="AG757" s="340" t="n"/>
      <c r="AH757" s="340" t="n"/>
      <c r="AI757" s="340" t="n"/>
      <c r="AJ757" s="340" t="n"/>
      <c r="AK757" s="340" t="n"/>
      <c r="AL757" s="340" t="n"/>
    </row>
    <row r="758" ht="12.75" customHeight="1">
      <c r="K758" s="340" t="n"/>
      <c r="L758" s="340" t="n"/>
      <c r="M758" s="340" t="n"/>
      <c r="N758" s="340" t="n"/>
      <c r="O758" s="340" t="n"/>
      <c r="P758" s="340" t="n"/>
      <c r="Q758" s="340" t="n"/>
      <c r="R758" s="340" t="n"/>
      <c r="S758" s="340" t="n"/>
      <c r="T758" s="340" t="n"/>
      <c r="U758" s="340" t="n"/>
      <c r="V758" s="340" t="n"/>
      <c r="W758" s="340" t="n"/>
      <c r="X758" s="340" t="n"/>
      <c r="Y758" s="340" t="n"/>
      <c r="Z758" s="340" t="n"/>
      <c r="AA758" s="340" t="n"/>
      <c r="AB758" s="340" t="n"/>
      <c r="AC758" s="340" t="n"/>
      <c r="AD758" s="340" t="n"/>
      <c r="AE758" s="340" t="n"/>
      <c r="AF758" s="340" t="n"/>
      <c r="AG758" s="340" t="n"/>
      <c r="AH758" s="340" t="n"/>
      <c r="AI758" s="340" t="n"/>
      <c r="AJ758" s="340" t="n"/>
      <c r="AK758" s="340" t="n"/>
      <c r="AL758" s="340" t="n"/>
    </row>
    <row r="759" ht="12.75" customHeight="1">
      <c r="K759" s="340" t="n"/>
      <c r="L759" s="340" t="n"/>
      <c r="M759" s="340" t="n"/>
      <c r="N759" s="340" t="n"/>
      <c r="O759" s="340" t="n"/>
      <c r="P759" s="340" t="n"/>
      <c r="Q759" s="340" t="n"/>
      <c r="R759" s="340" t="n"/>
      <c r="S759" s="340" t="n"/>
      <c r="T759" s="340" t="n"/>
      <c r="U759" s="340" t="n"/>
      <c r="V759" s="340" t="n"/>
      <c r="W759" s="340" t="n"/>
      <c r="X759" s="340" t="n"/>
      <c r="Y759" s="340" t="n"/>
      <c r="Z759" s="340" t="n"/>
      <c r="AA759" s="340" t="n"/>
      <c r="AB759" s="340" t="n"/>
      <c r="AC759" s="340" t="n"/>
      <c r="AD759" s="340" t="n"/>
      <c r="AE759" s="340" t="n"/>
      <c r="AF759" s="340" t="n"/>
      <c r="AG759" s="340" t="n"/>
      <c r="AH759" s="340" t="n"/>
      <c r="AI759" s="340" t="n"/>
      <c r="AJ759" s="340" t="n"/>
      <c r="AK759" s="340" t="n"/>
      <c r="AL759" s="340" t="n"/>
    </row>
    <row r="760" ht="12.75" customHeight="1">
      <c r="K760" s="340" t="n"/>
      <c r="L760" s="340" t="n"/>
      <c r="M760" s="340" t="n"/>
      <c r="N760" s="340" t="n"/>
      <c r="O760" s="340" t="n"/>
      <c r="P760" s="340" t="n"/>
      <c r="Q760" s="340" t="n"/>
      <c r="R760" s="340" t="n"/>
      <c r="S760" s="340" t="n"/>
      <c r="T760" s="340" t="n"/>
      <c r="U760" s="340" t="n"/>
      <c r="V760" s="340" t="n"/>
      <c r="W760" s="340" t="n"/>
      <c r="X760" s="340" t="n"/>
      <c r="Y760" s="340" t="n"/>
      <c r="Z760" s="340" t="n"/>
      <c r="AA760" s="340" t="n"/>
      <c r="AB760" s="340" t="n"/>
      <c r="AC760" s="340" t="n"/>
      <c r="AD760" s="340" t="n"/>
      <c r="AE760" s="340" t="n"/>
      <c r="AF760" s="340" t="n"/>
      <c r="AG760" s="340" t="n"/>
      <c r="AH760" s="340" t="n"/>
      <c r="AI760" s="340" t="n"/>
      <c r="AJ760" s="340" t="n"/>
      <c r="AK760" s="340" t="n"/>
      <c r="AL760" s="340" t="n"/>
    </row>
    <row r="761" ht="12.75" customHeight="1">
      <c r="K761" s="340" t="n"/>
      <c r="L761" s="340" t="n"/>
      <c r="M761" s="340" t="n"/>
      <c r="N761" s="340" t="n"/>
      <c r="O761" s="340" t="n"/>
      <c r="P761" s="340" t="n"/>
      <c r="Q761" s="340" t="n"/>
      <c r="R761" s="340" t="n"/>
      <c r="S761" s="340" t="n"/>
      <c r="T761" s="340" t="n"/>
      <c r="U761" s="340" t="n"/>
      <c r="V761" s="340" t="n"/>
      <c r="W761" s="340" t="n"/>
      <c r="X761" s="340" t="n"/>
      <c r="Y761" s="340" t="n"/>
      <c r="Z761" s="340" t="n"/>
      <c r="AA761" s="340" t="n"/>
      <c r="AB761" s="340" t="n"/>
      <c r="AC761" s="340" t="n"/>
      <c r="AD761" s="340" t="n"/>
      <c r="AE761" s="340" t="n"/>
      <c r="AF761" s="340" t="n"/>
      <c r="AG761" s="340" t="n"/>
      <c r="AH761" s="340" t="n"/>
      <c r="AI761" s="340" t="n"/>
      <c r="AJ761" s="340" t="n"/>
      <c r="AK761" s="340" t="n"/>
      <c r="AL761" s="340" t="n"/>
    </row>
    <row r="762" ht="12.75" customHeight="1">
      <c r="K762" s="340" t="n"/>
      <c r="L762" s="340" t="n"/>
      <c r="M762" s="340" t="n"/>
      <c r="N762" s="340" t="n"/>
      <c r="O762" s="340" t="n"/>
      <c r="P762" s="340" t="n"/>
      <c r="Q762" s="340" t="n"/>
      <c r="R762" s="340" t="n"/>
      <c r="S762" s="340" t="n"/>
      <c r="T762" s="340" t="n"/>
      <c r="U762" s="340" t="n"/>
      <c r="V762" s="340" t="n"/>
      <c r="W762" s="340" t="n"/>
      <c r="X762" s="340" t="n"/>
      <c r="Y762" s="340" t="n"/>
      <c r="Z762" s="340" t="n"/>
      <c r="AA762" s="340" t="n"/>
      <c r="AB762" s="340" t="n"/>
      <c r="AC762" s="340" t="n"/>
      <c r="AD762" s="340" t="n"/>
      <c r="AE762" s="340" t="n"/>
      <c r="AF762" s="340" t="n"/>
      <c r="AG762" s="340" t="n"/>
      <c r="AH762" s="340" t="n"/>
      <c r="AI762" s="340" t="n"/>
      <c r="AJ762" s="340" t="n"/>
      <c r="AK762" s="340" t="n"/>
      <c r="AL762" s="340" t="n"/>
    </row>
    <row r="763" ht="12.75" customHeight="1">
      <c r="K763" s="340" t="n"/>
      <c r="L763" s="340" t="n"/>
      <c r="M763" s="340" t="n"/>
      <c r="N763" s="340" t="n"/>
      <c r="O763" s="340" t="n"/>
      <c r="P763" s="340" t="n"/>
      <c r="Q763" s="340" t="n"/>
      <c r="R763" s="340" t="n"/>
      <c r="S763" s="340" t="n"/>
      <c r="T763" s="340" t="n"/>
      <c r="U763" s="340" t="n"/>
      <c r="V763" s="340" t="n"/>
      <c r="W763" s="340" t="n"/>
      <c r="X763" s="340" t="n"/>
      <c r="Y763" s="340" t="n"/>
      <c r="Z763" s="340" t="n"/>
      <c r="AA763" s="340" t="n"/>
      <c r="AB763" s="340" t="n"/>
      <c r="AC763" s="340" t="n"/>
      <c r="AD763" s="340" t="n"/>
      <c r="AE763" s="340" t="n"/>
      <c r="AF763" s="340" t="n"/>
      <c r="AG763" s="340" t="n"/>
      <c r="AH763" s="340" t="n"/>
      <c r="AI763" s="340" t="n"/>
      <c r="AJ763" s="340" t="n"/>
      <c r="AK763" s="340" t="n"/>
      <c r="AL763" s="340" t="n"/>
    </row>
    <row r="764" ht="12.75" customHeight="1">
      <c r="K764" s="340" t="n"/>
      <c r="L764" s="340" t="n"/>
      <c r="M764" s="340" t="n"/>
      <c r="N764" s="340" t="n"/>
      <c r="O764" s="340" t="n"/>
      <c r="P764" s="340" t="n"/>
      <c r="Q764" s="340" t="n"/>
      <c r="R764" s="340" t="n"/>
      <c r="S764" s="340" t="n"/>
      <c r="T764" s="340" t="n"/>
      <c r="U764" s="340" t="n"/>
      <c r="V764" s="340" t="n"/>
      <c r="W764" s="340" t="n"/>
      <c r="X764" s="340" t="n"/>
      <c r="Y764" s="340" t="n"/>
      <c r="Z764" s="340" t="n"/>
      <c r="AA764" s="340" t="n"/>
      <c r="AB764" s="340" t="n"/>
      <c r="AC764" s="340" t="n"/>
      <c r="AD764" s="340" t="n"/>
      <c r="AE764" s="340" t="n"/>
      <c r="AF764" s="340" t="n"/>
      <c r="AG764" s="340" t="n"/>
      <c r="AH764" s="340" t="n"/>
      <c r="AI764" s="340" t="n"/>
      <c r="AJ764" s="340" t="n"/>
      <c r="AK764" s="340" t="n"/>
      <c r="AL764" s="340" t="n"/>
    </row>
    <row r="765" ht="12.75" customHeight="1">
      <c r="K765" s="340" t="n"/>
      <c r="L765" s="340" t="n"/>
      <c r="M765" s="340" t="n"/>
      <c r="N765" s="340" t="n"/>
      <c r="O765" s="340" t="n"/>
      <c r="P765" s="340" t="n"/>
      <c r="Q765" s="340" t="n"/>
      <c r="R765" s="340" t="n"/>
      <c r="S765" s="340" t="n"/>
      <c r="T765" s="340" t="n"/>
      <c r="U765" s="340" t="n"/>
      <c r="V765" s="340" t="n"/>
      <c r="W765" s="340" t="n"/>
      <c r="X765" s="340" t="n"/>
      <c r="Y765" s="340" t="n"/>
      <c r="Z765" s="340" t="n"/>
      <c r="AA765" s="340" t="n"/>
      <c r="AB765" s="340" t="n"/>
      <c r="AC765" s="340" t="n"/>
      <c r="AD765" s="340" t="n"/>
      <c r="AE765" s="340" t="n"/>
      <c r="AF765" s="340" t="n"/>
      <c r="AG765" s="340" t="n"/>
      <c r="AH765" s="340" t="n"/>
      <c r="AI765" s="340" t="n"/>
      <c r="AJ765" s="340" t="n"/>
      <c r="AK765" s="340" t="n"/>
      <c r="AL765" s="340" t="n"/>
    </row>
    <row r="766" ht="12.75" customHeight="1">
      <c r="K766" s="340" t="n"/>
      <c r="L766" s="340" t="n"/>
      <c r="M766" s="340" t="n"/>
      <c r="N766" s="340" t="n"/>
      <c r="O766" s="340" t="n"/>
      <c r="P766" s="340" t="n"/>
      <c r="Q766" s="340" t="n"/>
      <c r="R766" s="340" t="n"/>
      <c r="S766" s="340" t="n"/>
      <c r="T766" s="340" t="n"/>
      <c r="U766" s="340" t="n"/>
      <c r="V766" s="340" t="n"/>
      <c r="W766" s="340" t="n"/>
      <c r="X766" s="340" t="n"/>
      <c r="Y766" s="340" t="n"/>
      <c r="Z766" s="340" t="n"/>
      <c r="AA766" s="340" t="n"/>
      <c r="AB766" s="340" t="n"/>
      <c r="AC766" s="340" t="n"/>
      <c r="AD766" s="340" t="n"/>
      <c r="AE766" s="340" t="n"/>
      <c r="AF766" s="340" t="n"/>
      <c r="AG766" s="340" t="n"/>
      <c r="AH766" s="340" t="n"/>
      <c r="AI766" s="340" t="n"/>
      <c r="AJ766" s="340" t="n"/>
      <c r="AK766" s="340" t="n"/>
      <c r="AL766" s="340" t="n"/>
    </row>
    <row r="767" ht="12.75" customHeight="1">
      <c r="K767" s="340" t="n"/>
      <c r="L767" s="340" t="n"/>
      <c r="M767" s="340" t="n"/>
      <c r="N767" s="340" t="n"/>
      <c r="O767" s="340" t="n"/>
      <c r="P767" s="340" t="n"/>
      <c r="Q767" s="340" t="n"/>
      <c r="R767" s="340" t="n"/>
      <c r="S767" s="340" t="n"/>
      <c r="T767" s="340" t="n"/>
      <c r="U767" s="340" t="n"/>
      <c r="V767" s="340" t="n"/>
      <c r="W767" s="340" t="n"/>
      <c r="X767" s="340" t="n"/>
      <c r="Y767" s="340" t="n"/>
      <c r="Z767" s="340" t="n"/>
      <c r="AA767" s="340" t="n"/>
      <c r="AB767" s="340" t="n"/>
      <c r="AC767" s="340" t="n"/>
      <c r="AD767" s="340" t="n"/>
      <c r="AE767" s="340" t="n"/>
      <c r="AF767" s="340" t="n"/>
      <c r="AG767" s="340" t="n"/>
      <c r="AH767" s="340" t="n"/>
      <c r="AI767" s="340" t="n"/>
      <c r="AJ767" s="340" t="n"/>
      <c r="AK767" s="340" t="n"/>
      <c r="AL767" s="340" t="n"/>
    </row>
    <row r="768" ht="12.75" customHeight="1">
      <c r="K768" s="340" t="n"/>
      <c r="L768" s="340" t="n"/>
      <c r="M768" s="340" t="n"/>
      <c r="N768" s="340" t="n"/>
      <c r="O768" s="340" t="n"/>
      <c r="P768" s="340" t="n"/>
      <c r="Q768" s="340" t="n"/>
      <c r="R768" s="340" t="n"/>
      <c r="S768" s="340" t="n"/>
      <c r="T768" s="340" t="n"/>
      <c r="U768" s="340" t="n"/>
      <c r="V768" s="340" t="n"/>
      <c r="W768" s="340" t="n"/>
      <c r="X768" s="340" t="n"/>
      <c r="Y768" s="340" t="n"/>
      <c r="Z768" s="340" t="n"/>
      <c r="AA768" s="340" t="n"/>
      <c r="AB768" s="340" t="n"/>
      <c r="AC768" s="340" t="n"/>
      <c r="AD768" s="340" t="n"/>
      <c r="AE768" s="340" t="n"/>
      <c r="AF768" s="340" t="n"/>
      <c r="AG768" s="340" t="n"/>
      <c r="AH768" s="340" t="n"/>
      <c r="AI768" s="340" t="n"/>
      <c r="AJ768" s="340" t="n"/>
      <c r="AK768" s="340" t="n"/>
      <c r="AL768" s="340" t="n"/>
    </row>
    <row r="769" ht="12.75" customHeight="1">
      <c r="K769" s="340" t="n"/>
      <c r="L769" s="340" t="n"/>
      <c r="M769" s="340" t="n"/>
      <c r="N769" s="340" t="n"/>
      <c r="O769" s="340" t="n"/>
      <c r="P769" s="340" t="n"/>
      <c r="Q769" s="340" t="n"/>
      <c r="R769" s="340" t="n"/>
      <c r="S769" s="340" t="n"/>
      <c r="T769" s="340" t="n"/>
      <c r="U769" s="340" t="n"/>
      <c r="V769" s="340" t="n"/>
      <c r="W769" s="340" t="n"/>
      <c r="X769" s="340" t="n"/>
      <c r="Y769" s="340" t="n"/>
      <c r="Z769" s="340" t="n"/>
      <c r="AA769" s="340" t="n"/>
      <c r="AB769" s="340" t="n"/>
      <c r="AC769" s="340" t="n"/>
      <c r="AD769" s="340" t="n"/>
      <c r="AE769" s="340" t="n"/>
      <c r="AF769" s="340" t="n"/>
      <c r="AG769" s="340" t="n"/>
      <c r="AH769" s="340" t="n"/>
      <c r="AI769" s="340" t="n"/>
      <c r="AJ769" s="340" t="n"/>
      <c r="AK769" s="340" t="n"/>
      <c r="AL769" s="340" t="n"/>
    </row>
    <row r="770" ht="12.75" customHeight="1">
      <c r="K770" s="340" t="n"/>
      <c r="L770" s="340" t="n"/>
      <c r="M770" s="340" t="n"/>
      <c r="N770" s="340" t="n"/>
      <c r="O770" s="340" t="n"/>
      <c r="P770" s="340" t="n"/>
      <c r="Q770" s="340" t="n"/>
      <c r="R770" s="340" t="n"/>
      <c r="S770" s="340" t="n"/>
      <c r="T770" s="340" t="n"/>
      <c r="U770" s="340" t="n"/>
      <c r="V770" s="340" t="n"/>
      <c r="W770" s="340" t="n"/>
      <c r="X770" s="340" t="n"/>
      <c r="Y770" s="340" t="n"/>
      <c r="Z770" s="340" t="n"/>
      <c r="AA770" s="340" t="n"/>
      <c r="AB770" s="340" t="n"/>
      <c r="AC770" s="340" t="n"/>
      <c r="AD770" s="340" t="n"/>
      <c r="AE770" s="340" t="n"/>
      <c r="AF770" s="340" t="n"/>
      <c r="AG770" s="340" t="n"/>
      <c r="AH770" s="340" t="n"/>
      <c r="AI770" s="340" t="n"/>
      <c r="AJ770" s="340" t="n"/>
      <c r="AK770" s="340" t="n"/>
      <c r="AL770" s="340" t="n"/>
    </row>
    <row r="771" ht="12.75" customHeight="1">
      <c r="K771" s="340" t="n"/>
      <c r="L771" s="340" t="n"/>
      <c r="M771" s="340" t="n"/>
      <c r="N771" s="340" t="n"/>
      <c r="O771" s="340" t="n"/>
      <c r="P771" s="340" t="n"/>
      <c r="Q771" s="340" t="n"/>
      <c r="R771" s="340" t="n"/>
      <c r="S771" s="340" t="n"/>
      <c r="T771" s="340" t="n"/>
      <c r="U771" s="340" t="n"/>
      <c r="V771" s="340" t="n"/>
      <c r="W771" s="340" t="n"/>
      <c r="X771" s="340" t="n"/>
      <c r="Y771" s="340" t="n"/>
      <c r="Z771" s="340" t="n"/>
      <c r="AA771" s="340" t="n"/>
      <c r="AB771" s="340" t="n"/>
      <c r="AC771" s="340" t="n"/>
      <c r="AD771" s="340" t="n"/>
      <c r="AE771" s="340" t="n"/>
      <c r="AF771" s="340" t="n"/>
      <c r="AG771" s="340" t="n"/>
      <c r="AH771" s="340" t="n"/>
      <c r="AI771" s="340" t="n"/>
      <c r="AJ771" s="340" t="n"/>
      <c r="AK771" s="340" t="n"/>
      <c r="AL771" s="340" t="n"/>
    </row>
    <row r="772" ht="12.75" customHeight="1">
      <c r="K772" s="340" t="n"/>
      <c r="L772" s="340" t="n"/>
      <c r="M772" s="340" t="n"/>
      <c r="N772" s="340" t="n"/>
      <c r="O772" s="340" t="n"/>
      <c r="P772" s="340" t="n"/>
      <c r="Q772" s="340" t="n"/>
      <c r="R772" s="340" t="n"/>
      <c r="S772" s="340" t="n"/>
      <c r="T772" s="340" t="n"/>
      <c r="U772" s="340" t="n"/>
      <c r="V772" s="340" t="n"/>
      <c r="W772" s="340" t="n"/>
      <c r="X772" s="340" t="n"/>
      <c r="Y772" s="340" t="n"/>
      <c r="Z772" s="340" t="n"/>
      <c r="AA772" s="340" t="n"/>
      <c r="AB772" s="340" t="n"/>
      <c r="AC772" s="340" t="n"/>
      <c r="AD772" s="340" t="n"/>
      <c r="AE772" s="340" t="n"/>
      <c r="AF772" s="340" t="n"/>
      <c r="AG772" s="340" t="n"/>
      <c r="AH772" s="340" t="n"/>
      <c r="AI772" s="340" t="n"/>
      <c r="AJ772" s="340" t="n"/>
      <c r="AK772" s="340" t="n"/>
      <c r="AL772" s="340" t="n"/>
    </row>
    <row r="773" ht="12.75" customHeight="1">
      <c r="K773" s="340" t="n"/>
      <c r="L773" s="340" t="n"/>
      <c r="M773" s="340" t="n"/>
      <c r="N773" s="340" t="n"/>
      <c r="O773" s="340" t="n"/>
      <c r="P773" s="340" t="n"/>
      <c r="Q773" s="340" t="n"/>
      <c r="R773" s="340" t="n"/>
      <c r="S773" s="340" t="n"/>
      <c r="T773" s="340" t="n"/>
      <c r="U773" s="340" t="n"/>
      <c r="V773" s="340" t="n"/>
      <c r="W773" s="340" t="n"/>
      <c r="X773" s="340" t="n"/>
      <c r="Y773" s="340" t="n"/>
      <c r="Z773" s="340" t="n"/>
      <c r="AA773" s="340" t="n"/>
      <c r="AB773" s="340" t="n"/>
      <c r="AC773" s="340" t="n"/>
      <c r="AD773" s="340" t="n"/>
      <c r="AE773" s="340" t="n"/>
      <c r="AF773" s="340" t="n"/>
      <c r="AG773" s="340" t="n"/>
      <c r="AH773" s="340" t="n"/>
      <c r="AI773" s="340" t="n"/>
      <c r="AJ773" s="340" t="n"/>
      <c r="AK773" s="340" t="n"/>
      <c r="AL773" s="340" t="n"/>
    </row>
    <row r="774" ht="12.75" customHeight="1">
      <c r="K774" s="340" t="n"/>
      <c r="L774" s="340" t="n"/>
      <c r="M774" s="340" t="n"/>
      <c r="N774" s="340" t="n"/>
      <c r="O774" s="340" t="n"/>
      <c r="P774" s="340" t="n"/>
      <c r="Q774" s="340" t="n"/>
      <c r="R774" s="340" t="n"/>
      <c r="S774" s="340" t="n"/>
      <c r="T774" s="340" t="n"/>
      <c r="U774" s="340" t="n"/>
      <c r="V774" s="340" t="n"/>
      <c r="W774" s="340" t="n"/>
      <c r="X774" s="340" t="n"/>
      <c r="Y774" s="340" t="n"/>
      <c r="Z774" s="340" t="n"/>
      <c r="AA774" s="340" t="n"/>
      <c r="AB774" s="340" t="n"/>
      <c r="AC774" s="340" t="n"/>
      <c r="AD774" s="340" t="n"/>
      <c r="AE774" s="340" t="n"/>
      <c r="AF774" s="340" t="n"/>
      <c r="AG774" s="340" t="n"/>
      <c r="AH774" s="340" t="n"/>
      <c r="AI774" s="340" t="n"/>
      <c r="AJ774" s="340" t="n"/>
      <c r="AK774" s="340" t="n"/>
      <c r="AL774" s="340" t="n"/>
    </row>
    <row r="775" ht="12.75" customHeight="1">
      <c r="K775" s="340" t="n"/>
      <c r="L775" s="340" t="n"/>
      <c r="M775" s="340" t="n"/>
      <c r="N775" s="340" t="n"/>
      <c r="O775" s="340" t="n"/>
      <c r="P775" s="340" t="n"/>
      <c r="Q775" s="340" t="n"/>
      <c r="R775" s="340" t="n"/>
      <c r="S775" s="340" t="n"/>
      <c r="T775" s="340" t="n"/>
      <c r="U775" s="340" t="n"/>
      <c r="V775" s="340" t="n"/>
      <c r="W775" s="340" t="n"/>
      <c r="X775" s="340" t="n"/>
      <c r="Y775" s="340" t="n"/>
      <c r="Z775" s="340" t="n"/>
      <c r="AA775" s="340" t="n"/>
      <c r="AB775" s="340" t="n"/>
      <c r="AC775" s="340" t="n"/>
      <c r="AD775" s="340" t="n"/>
      <c r="AE775" s="340" t="n"/>
      <c r="AF775" s="340" t="n"/>
      <c r="AG775" s="340" t="n"/>
      <c r="AH775" s="340" t="n"/>
      <c r="AI775" s="340" t="n"/>
      <c r="AJ775" s="340" t="n"/>
      <c r="AK775" s="340" t="n"/>
      <c r="AL775" s="340" t="n"/>
    </row>
    <row r="776" ht="12.75" customHeight="1">
      <c r="K776" s="340" t="n"/>
      <c r="L776" s="340" t="n"/>
      <c r="M776" s="340" t="n"/>
      <c r="N776" s="340" t="n"/>
      <c r="O776" s="340" t="n"/>
      <c r="P776" s="340" t="n"/>
      <c r="Q776" s="340" t="n"/>
      <c r="R776" s="340" t="n"/>
      <c r="S776" s="340" t="n"/>
      <c r="T776" s="340" t="n"/>
      <c r="U776" s="340" t="n"/>
      <c r="V776" s="340" t="n"/>
      <c r="W776" s="340" t="n"/>
      <c r="X776" s="340" t="n"/>
      <c r="Y776" s="340" t="n"/>
      <c r="Z776" s="340" t="n"/>
      <c r="AA776" s="340" t="n"/>
      <c r="AB776" s="340" t="n"/>
      <c r="AC776" s="340" t="n"/>
      <c r="AD776" s="340" t="n"/>
      <c r="AE776" s="340" t="n"/>
      <c r="AF776" s="340" t="n"/>
      <c r="AG776" s="340" t="n"/>
      <c r="AH776" s="340" t="n"/>
      <c r="AI776" s="340" t="n"/>
      <c r="AJ776" s="340" t="n"/>
      <c r="AK776" s="340" t="n"/>
      <c r="AL776" s="340" t="n"/>
    </row>
    <row r="777" ht="12.75" customHeight="1">
      <c r="K777" s="340" t="n"/>
      <c r="L777" s="340" t="n"/>
      <c r="M777" s="340" t="n"/>
      <c r="N777" s="340" t="n"/>
      <c r="O777" s="340" t="n"/>
      <c r="P777" s="340" t="n"/>
      <c r="Q777" s="340" t="n"/>
      <c r="R777" s="340" t="n"/>
      <c r="S777" s="340" t="n"/>
      <c r="T777" s="340" t="n"/>
      <c r="U777" s="340" t="n"/>
      <c r="V777" s="340" t="n"/>
      <c r="W777" s="340" t="n"/>
      <c r="X777" s="340" t="n"/>
      <c r="Y777" s="340" t="n"/>
      <c r="Z777" s="340" t="n"/>
      <c r="AA777" s="340" t="n"/>
      <c r="AB777" s="340" t="n"/>
      <c r="AC777" s="340" t="n"/>
      <c r="AD777" s="340" t="n"/>
      <c r="AE777" s="340" t="n"/>
      <c r="AF777" s="340" t="n"/>
      <c r="AG777" s="340" t="n"/>
      <c r="AH777" s="340" t="n"/>
      <c r="AI777" s="340" t="n"/>
      <c r="AJ777" s="340" t="n"/>
      <c r="AK777" s="340" t="n"/>
      <c r="AL777" s="340" t="n"/>
    </row>
    <row r="778" ht="12.75" customHeight="1">
      <c r="K778" s="340" t="n"/>
      <c r="L778" s="340" t="n"/>
      <c r="M778" s="340" t="n"/>
      <c r="N778" s="340" t="n"/>
      <c r="O778" s="340" t="n"/>
      <c r="P778" s="340" t="n"/>
      <c r="Q778" s="340" t="n"/>
      <c r="R778" s="340" t="n"/>
      <c r="S778" s="340" t="n"/>
      <c r="T778" s="340" t="n"/>
      <c r="U778" s="340" t="n"/>
      <c r="V778" s="340" t="n"/>
      <c r="W778" s="340" t="n"/>
      <c r="X778" s="340" t="n"/>
      <c r="Y778" s="340" t="n"/>
      <c r="Z778" s="340" t="n"/>
      <c r="AA778" s="340" t="n"/>
      <c r="AB778" s="340" t="n"/>
      <c r="AC778" s="340" t="n"/>
      <c r="AD778" s="340" t="n"/>
      <c r="AE778" s="340" t="n"/>
      <c r="AF778" s="340" t="n"/>
      <c r="AG778" s="340" t="n"/>
      <c r="AH778" s="340" t="n"/>
      <c r="AI778" s="340" t="n"/>
      <c r="AJ778" s="340" t="n"/>
      <c r="AK778" s="340" t="n"/>
      <c r="AL778" s="340" t="n"/>
    </row>
    <row r="779" ht="12.75" customHeight="1">
      <c r="K779" s="340" t="n"/>
      <c r="L779" s="340" t="n"/>
      <c r="M779" s="340" t="n"/>
      <c r="N779" s="340" t="n"/>
      <c r="O779" s="340" t="n"/>
      <c r="P779" s="340" t="n"/>
      <c r="Q779" s="340" t="n"/>
      <c r="R779" s="340" t="n"/>
      <c r="S779" s="340" t="n"/>
      <c r="T779" s="340" t="n"/>
      <c r="U779" s="340" t="n"/>
      <c r="V779" s="340" t="n"/>
      <c r="W779" s="340" t="n"/>
      <c r="X779" s="340" t="n"/>
      <c r="Y779" s="340" t="n"/>
      <c r="Z779" s="340" t="n"/>
      <c r="AA779" s="340" t="n"/>
      <c r="AB779" s="340" t="n"/>
      <c r="AC779" s="340" t="n"/>
      <c r="AD779" s="340" t="n"/>
      <c r="AE779" s="340" t="n"/>
      <c r="AF779" s="340" t="n"/>
      <c r="AG779" s="340" t="n"/>
      <c r="AH779" s="340" t="n"/>
      <c r="AI779" s="340" t="n"/>
      <c r="AJ779" s="340" t="n"/>
      <c r="AK779" s="340" t="n"/>
      <c r="AL779" s="340" t="n"/>
    </row>
    <row r="780" ht="12.75" customHeight="1">
      <c r="K780" s="340" t="n"/>
      <c r="L780" s="340" t="n"/>
      <c r="M780" s="340" t="n"/>
      <c r="N780" s="340" t="n"/>
      <c r="O780" s="340" t="n"/>
      <c r="P780" s="340" t="n"/>
      <c r="Q780" s="340" t="n"/>
      <c r="R780" s="340" t="n"/>
      <c r="S780" s="340" t="n"/>
      <c r="T780" s="340" t="n"/>
      <c r="U780" s="340" t="n"/>
      <c r="V780" s="340" t="n"/>
      <c r="W780" s="340" t="n"/>
      <c r="X780" s="340" t="n"/>
      <c r="Y780" s="340" t="n"/>
      <c r="Z780" s="340" t="n"/>
      <c r="AA780" s="340" t="n"/>
      <c r="AB780" s="340" t="n"/>
      <c r="AC780" s="340" t="n"/>
      <c r="AD780" s="340" t="n"/>
      <c r="AE780" s="340" t="n"/>
      <c r="AF780" s="340" t="n"/>
      <c r="AG780" s="340" t="n"/>
      <c r="AH780" s="340" t="n"/>
      <c r="AI780" s="340" t="n"/>
      <c r="AJ780" s="340" t="n"/>
      <c r="AK780" s="340" t="n"/>
      <c r="AL780" s="340" t="n"/>
    </row>
    <row r="781" ht="12.75" customHeight="1">
      <c r="K781" s="340" t="n"/>
      <c r="L781" s="340" t="n"/>
      <c r="M781" s="340" t="n"/>
      <c r="N781" s="340" t="n"/>
      <c r="O781" s="340" t="n"/>
      <c r="P781" s="340" t="n"/>
      <c r="Q781" s="340" t="n"/>
      <c r="R781" s="340" t="n"/>
      <c r="S781" s="340" t="n"/>
      <c r="T781" s="340" t="n"/>
      <c r="U781" s="340" t="n"/>
      <c r="V781" s="340" t="n"/>
      <c r="W781" s="340" t="n"/>
      <c r="X781" s="340" t="n"/>
      <c r="Y781" s="340" t="n"/>
      <c r="Z781" s="340" t="n"/>
      <c r="AA781" s="340" t="n"/>
      <c r="AB781" s="340" t="n"/>
      <c r="AC781" s="340" t="n"/>
      <c r="AD781" s="340" t="n"/>
      <c r="AE781" s="340" t="n"/>
      <c r="AF781" s="340" t="n"/>
      <c r="AG781" s="340" t="n"/>
      <c r="AH781" s="340" t="n"/>
      <c r="AI781" s="340" t="n"/>
      <c r="AJ781" s="340" t="n"/>
      <c r="AK781" s="340" t="n"/>
      <c r="AL781" s="340" t="n"/>
    </row>
    <row r="782" ht="12.75" customHeight="1">
      <c r="K782" s="340" t="n"/>
      <c r="L782" s="340" t="n"/>
      <c r="M782" s="340" t="n"/>
      <c r="N782" s="340" t="n"/>
      <c r="O782" s="340" t="n"/>
      <c r="P782" s="340" t="n"/>
      <c r="Q782" s="340" t="n"/>
      <c r="R782" s="340" t="n"/>
      <c r="S782" s="340" t="n"/>
      <c r="T782" s="340" t="n"/>
      <c r="U782" s="340" t="n"/>
      <c r="V782" s="340" t="n"/>
      <c r="W782" s="340" t="n"/>
      <c r="X782" s="340" t="n"/>
      <c r="Y782" s="340" t="n"/>
      <c r="Z782" s="340" t="n"/>
      <c r="AA782" s="340" t="n"/>
      <c r="AB782" s="340" t="n"/>
      <c r="AC782" s="340" t="n"/>
      <c r="AD782" s="340" t="n"/>
      <c r="AE782" s="340" t="n"/>
      <c r="AF782" s="340" t="n"/>
      <c r="AG782" s="340" t="n"/>
      <c r="AH782" s="340" t="n"/>
      <c r="AI782" s="340" t="n"/>
      <c r="AJ782" s="340" t="n"/>
      <c r="AK782" s="340" t="n"/>
      <c r="AL782" s="340" t="n"/>
    </row>
    <row r="783" ht="12.75" customHeight="1">
      <c r="K783" s="340" t="n"/>
      <c r="L783" s="340" t="n"/>
      <c r="M783" s="340" t="n"/>
      <c r="N783" s="340" t="n"/>
      <c r="O783" s="340" t="n"/>
      <c r="P783" s="340" t="n"/>
      <c r="Q783" s="340" t="n"/>
      <c r="R783" s="340" t="n"/>
      <c r="S783" s="340" t="n"/>
      <c r="T783" s="340" t="n"/>
      <c r="U783" s="340" t="n"/>
      <c r="V783" s="340" t="n"/>
      <c r="W783" s="340" t="n"/>
      <c r="X783" s="340" t="n"/>
      <c r="Y783" s="340" t="n"/>
      <c r="Z783" s="340" t="n"/>
      <c r="AA783" s="340" t="n"/>
      <c r="AB783" s="340" t="n"/>
      <c r="AC783" s="340" t="n"/>
      <c r="AD783" s="340" t="n"/>
      <c r="AE783" s="340" t="n"/>
      <c r="AF783" s="340" t="n"/>
      <c r="AG783" s="340" t="n"/>
      <c r="AH783" s="340" t="n"/>
      <c r="AI783" s="340" t="n"/>
      <c r="AJ783" s="340" t="n"/>
      <c r="AK783" s="340" t="n"/>
      <c r="AL783" s="340" t="n"/>
    </row>
    <row r="784" ht="12.75" customHeight="1">
      <c r="K784" s="340" t="n"/>
      <c r="L784" s="340" t="n"/>
      <c r="M784" s="340" t="n"/>
      <c r="N784" s="340" t="n"/>
      <c r="O784" s="340" t="n"/>
      <c r="P784" s="340" t="n"/>
      <c r="Q784" s="340" t="n"/>
      <c r="R784" s="340" t="n"/>
      <c r="S784" s="340" t="n"/>
      <c r="T784" s="340" t="n"/>
      <c r="U784" s="340" t="n"/>
      <c r="V784" s="340" t="n"/>
      <c r="W784" s="340" t="n"/>
      <c r="X784" s="340" t="n"/>
      <c r="Y784" s="340" t="n"/>
      <c r="Z784" s="340" t="n"/>
      <c r="AA784" s="340" t="n"/>
      <c r="AB784" s="340" t="n"/>
      <c r="AC784" s="340" t="n"/>
      <c r="AD784" s="340" t="n"/>
      <c r="AE784" s="340" t="n"/>
      <c r="AF784" s="340" t="n"/>
      <c r="AG784" s="340" t="n"/>
      <c r="AH784" s="340" t="n"/>
      <c r="AI784" s="340" t="n"/>
      <c r="AJ784" s="340" t="n"/>
      <c r="AK784" s="340" t="n"/>
      <c r="AL784" s="340" t="n"/>
    </row>
    <row r="785" ht="12.75" customHeight="1">
      <c r="K785" s="340" t="n"/>
      <c r="L785" s="340" t="n"/>
      <c r="M785" s="340" t="n"/>
      <c r="N785" s="340" t="n"/>
      <c r="O785" s="340" t="n"/>
      <c r="P785" s="340" t="n"/>
      <c r="Q785" s="340" t="n"/>
      <c r="R785" s="340" t="n"/>
      <c r="S785" s="340" t="n"/>
      <c r="T785" s="340" t="n"/>
      <c r="U785" s="340" t="n"/>
      <c r="V785" s="340" t="n"/>
      <c r="W785" s="340" t="n"/>
      <c r="X785" s="340" t="n"/>
      <c r="Y785" s="340" t="n"/>
      <c r="Z785" s="340" t="n"/>
      <c r="AA785" s="340" t="n"/>
      <c r="AB785" s="340" t="n"/>
      <c r="AC785" s="340" t="n"/>
      <c r="AD785" s="340" t="n"/>
      <c r="AE785" s="340" t="n"/>
      <c r="AF785" s="340" t="n"/>
      <c r="AG785" s="340" t="n"/>
      <c r="AH785" s="340" t="n"/>
      <c r="AI785" s="340" t="n"/>
      <c r="AJ785" s="340" t="n"/>
      <c r="AK785" s="340" t="n"/>
      <c r="AL785" s="340" t="n"/>
    </row>
    <row r="786" ht="12.75" customHeight="1">
      <c r="K786" s="340" t="n"/>
      <c r="L786" s="340" t="n"/>
      <c r="M786" s="340" t="n"/>
      <c r="N786" s="340" t="n"/>
      <c r="O786" s="340" t="n"/>
      <c r="P786" s="340" t="n"/>
      <c r="Q786" s="340" t="n"/>
      <c r="R786" s="340" t="n"/>
      <c r="S786" s="340" t="n"/>
      <c r="T786" s="340" t="n"/>
      <c r="U786" s="340" t="n"/>
      <c r="V786" s="340" t="n"/>
      <c r="W786" s="340" t="n"/>
      <c r="X786" s="340" t="n"/>
      <c r="Y786" s="340" t="n"/>
      <c r="Z786" s="340" t="n"/>
      <c r="AA786" s="340" t="n"/>
      <c r="AB786" s="340" t="n"/>
      <c r="AC786" s="340" t="n"/>
      <c r="AD786" s="340" t="n"/>
      <c r="AE786" s="340" t="n"/>
      <c r="AF786" s="340" t="n"/>
      <c r="AG786" s="340" t="n"/>
      <c r="AH786" s="340" t="n"/>
      <c r="AI786" s="340" t="n"/>
      <c r="AJ786" s="340" t="n"/>
      <c r="AK786" s="340" t="n"/>
      <c r="AL786" s="340" t="n"/>
    </row>
    <row r="787" ht="12.75" customHeight="1">
      <c r="K787" s="340" t="n"/>
      <c r="L787" s="340" t="n"/>
      <c r="M787" s="340" t="n"/>
      <c r="N787" s="340" t="n"/>
      <c r="O787" s="340" t="n"/>
      <c r="P787" s="340" t="n"/>
      <c r="Q787" s="340" t="n"/>
      <c r="R787" s="340" t="n"/>
      <c r="S787" s="340" t="n"/>
      <c r="T787" s="340" t="n"/>
      <c r="U787" s="340" t="n"/>
      <c r="V787" s="340" t="n"/>
      <c r="W787" s="340" t="n"/>
      <c r="X787" s="340" t="n"/>
      <c r="Y787" s="340" t="n"/>
      <c r="Z787" s="340" t="n"/>
      <c r="AA787" s="340" t="n"/>
      <c r="AB787" s="340" t="n"/>
      <c r="AC787" s="340" t="n"/>
      <c r="AD787" s="340" t="n"/>
      <c r="AE787" s="340" t="n"/>
      <c r="AF787" s="340" t="n"/>
      <c r="AG787" s="340" t="n"/>
      <c r="AH787" s="340" t="n"/>
      <c r="AI787" s="340" t="n"/>
      <c r="AJ787" s="340" t="n"/>
      <c r="AK787" s="340" t="n"/>
      <c r="AL787" s="340" t="n"/>
    </row>
    <row r="788" ht="12.75" customHeight="1">
      <c r="K788" s="340" t="n"/>
      <c r="L788" s="340" t="n"/>
      <c r="M788" s="340" t="n"/>
      <c r="N788" s="340" t="n"/>
      <c r="O788" s="340" t="n"/>
      <c r="P788" s="340" t="n"/>
      <c r="Q788" s="340" t="n"/>
      <c r="R788" s="340" t="n"/>
      <c r="S788" s="340" t="n"/>
      <c r="T788" s="340" t="n"/>
      <c r="U788" s="340" t="n"/>
      <c r="V788" s="340" t="n"/>
      <c r="W788" s="340" t="n"/>
      <c r="X788" s="340" t="n"/>
      <c r="Y788" s="340" t="n"/>
      <c r="Z788" s="340" t="n"/>
      <c r="AA788" s="340" t="n"/>
      <c r="AB788" s="340" t="n"/>
      <c r="AC788" s="340" t="n"/>
      <c r="AD788" s="340" t="n"/>
      <c r="AE788" s="340" t="n"/>
      <c r="AF788" s="340" t="n"/>
      <c r="AG788" s="340" t="n"/>
      <c r="AH788" s="340" t="n"/>
      <c r="AI788" s="340" t="n"/>
      <c r="AJ788" s="340" t="n"/>
      <c r="AK788" s="340" t="n"/>
      <c r="AL788" s="340" t="n"/>
    </row>
    <row r="789" ht="12.75" customHeight="1">
      <c r="K789" s="340" t="n"/>
      <c r="L789" s="340" t="n"/>
      <c r="M789" s="340" t="n"/>
      <c r="N789" s="340" t="n"/>
      <c r="O789" s="340" t="n"/>
      <c r="P789" s="340" t="n"/>
      <c r="Q789" s="340" t="n"/>
      <c r="R789" s="340" t="n"/>
      <c r="S789" s="340" t="n"/>
      <c r="T789" s="340" t="n"/>
      <c r="U789" s="340" t="n"/>
      <c r="V789" s="340" t="n"/>
      <c r="W789" s="340" t="n"/>
      <c r="X789" s="340" t="n"/>
      <c r="Y789" s="340" t="n"/>
      <c r="Z789" s="340" t="n"/>
      <c r="AA789" s="340" t="n"/>
      <c r="AB789" s="340" t="n"/>
      <c r="AC789" s="340" t="n"/>
      <c r="AD789" s="340" t="n"/>
      <c r="AE789" s="340" t="n"/>
      <c r="AF789" s="340" t="n"/>
      <c r="AG789" s="340" t="n"/>
      <c r="AH789" s="340" t="n"/>
      <c r="AI789" s="340" t="n"/>
      <c r="AJ789" s="340" t="n"/>
      <c r="AK789" s="340" t="n"/>
      <c r="AL789" s="340" t="n"/>
    </row>
    <row r="790" ht="12.75" customHeight="1">
      <c r="K790" s="340" t="n"/>
      <c r="L790" s="340" t="n"/>
      <c r="M790" s="340" t="n"/>
      <c r="N790" s="340" t="n"/>
      <c r="O790" s="340" t="n"/>
      <c r="P790" s="340" t="n"/>
      <c r="Q790" s="340" t="n"/>
      <c r="R790" s="340" t="n"/>
      <c r="S790" s="340" t="n"/>
      <c r="T790" s="340" t="n"/>
      <c r="U790" s="340" t="n"/>
      <c r="V790" s="340" t="n"/>
      <c r="W790" s="340" t="n"/>
      <c r="X790" s="340" t="n"/>
      <c r="Y790" s="340" t="n"/>
      <c r="Z790" s="340" t="n"/>
      <c r="AA790" s="340" t="n"/>
      <c r="AB790" s="340" t="n"/>
      <c r="AC790" s="340" t="n"/>
      <c r="AD790" s="340" t="n"/>
      <c r="AE790" s="340" t="n"/>
      <c r="AF790" s="340" t="n"/>
      <c r="AG790" s="340" t="n"/>
      <c r="AH790" s="340" t="n"/>
      <c r="AI790" s="340" t="n"/>
      <c r="AJ790" s="340" t="n"/>
      <c r="AK790" s="340" t="n"/>
      <c r="AL790" s="340" t="n"/>
    </row>
    <row r="791" ht="12.75" customHeight="1">
      <c r="K791" s="340" t="n"/>
      <c r="L791" s="340" t="n"/>
      <c r="M791" s="340" t="n"/>
      <c r="N791" s="340" t="n"/>
      <c r="O791" s="340" t="n"/>
      <c r="P791" s="340" t="n"/>
      <c r="Q791" s="340" t="n"/>
      <c r="R791" s="340" t="n"/>
      <c r="S791" s="340" t="n"/>
      <c r="T791" s="340" t="n"/>
      <c r="U791" s="340" t="n"/>
      <c r="V791" s="340" t="n"/>
      <c r="W791" s="340" t="n"/>
      <c r="X791" s="340" t="n"/>
      <c r="Y791" s="340" t="n"/>
      <c r="Z791" s="340" t="n"/>
      <c r="AA791" s="340" t="n"/>
      <c r="AB791" s="340" t="n"/>
      <c r="AC791" s="340" t="n"/>
      <c r="AD791" s="340" t="n"/>
      <c r="AE791" s="340" t="n"/>
      <c r="AF791" s="340" t="n"/>
      <c r="AG791" s="340" t="n"/>
      <c r="AH791" s="340" t="n"/>
      <c r="AI791" s="340" t="n"/>
      <c r="AJ791" s="340" t="n"/>
      <c r="AK791" s="340" t="n"/>
      <c r="AL791" s="340" t="n"/>
    </row>
    <row r="792" ht="12.75" customHeight="1">
      <c r="K792" s="340" t="n"/>
      <c r="L792" s="340" t="n"/>
      <c r="M792" s="340" t="n"/>
      <c r="N792" s="340" t="n"/>
      <c r="O792" s="340" t="n"/>
      <c r="P792" s="340" t="n"/>
      <c r="Q792" s="340" t="n"/>
      <c r="R792" s="340" t="n"/>
      <c r="S792" s="340" t="n"/>
      <c r="T792" s="340" t="n"/>
      <c r="U792" s="340" t="n"/>
      <c r="V792" s="340" t="n"/>
      <c r="W792" s="340" t="n"/>
      <c r="X792" s="340" t="n"/>
      <c r="Y792" s="340" t="n"/>
      <c r="Z792" s="340" t="n"/>
      <c r="AA792" s="340" t="n"/>
      <c r="AB792" s="340" t="n"/>
      <c r="AC792" s="340" t="n"/>
      <c r="AD792" s="340" t="n"/>
      <c r="AE792" s="340" t="n"/>
      <c r="AF792" s="340" t="n"/>
      <c r="AG792" s="340" t="n"/>
      <c r="AH792" s="340" t="n"/>
      <c r="AI792" s="340" t="n"/>
      <c r="AJ792" s="340" t="n"/>
      <c r="AK792" s="340" t="n"/>
      <c r="AL792" s="340" t="n"/>
    </row>
    <row r="793" ht="12.75" customHeight="1">
      <c r="K793" s="340" t="n"/>
      <c r="L793" s="340" t="n"/>
      <c r="M793" s="340" t="n"/>
      <c r="N793" s="340" t="n"/>
      <c r="O793" s="340" t="n"/>
      <c r="P793" s="340" t="n"/>
      <c r="Q793" s="340" t="n"/>
      <c r="R793" s="340" t="n"/>
      <c r="S793" s="340" t="n"/>
      <c r="T793" s="340" t="n"/>
      <c r="U793" s="340" t="n"/>
      <c r="V793" s="340" t="n"/>
      <c r="W793" s="340" t="n"/>
      <c r="X793" s="340" t="n"/>
      <c r="Y793" s="340" t="n"/>
      <c r="Z793" s="340" t="n"/>
      <c r="AA793" s="340" t="n"/>
      <c r="AB793" s="340" t="n"/>
      <c r="AC793" s="340" t="n"/>
      <c r="AD793" s="340" t="n"/>
      <c r="AE793" s="340" t="n"/>
      <c r="AF793" s="340" t="n"/>
      <c r="AG793" s="340" t="n"/>
      <c r="AH793" s="340" t="n"/>
      <c r="AI793" s="340" t="n"/>
      <c r="AJ793" s="340" t="n"/>
      <c r="AK793" s="340" t="n"/>
      <c r="AL793" s="340" t="n"/>
    </row>
    <row r="794" ht="12.75" customHeight="1">
      <c r="K794" s="340" t="n"/>
      <c r="L794" s="340" t="n"/>
      <c r="M794" s="340" t="n"/>
      <c r="N794" s="340" t="n"/>
      <c r="O794" s="340" t="n"/>
      <c r="P794" s="340" t="n"/>
      <c r="Q794" s="340" t="n"/>
      <c r="R794" s="340" t="n"/>
      <c r="S794" s="340" t="n"/>
      <c r="T794" s="340" t="n"/>
      <c r="U794" s="340" t="n"/>
      <c r="V794" s="340" t="n"/>
      <c r="W794" s="340" t="n"/>
      <c r="X794" s="340" t="n"/>
      <c r="Y794" s="340" t="n"/>
      <c r="Z794" s="340" t="n"/>
      <c r="AA794" s="340" t="n"/>
      <c r="AB794" s="340" t="n"/>
      <c r="AC794" s="340" t="n"/>
      <c r="AD794" s="340" t="n"/>
      <c r="AE794" s="340" t="n"/>
      <c r="AF794" s="340" t="n"/>
      <c r="AG794" s="340" t="n"/>
      <c r="AH794" s="340" t="n"/>
      <c r="AI794" s="340" t="n"/>
      <c r="AJ794" s="340" t="n"/>
      <c r="AK794" s="340" t="n"/>
      <c r="AL794" s="340" t="n"/>
    </row>
    <row r="795" ht="12.75" customHeight="1">
      <c r="K795" s="340" t="n"/>
      <c r="L795" s="340" t="n"/>
      <c r="M795" s="340" t="n"/>
      <c r="N795" s="340" t="n"/>
      <c r="O795" s="340" t="n"/>
      <c r="P795" s="340" t="n"/>
      <c r="Q795" s="340" t="n"/>
      <c r="R795" s="340" t="n"/>
      <c r="S795" s="340" t="n"/>
      <c r="T795" s="340" t="n"/>
      <c r="U795" s="340" t="n"/>
      <c r="V795" s="340" t="n"/>
      <c r="W795" s="340" t="n"/>
      <c r="X795" s="340" t="n"/>
      <c r="Y795" s="340" t="n"/>
      <c r="Z795" s="340" t="n"/>
      <c r="AA795" s="340" t="n"/>
      <c r="AB795" s="340" t="n"/>
      <c r="AC795" s="340" t="n"/>
      <c r="AD795" s="340" t="n"/>
      <c r="AE795" s="340" t="n"/>
      <c r="AF795" s="340" t="n"/>
      <c r="AG795" s="340" t="n"/>
      <c r="AH795" s="340" t="n"/>
      <c r="AI795" s="340" t="n"/>
      <c r="AJ795" s="340" t="n"/>
      <c r="AK795" s="340" t="n"/>
      <c r="AL795" s="340" t="n"/>
    </row>
    <row r="796" ht="12.75" customHeight="1">
      <c r="K796" s="340" t="n"/>
      <c r="L796" s="340" t="n"/>
      <c r="M796" s="340" t="n"/>
      <c r="N796" s="340" t="n"/>
      <c r="O796" s="340" t="n"/>
      <c r="P796" s="340" t="n"/>
      <c r="Q796" s="340" t="n"/>
      <c r="R796" s="340" t="n"/>
      <c r="S796" s="340" t="n"/>
      <c r="T796" s="340" t="n"/>
      <c r="U796" s="340" t="n"/>
      <c r="V796" s="340" t="n"/>
      <c r="W796" s="340" t="n"/>
      <c r="X796" s="340" t="n"/>
      <c r="Y796" s="340" t="n"/>
      <c r="Z796" s="340" t="n"/>
      <c r="AA796" s="340" t="n"/>
      <c r="AB796" s="340" t="n"/>
      <c r="AC796" s="340" t="n"/>
      <c r="AD796" s="340" t="n"/>
      <c r="AE796" s="340" t="n"/>
      <c r="AF796" s="340" t="n"/>
      <c r="AG796" s="340" t="n"/>
      <c r="AH796" s="340" t="n"/>
      <c r="AI796" s="340" t="n"/>
      <c r="AJ796" s="340" t="n"/>
      <c r="AK796" s="340" t="n"/>
      <c r="AL796" s="340" t="n"/>
    </row>
    <row r="797" ht="12.75" customHeight="1">
      <c r="K797" s="340" t="n"/>
      <c r="L797" s="340" t="n"/>
      <c r="M797" s="340" t="n"/>
      <c r="N797" s="340" t="n"/>
      <c r="O797" s="340" t="n"/>
      <c r="P797" s="340" t="n"/>
      <c r="Q797" s="340" t="n"/>
      <c r="R797" s="340" t="n"/>
      <c r="S797" s="340" t="n"/>
      <c r="T797" s="340" t="n"/>
      <c r="U797" s="340" t="n"/>
      <c r="V797" s="340" t="n"/>
      <c r="W797" s="340" t="n"/>
      <c r="X797" s="340" t="n"/>
      <c r="Y797" s="340" t="n"/>
      <c r="Z797" s="340" t="n"/>
      <c r="AA797" s="340" t="n"/>
      <c r="AB797" s="340" t="n"/>
      <c r="AC797" s="340" t="n"/>
      <c r="AD797" s="340" t="n"/>
      <c r="AE797" s="340" t="n"/>
      <c r="AF797" s="340" t="n"/>
      <c r="AG797" s="340" t="n"/>
      <c r="AH797" s="340" t="n"/>
      <c r="AI797" s="340" t="n"/>
      <c r="AJ797" s="340" t="n"/>
      <c r="AK797" s="340" t="n"/>
      <c r="AL797" s="340" t="n"/>
    </row>
    <row r="798" ht="12.75" customHeight="1">
      <c r="K798" s="340" t="n"/>
      <c r="L798" s="340" t="n"/>
      <c r="M798" s="340" t="n"/>
      <c r="N798" s="340" t="n"/>
      <c r="O798" s="340" t="n"/>
      <c r="P798" s="340" t="n"/>
      <c r="Q798" s="340" t="n"/>
      <c r="R798" s="340" t="n"/>
      <c r="S798" s="340" t="n"/>
      <c r="T798" s="340" t="n"/>
      <c r="U798" s="340" t="n"/>
      <c r="V798" s="340" t="n"/>
      <c r="W798" s="340" t="n"/>
      <c r="X798" s="340" t="n"/>
      <c r="Y798" s="340" t="n"/>
      <c r="Z798" s="340" t="n"/>
      <c r="AA798" s="340" t="n"/>
      <c r="AB798" s="340" t="n"/>
      <c r="AC798" s="340" t="n"/>
      <c r="AD798" s="340" t="n"/>
      <c r="AE798" s="340" t="n"/>
      <c r="AF798" s="340" t="n"/>
      <c r="AG798" s="340" t="n"/>
      <c r="AH798" s="340" t="n"/>
      <c r="AI798" s="340" t="n"/>
      <c r="AJ798" s="340" t="n"/>
      <c r="AK798" s="340" t="n"/>
      <c r="AL798" s="340" t="n"/>
    </row>
    <row r="799" ht="12.75" customHeight="1">
      <c r="K799" s="340" t="n"/>
      <c r="L799" s="340" t="n"/>
      <c r="M799" s="340" t="n"/>
      <c r="N799" s="340" t="n"/>
      <c r="O799" s="340" t="n"/>
      <c r="P799" s="340" t="n"/>
      <c r="Q799" s="340" t="n"/>
      <c r="R799" s="340" t="n"/>
      <c r="S799" s="340" t="n"/>
      <c r="T799" s="340" t="n"/>
      <c r="U799" s="340" t="n"/>
      <c r="V799" s="340" t="n"/>
      <c r="W799" s="340" t="n"/>
      <c r="X799" s="340" t="n"/>
      <c r="Y799" s="340" t="n"/>
      <c r="Z799" s="340" t="n"/>
      <c r="AA799" s="340" t="n"/>
      <c r="AB799" s="340" t="n"/>
      <c r="AC799" s="340" t="n"/>
      <c r="AD799" s="340" t="n"/>
      <c r="AE799" s="340" t="n"/>
      <c r="AF799" s="340" t="n"/>
      <c r="AG799" s="340" t="n"/>
      <c r="AH799" s="340" t="n"/>
      <c r="AI799" s="340" t="n"/>
      <c r="AJ799" s="340" t="n"/>
      <c r="AK799" s="340" t="n"/>
      <c r="AL799" s="340" t="n"/>
    </row>
    <row r="800" ht="12.75" customHeight="1">
      <c r="K800" s="340" t="n"/>
      <c r="L800" s="340" t="n"/>
      <c r="M800" s="340" t="n"/>
      <c r="N800" s="340" t="n"/>
      <c r="O800" s="340" t="n"/>
      <c r="P800" s="340" t="n"/>
      <c r="Q800" s="340" t="n"/>
      <c r="R800" s="340" t="n"/>
      <c r="S800" s="340" t="n"/>
      <c r="T800" s="340" t="n"/>
      <c r="U800" s="340" t="n"/>
      <c r="V800" s="340" t="n"/>
      <c r="W800" s="340" t="n"/>
      <c r="X800" s="340" t="n"/>
      <c r="Y800" s="340" t="n"/>
      <c r="Z800" s="340" t="n"/>
      <c r="AA800" s="340" t="n"/>
      <c r="AB800" s="340" t="n"/>
      <c r="AC800" s="340" t="n"/>
      <c r="AD800" s="340" t="n"/>
      <c r="AE800" s="340" t="n"/>
      <c r="AF800" s="340" t="n"/>
      <c r="AG800" s="340" t="n"/>
      <c r="AH800" s="340" t="n"/>
      <c r="AI800" s="340" t="n"/>
      <c r="AJ800" s="340" t="n"/>
      <c r="AK800" s="340" t="n"/>
      <c r="AL800" s="340" t="n"/>
    </row>
    <row r="801" ht="12.75" customHeight="1">
      <c r="K801" s="340" t="n"/>
      <c r="L801" s="340" t="n"/>
      <c r="M801" s="340" t="n"/>
      <c r="N801" s="340" t="n"/>
      <c r="O801" s="340" t="n"/>
      <c r="P801" s="340" t="n"/>
      <c r="Q801" s="340" t="n"/>
      <c r="R801" s="340" t="n"/>
      <c r="S801" s="340" t="n"/>
      <c r="T801" s="340" t="n"/>
      <c r="U801" s="340" t="n"/>
      <c r="V801" s="340" t="n"/>
      <c r="W801" s="340" t="n"/>
      <c r="X801" s="340" t="n"/>
      <c r="Y801" s="340" t="n"/>
      <c r="Z801" s="340" t="n"/>
      <c r="AA801" s="340" t="n"/>
      <c r="AB801" s="340" t="n"/>
      <c r="AC801" s="340" t="n"/>
      <c r="AD801" s="340" t="n"/>
      <c r="AE801" s="340" t="n"/>
      <c r="AF801" s="340" t="n"/>
      <c r="AG801" s="340" t="n"/>
      <c r="AH801" s="340" t="n"/>
      <c r="AI801" s="340" t="n"/>
      <c r="AJ801" s="340" t="n"/>
      <c r="AK801" s="340" t="n"/>
      <c r="AL801" s="340" t="n"/>
    </row>
    <row r="802" ht="12.75" customHeight="1">
      <c r="K802" s="340" t="n"/>
      <c r="L802" s="340" t="n"/>
      <c r="M802" s="340" t="n"/>
      <c r="N802" s="340" t="n"/>
      <c r="O802" s="340" t="n"/>
      <c r="P802" s="340" t="n"/>
      <c r="Q802" s="340" t="n"/>
      <c r="R802" s="340" t="n"/>
      <c r="S802" s="340" t="n"/>
      <c r="T802" s="340" t="n"/>
      <c r="U802" s="340" t="n"/>
      <c r="V802" s="340" t="n"/>
      <c r="W802" s="340" t="n"/>
      <c r="X802" s="340" t="n"/>
      <c r="Y802" s="340" t="n"/>
      <c r="Z802" s="340" t="n"/>
      <c r="AA802" s="340" t="n"/>
      <c r="AB802" s="340" t="n"/>
      <c r="AC802" s="340" t="n"/>
      <c r="AD802" s="340" t="n"/>
      <c r="AE802" s="340" t="n"/>
      <c r="AF802" s="340" t="n"/>
      <c r="AG802" s="340" t="n"/>
      <c r="AH802" s="340" t="n"/>
      <c r="AI802" s="340" t="n"/>
      <c r="AJ802" s="340" t="n"/>
      <c r="AK802" s="340" t="n"/>
      <c r="AL802" s="340" t="n"/>
    </row>
    <row r="803" ht="12.75" customHeight="1">
      <c r="K803" s="340" t="n"/>
      <c r="L803" s="340" t="n"/>
      <c r="M803" s="340" t="n"/>
      <c r="N803" s="340" t="n"/>
      <c r="O803" s="340" t="n"/>
      <c r="P803" s="340" t="n"/>
      <c r="Q803" s="340" t="n"/>
      <c r="R803" s="340" t="n"/>
      <c r="S803" s="340" t="n"/>
      <c r="T803" s="340" t="n"/>
      <c r="U803" s="340" t="n"/>
      <c r="V803" s="340" t="n"/>
      <c r="W803" s="340" t="n"/>
      <c r="X803" s="340" t="n"/>
      <c r="Y803" s="340" t="n"/>
      <c r="Z803" s="340" t="n"/>
      <c r="AA803" s="340" t="n"/>
      <c r="AB803" s="340" t="n"/>
      <c r="AC803" s="340" t="n"/>
      <c r="AD803" s="340" t="n"/>
      <c r="AE803" s="340" t="n"/>
      <c r="AF803" s="340" t="n"/>
      <c r="AG803" s="340" t="n"/>
      <c r="AH803" s="340" t="n"/>
      <c r="AI803" s="340" t="n"/>
      <c r="AJ803" s="340" t="n"/>
      <c r="AK803" s="340" t="n"/>
      <c r="AL803" s="340" t="n"/>
    </row>
    <row r="804" ht="12.75" customHeight="1">
      <c r="K804" s="340" t="n"/>
      <c r="L804" s="340" t="n"/>
      <c r="M804" s="340" t="n"/>
      <c r="N804" s="340" t="n"/>
      <c r="O804" s="340" t="n"/>
      <c r="P804" s="340" t="n"/>
      <c r="Q804" s="340" t="n"/>
      <c r="R804" s="340" t="n"/>
      <c r="S804" s="340" t="n"/>
      <c r="T804" s="340" t="n"/>
      <c r="U804" s="340" t="n"/>
      <c r="V804" s="340" t="n"/>
      <c r="W804" s="340" t="n"/>
      <c r="X804" s="340" t="n"/>
      <c r="Y804" s="340" t="n"/>
      <c r="Z804" s="340" t="n"/>
      <c r="AA804" s="340" t="n"/>
      <c r="AB804" s="340" t="n"/>
      <c r="AC804" s="340" t="n"/>
      <c r="AD804" s="340" t="n"/>
      <c r="AE804" s="340" t="n"/>
      <c r="AF804" s="340" t="n"/>
      <c r="AG804" s="340" t="n"/>
      <c r="AH804" s="340" t="n"/>
      <c r="AI804" s="340" t="n"/>
      <c r="AJ804" s="340" t="n"/>
      <c r="AK804" s="340" t="n"/>
      <c r="AL804" s="340" t="n"/>
    </row>
    <row r="805" ht="12.75" customHeight="1">
      <c r="K805" s="340" t="n"/>
      <c r="L805" s="340" t="n"/>
      <c r="M805" s="340" t="n"/>
      <c r="N805" s="340" t="n"/>
      <c r="O805" s="340" t="n"/>
      <c r="P805" s="340" t="n"/>
      <c r="Q805" s="340" t="n"/>
      <c r="R805" s="340" t="n"/>
      <c r="S805" s="340" t="n"/>
      <c r="T805" s="340" t="n"/>
      <c r="U805" s="340" t="n"/>
      <c r="V805" s="340" t="n"/>
      <c r="W805" s="340" t="n"/>
      <c r="X805" s="340" t="n"/>
      <c r="Y805" s="340" t="n"/>
      <c r="Z805" s="340" t="n"/>
      <c r="AA805" s="340" t="n"/>
      <c r="AB805" s="340" t="n"/>
      <c r="AC805" s="340" t="n"/>
      <c r="AD805" s="340" t="n"/>
      <c r="AE805" s="340" t="n"/>
      <c r="AF805" s="340" t="n"/>
      <c r="AG805" s="340" t="n"/>
      <c r="AH805" s="340" t="n"/>
      <c r="AI805" s="340" t="n"/>
      <c r="AJ805" s="340" t="n"/>
      <c r="AK805" s="340" t="n"/>
      <c r="AL805" s="340" t="n"/>
    </row>
    <row r="806" ht="12.75" customHeight="1">
      <c r="K806" s="340" t="n"/>
      <c r="L806" s="340" t="n"/>
      <c r="M806" s="340" t="n"/>
      <c r="N806" s="340" t="n"/>
      <c r="O806" s="340" t="n"/>
      <c r="P806" s="340" t="n"/>
      <c r="Q806" s="340" t="n"/>
      <c r="R806" s="340" t="n"/>
      <c r="S806" s="340" t="n"/>
      <c r="T806" s="340" t="n"/>
      <c r="U806" s="340" t="n"/>
      <c r="V806" s="340" t="n"/>
      <c r="W806" s="340" t="n"/>
      <c r="X806" s="340" t="n"/>
      <c r="Y806" s="340" t="n"/>
      <c r="Z806" s="340" t="n"/>
      <c r="AA806" s="340" t="n"/>
      <c r="AB806" s="340" t="n"/>
      <c r="AC806" s="340" t="n"/>
      <c r="AD806" s="340" t="n"/>
      <c r="AE806" s="340" t="n"/>
      <c r="AF806" s="340" t="n"/>
      <c r="AG806" s="340" t="n"/>
      <c r="AH806" s="340" t="n"/>
      <c r="AI806" s="340" t="n"/>
      <c r="AJ806" s="340" t="n"/>
      <c r="AK806" s="340" t="n"/>
      <c r="AL806" s="340" t="n"/>
    </row>
    <row r="807" ht="12.75" customHeight="1">
      <c r="K807" s="340" t="n"/>
      <c r="L807" s="340" t="n"/>
      <c r="M807" s="340" t="n"/>
      <c r="N807" s="340" t="n"/>
      <c r="O807" s="340" t="n"/>
      <c r="P807" s="340" t="n"/>
      <c r="Q807" s="340" t="n"/>
      <c r="R807" s="340" t="n"/>
      <c r="S807" s="340" t="n"/>
      <c r="T807" s="340" t="n"/>
      <c r="U807" s="340" t="n"/>
      <c r="V807" s="340" t="n"/>
      <c r="W807" s="340" t="n"/>
      <c r="X807" s="340" t="n"/>
      <c r="Y807" s="340" t="n"/>
      <c r="Z807" s="340" t="n"/>
      <c r="AA807" s="340" t="n"/>
      <c r="AB807" s="340" t="n"/>
      <c r="AC807" s="340" t="n"/>
      <c r="AD807" s="340" t="n"/>
      <c r="AE807" s="340" t="n"/>
      <c r="AF807" s="340" t="n"/>
      <c r="AG807" s="340" t="n"/>
      <c r="AH807" s="340" t="n"/>
      <c r="AI807" s="340" t="n"/>
      <c r="AJ807" s="340" t="n"/>
      <c r="AK807" s="340" t="n"/>
      <c r="AL807" s="340" t="n"/>
    </row>
    <row r="808" ht="12.75" customHeight="1">
      <c r="K808" s="340" t="n"/>
      <c r="L808" s="340" t="n"/>
      <c r="M808" s="340" t="n"/>
      <c r="N808" s="340" t="n"/>
      <c r="O808" s="340" t="n"/>
      <c r="P808" s="340" t="n"/>
      <c r="Q808" s="340" t="n"/>
      <c r="R808" s="340" t="n"/>
      <c r="S808" s="340" t="n"/>
      <c r="T808" s="340" t="n"/>
      <c r="U808" s="340" t="n"/>
      <c r="V808" s="340" t="n"/>
      <c r="W808" s="340" t="n"/>
      <c r="X808" s="340" t="n"/>
      <c r="Y808" s="340" t="n"/>
      <c r="Z808" s="340" t="n"/>
      <c r="AA808" s="340" t="n"/>
      <c r="AB808" s="340" t="n"/>
      <c r="AC808" s="340" t="n"/>
      <c r="AD808" s="340" t="n"/>
      <c r="AE808" s="340" t="n"/>
      <c r="AF808" s="340" t="n"/>
      <c r="AG808" s="340" t="n"/>
      <c r="AH808" s="340" t="n"/>
      <c r="AI808" s="340" t="n"/>
      <c r="AJ808" s="340" t="n"/>
      <c r="AK808" s="340" t="n"/>
      <c r="AL808" s="340" t="n"/>
    </row>
    <row r="809" ht="12.75" customHeight="1">
      <c r="K809" s="340" t="n"/>
      <c r="L809" s="340" t="n"/>
      <c r="M809" s="340" t="n"/>
      <c r="N809" s="340" t="n"/>
      <c r="O809" s="340" t="n"/>
      <c r="P809" s="340" t="n"/>
      <c r="Q809" s="340" t="n"/>
      <c r="R809" s="340" t="n"/>
      <c r="S809" s="340" t="n"/>
      <c r="T809" s="340" t="n"/>
      <c r="U809" s="340" t="n"/>
      <c r="V809" s="340" t="n"/>
      <c r="W809" s="340" t="n"/>
      <c r="X809" s="340" t="n"/>
      <c r="Y809" s="340" t="n"/>
      <c r="Z809" s="340" t="n"/>
      <c r="AA809" s="340" t="n"/>
      <c r="AB809" s="340" t="n"/>
      <c r="AC809" s="340" t="n"/>
      <c r="AD809" s="340" t="n"/>
      <c r="AE809" s="340" t="n"/>
      <c r="AF809" s="340" t="n"/>
      <c r="AG809" s="340" t="n"/>
      <c r="AH809" s="340" t="n"/>
      <c r="AI809" s="340" t="n"/>
      <c r="AJ809" s="340" t="n"/>
      <c r="AK809" s="340" t="n"/>
      <c r="AL809" s="340" t="n"/>
    </row>
    <row r="810" ht="12.75" customHeight="1">
      <c r="K810" s="340" t="n"/>
      <c r="L810" s="340" t="n"/>
      <c r="M810" s="340" t="n"/>
      <c r="N810" s="340" t="n"/>
      <c r="O810" s="340" t="n"/>
      <c r="P810" s="340" t="n"/>
      <c r="Q810" s="340" t="n"/>
      <c r="R810" s="340" t="n"/>
      <c r="S810" s="340" t="n"/>
      <c r="T810" s="340" t="n"/>
      <c r="U810" s="340" t="n"/>
      <c r="V810" s="340" t="n"/>
      <c r="W810" s="340" t="n"/>
      <c r="X810" s="340" t="n"/>
      <c r="Y810" s="340" t="n"/>
      <c r="Z810" s="340" t="n"/>
      <c r="AA810" s="340" t="n"/>
      <c r="AB810" s="340" t="n"/>
      <c r="AC810" s="340" t="n"/>
      <c r="AD810" s="340" t="n"/>
      <c r="AE810" s="340" t="n"/>
      <c r="AF810" s="340" t="n"/>
      <c r="AG810" s="340" t="n"/>
      <c r="AH810" s="340" t="n"/>
      <c r="AI810" s="340" t="n"/>
      <c r="AJ810" s="340" t="n"/>
      <c r="AK810" s="340" t="n"/>
      <c r="AL810" s="340" t="n"/>
    </row>
    <row r="811" ht="12.75" customHeight="1">
      <c r="K811" s="340" t="n"/>
      <c r="L811" s="340" t="n"/>
      <c r="M811" s="340" t="n"/>
      <c r="N811" s="340" t="n"/>
      <c r="O811" s="340" t="n"/>
      <c r="P811" s="340" t="n"/>
      <c r="Q811" s="340" t="n"/>
      <c r="R811" s="340" t="n"/>
      <c r="S811" s="340" t="n"/>
      <c r="T811" s="340" t="n"/>
      <c r="U811" s="340" t="n"/>
      <c r="V811" s="340" t="n"/>
      <c r="W811" s="340" t="n"/>
      <c r="X811" s="340" t="n"/>
      <c r="Y811" s="340" t="n"/>
      <c r="Z811" s="340" t="n"/>
      <c r="AA811" s="340" t="n"/>
      <c r="AB811" s="340" t="n"/>
      <c r="AC811" s="340" t="n"/>
      <c r="AD811" s="340" t="n"/>
      <c r="AE811" s="340" t="n"/>
      <c r="AF811" s="340" t="n"/>
      <c r="AG811" s="340" t="n"/>
      <c r="AH811" s="340" t="n"/>
      <c r="AI811" s="340" t="n"/>
      <c r="AJ811" s="340" t="n"/>
      <c r="AK811" s="340" t="n"/>
      <c r="AL811" s="340" t="n"/>
    </row>
    <row r="812" ht="12.75" customHeight="1">
      <c r="K812" s="340" t="n"/>
      <c r="L812" s="340" t="n"/>
      <c r="M812" s="340" t="n"/>
      <c r="N812" s="340" t="n"/>
      <c r="O812" s="340" t="n"/>
      <c r="P812" s="340" t="n"/>
      <c r="Q812" s="340" t="n"/>
      <c r="R812" s="340" t="n"/>
      <c r="S812" s="340" t="n"/>
      <c r="T812" s="340" t="n"/>
      <c r="U812" s="340" t="n"/>
      <c r="V812" s="340" t="n"/>
      <c r="W812" s="340" t="n"/>
      <c r="X812" s="340" t="n"/>
      <c r="Y812" s="340" t="n"/>
      <c r="Z812" s="340" t="n"/>
      <c r="AA812" s="340" t="n"/>
      <c r="AB812" s="340" t="n"/>
      <c r="AC812" s="340" t="n"/>
      <c r="AD812" s="340" t="n"/>
      <c r="AE812" s="340" t="n"/>
      <c r="AF812" s="340" t="n"/>
      <c r="AG812" s="340" t="n"/>
      <c r="AH812" s="340" t="n"/>
      <c r="AI812" s="340" t="n"/>
      <c r="AJ812" s="340" t="n"/>
      <c r="AK812" s="340" t="n"/>
      <c r="AL812" s="340" t="n"/>
    </row>
    <row r="813" ht="12.75" customHeight="1">
      <c r="K813" s="340" t="n"/>
      <c r="L813" s="340" t="n"/>
      <c r="M813" s="340" t="n"/>
      <c r="N813" s="340" t="n"/>
      <c r="O813" s="340" t="n"/>
      <c r="P813" s="340" t="n"/>
      <c r="Q813" s="340" t="n"/>
      <c r="R813" s="340" t="n"/>
      <c r="S813" s="340" t="n"/>
      <c r="T813" s="340" t="n"/>
      <c r="U813" s="340" t="n"/>
      <c r="V813" s="340" t="n"/>
      <c r="W813" s="340" t="n"/>
      <c r="X813" s="340" t="n"/>
      <c r="Y813" s="340" t="n"/>
      <c r="Z813" s="340" t="n"/>
      <c r="AA813" s="340" t="n"/>
      <c r="AB813" s="340" t="n"/>
      <c r="AC813" s="340" t="n"/>
      <c r="AD813" s="340" t="n"/>
      <c r="AE813" s="340" t="n"/>
      <c r="AF813" s="340" t="n"/>
      <c r="AG813" s="340" t="n"/>
      <c r="AH813" s="340" t="n"/>
      <c r="AI813" s="340" t="n"/>
      <c r="AJ813" s="340" t="n"/>
      <c r="AK813" s="340" t="n"/>
      <c r="AL813" s="340" t="n"/>
    </row>
    <row r="814" ht="12.75" customHeight="1">
      <c r="K814" s="340" t="n"/>
      <c r="L814" s="340" t="n"/>
      <c r="M814" s="340" t="n"/>
      <c r="N814" s="340" t="n"/>
      <c r="O814" s="340" t="n"/>
      <c r="P814" s="340" t="n"/>
      <c r="Q814" s="340" t="n"/>
      <c r="R814" s="340" t="n"/>
      <c r="S814" s="340" t="n"/>
      <c r="T814" s="340" t="n"/>
      <c r="U814" s="340" t="n"/>
      <c r="V814" s="340" t="n"/>
      <c r="W814" s="340" t="n"/>
      <c r="X814" s="340" t="n"/>
      <c r="Y814" s="340" t="n"/>
      <c r="Z814" s="340" t="n"/>
      <c r="AA814" s="340" t="n"/>
      <c r="AB814" s="340" t="n"/>
      <c r="AC814" s="340" t="n"/>
      <c r="AD814" s="340" t="n"/>
      <c r="AE814" s="340" t="n"/>
      <c r="AF814" s="340" t="n"/>
      <c r="AG814" s="340" t="n"/>
      <c r="AH814" s="340" t="n"/>
      <c r="AI814" s="340" t="n"/>
      <c r="AJ814" s="340" t="n"/>
      <c r="AK814" s="340" t="n"/>
      <c r="AL814" s="340" t="n"/>
    </row>
    <row r="815" ht="12.75" customHeight="1">
      <c r="K815" s="340" t="n"/>
      <c r="L815" s="340" t="n"/>
      <c r="M815" s="340" t="n"/>
      <c r="N815" s="340" t="n"/>
      <c r="O815" s="340" t="n"/>
      <c r="P815" s="340" t="n"/>
      <c r="Q815" s="340" t="n"/>
      <c r="R815" s="340" t="n"/>
      <c r="S815" s="340" t="n"/>
      <c r="T815" s="340" t="n"/>
      <c r="U815" s="340" t="n"/>
      <c r="V815" s="340" t="n"/>
      <c r="W815" s="340" t="n"/>
      <c r="X815" s="340" t="n"/>
      <c r="Y815" s="340" t="n"/>
      <c r="Z815" s="340" t="n"/>
      <c r="AA815" s="340" t="n"/>
      <c r="AB815" s="340" t="n"/>
      <c r="AC815" s="340" t="n"/>
      <c r="AD815" s="340" t="n"/>
      <c r="AE815" s="340" t="n"/>
      <c r="AF815" s="340" t="n"/>
      <c r="AG815" s="340" t="n"/>
      <c r="AH815" s="340" t="n"/>
      <c r="AI815" s="340" t="n"/>
      <c r="AJ815" s="340" t="n"/>
      <c r="AK815" s="340" t="n"/>
      <c r="AL815" s="340" t="n"/>
    </row>
    <row r="816" ht="12.75" customHeight="1">
      <c r="K816" s="340" t="n"/>
      <c r="L816" s="340" t="n"/>
      <c r="M816" s="340" t="n"/>
      <c r="N816" s="340" t="n"/>
      <c r="O816" s="340" t="n"/>
      <c r="P816" s="340" t="n"/>
      <c r="Q816" s="340" t="n"/>
      <c r="R816" s="340" t="n"/>
      <c r="S816" s="340" t="n"/>
      <c r="T816" s="340" t="n"/>
      <c r="U816" s="340" t="n"/>
      <c r="V816" s="340" t="n"/>
      <c r="W816" s="340" t="n"/>
      <c r="X816" s="340" t="n"/>
      <c r="Y816" s="340" t="n"/>
      <c r="Z816" s="340" t="n"/>
      <c r="AA816" s="340" t="n"/>
      <c r="AB816" s="340" t="n"/>
      <c r="AC816" s="340" t="n"/>
      <c r="AD816" s="340" t="n"/>
      <c r="AE816" s="340" t="n"/>
      <c r="AF816" s="340" t="n"/>
      <c r="AG816" s="340" t="n"/>
      <c r="AH816" s="340" t="n"/>
      <c r="AI816" s="340" t="n"/>
      <c r="AJ816" s="340" t="n"/>
      <c r="AK816" s="340" t="n"/>
      <c r="AL816" s="340" t="n"/>
    </row>
    <row r="817" ht="12.75" customHeight="1">
      <c r="K817" s="340" t="n"/>
      <c r="L817" s="340" t="n"/>
      <c r="M817" s="340" t="n"/>
      <c r="N817" s="340" t="n"/>
      <c r="O817" s="340" t="n"/>
      <c r="P817" s="340" t="n"/>
      <c r="Q817" s="340" t="n"/>
      <c r="R817" s="340" t="n"/>
      <c r="S817" s="340" t="n"/>
      <c r="T817" s="340" t="n"/>
      <c r="U817" s="340" t="n"/>
      <c r="V817" s="340" t="n"/>
      <c r="W817" s="340" t="n"/>
      <c r="X817" s="340" t="n"/>
      <c r="Y817" s="340" t="n"/>
      <c r="Z817" s="340" t="n"/>
      <c r="AA817" s="340" t="n"/>
      <c r="AB817" s="340" t="n"/>
      <c r="AC817" s="340" t="n"/>
      <c r="AD817" s="340" t="n"/>
      <c r="AE817" s="340" t="n"/>
      <c r="AF817" s="340" t="n"/>
      <c r="AG817" s="340" t="n"/>
      <c r="AH817" s="340" t="n"/>
      <c r="AI817" s="340" t="n"/>
      <c r="AJ817" s="340" t="n"/>
      <c r="AK817" s="340" t="n"/>
      <c r="AL817" s="340" t="n"/>
    </row>
    <row r="818" ht="12.75" customHeight="1">
      <c r="K818" s="340" t="n"/>
      <c r="L818" s="340" t="n"/>
      <c r="M818" s="340" t="n"/>
      <c r="N818" s="340" t="n"/>
      <c r="O818" s="340" t="n"/>
      <c r="P818" s="340" t="n"/>
      <c r="Q818" s="340" t="n"/>
      <c r="R818" s="340" t="n"/>
      <c r="S818" s="340" t="n"/>
      <c r="T818" s="340" t="n"/>
      <c r="U818" s="340" t="n"/>
      <c r="V818" s="340" t="n"/>
      <c r="W818" s="340" t="n"/>
      <c r="X818" s="340" t="n"/>
      <c r="Y818" s="340" t="n"/>
      <c r="Z818" s="340" t="n"/>
      <c r="AA818" s="340" t="n"/>
      <c r="AB818" s="340" t="n"/>
      <c r="AC818" s="340" t="n"/>
      <c r="AD818" s="340" t="n"/>
      <c r="AE818" s="340" t="n"/>
      <c r="AF818" s="340" t="n"/>
      <c r="AG818" s="340" t="n"/>
      <c r="AH818" s="340" t="n"/>
      <c r="AI818" s="340" t="n"/>
      <c r="AJ818" s="340" t="n"/>
      <c r="AK818" s="340" t="n"/>
      <c r="AL818" s="340" t="n"/>
    </row>
    <row r="819" ht="12.75" customHeight="1">
      <c r="K819" s="340" t="n"/>
      <c r="L819" s="340" t="n"/>
      <c r="M819" s="340" t="n"/>
      <c r="N819" s="340" t="n"/>
      <c r="O819" s="340" t="n"/>
      <c r="P819" s="340" t="n"/>
      <c r="Q819" s="340" t="n"/>
      <c r="R819" s="340" t="n"/>
      <c r="S819" s="340" t="n"/>
      <c r="T819" s="340" t="n"/>
      <c r="U819" s="340" t="n"/>
      <c r="V819" s="340" t="n"/>
      <c r="W819" s="340" t="n"/>
      <c r="X819" s="340" t="n"/>
      <c r="Y819" s="340" t="n"/>
      <c r="Z819" s="340" t="n"/>
      <c r="AA819" s="340" t="n"/>
      <c r="AB819" s="340" t="n"/>
      <c r="AC819" s="340" t="n"/>
      <c r="AD819" s="340" t="n"/>
      <c r="AE819" s="340" t="n"/>
      <c r="AF819" s="340" t="n"/>
      <c r="AG819" s="340" t="n"/>
      <c r="AH819" s="340" t="n"/>
      <c r="AI819" s="340" t="n"/>
      <c r="AJ819" s="340" t="n"/>
      <c r="AK819" s="340" t="n"/>
      <c r="AL819" s="340" t="n"/>
    </row>
    <row r="820" ht="12.75" customHeight="1">
      <c r="K820" s="340" t="n"/>
      <c r="L820" s="340" t="n"/>
      <c r="M820" s="340" t="n"/>
      <c r="N820" s="340" t="n"/>
      <c r="O820" s="340" t="n"/>
      <c r="P820" s="340" t="n"/>
      <c r="Q820" s="340" t="n"/>
      <c r="R820" s="340" t="n"/>
      <c r="S820" s="340" t="n"/>
      <c r="T820" s="340" t="n"/>
      <c r="U820" s="340" t="n"/>
      <c r="V820" s="340" t="n"/>
      <c r="W820" s="340" t="n"/>
      <c r="X820" s="340" t="n"/>
      <c r="Y820" s="340" t="n"/>
      <c r="Z820" s="340" t="n"/>
      <c r="AA820" s="340" t="n"/>
      <c r="AB820" s="340" t="n"/>
      <c r="AC820" s="340" t="n"/>
      <c r="AD820" s="340" t="n"/>
      <c r="AE820" s="340" t="n"/>
      <c r="AF820" s="340" t="n"/>
      <c r="AG820" s="340" t="n"/>
      <c r="AH820" s="340" t="n"/>
      <c r="AI820" s="340" t="n"/>
      <c r="AJ820" s="340" t="n"/>
      <c r="AK820" s="340" t="n"/>
      <c r="AL820" s="340" t="n"/>
    </row>
    <row r="821" ht="12.75" customHeight="1">
      <c r="K821" s="340" t="n"/>
      <c r="L821" s="340" t="n"/>
      <c r="M821" s="340" t="n"/>
      <c r="N821" s="340" t="n"/>
      <c r="O821" s="340" t="n"/>
      <c r="P821" s="340" t="n"/>
      <c r="Q821" s="340" t="n"/>
      <c r="R821" s="340" t="n"/>
      <c r="S821" s="340" t="n"/>
      <c r="T821" s="340" t="n"/>
      <c r="U821" s="340" t="n"/>
      <c r="V821" s="340" t="n"/>
      <c r="W821" s="340" t="n"/>
      <c r="X821" s="340" t="n"/>
      <c r="Y821" s="340" t="n"/>
      <c r="Z821" s="340" t="n"/>
      <c r="AA821" s="340" t="n"/>
      <c r="AB821" s="340" t="n"/>
      <c r="AC821" s="340" t="n"/>
      <c r="AD821" s="340" t="n"/>
      <c r="AE821" s="340" t="n"/>
      <c r="AF821" s="340" t="n"/>
      <c r="AG821" s="340" t="n"/>
      <c r="AH821" s="340" t="n"/>
      <c r="AI821" s="340" t="n"/>
      <c r="AJ821" s="340" t="n"/>
      <c r="AK821" s="340" t="n"/>
      <c r="AL821" s="340" t="n"/>
    </row>
    <row r="822" ht="12.75" customHeight="1">
      <c r="K822" s="340" t="n"/>
      <c r="L822" s="340" t="n"/>
      <c r="M822" s="340" t="n"/>
      <c r="N822" s="340" t="n"/>
      <c r="O822" s="340" t="n"/>
      <c r="P822" s="340" t="n"/>
      <c r="Q822" s="340" t="n"/>
      <c r="R822" s="340" t="n"/>
      <c r="S822" s="340" t="n"/>
      <c r="T822" s="340" t="n"/>
      <c r="U822" s="340" t="n"/>
      <c r="V822" s="340" t="n"/>
      <c r="W822" s="340" t="n"/>
      <c r="X822" s="340" t="n"/>
      <c r="Y822" s="340" t="n"/>
      <c r="Z822" s="340" t="n"/>
      <c r="AA822" s="340" t="n"/>
      <c r="AB822" s="340" t="n"/>
      <c r="AC822" s="340" t="n"/>
      <c r="AD822" s="340" t="n"/>
      <c r="AE822" s="340" t="n"/>
      <c r="AF822" s="340" t="n"/>
      <c r="AG822" s="340" t="n"/>
      <c r="AH822" s="340" t="n"/>
      <c r="AI822" s="340" t="n"/>
      <c r="AJ822" s="340" t="n"/>
      <c r="AK822" s="340" t="n"/>
      <c r="AL822" s="340" t="n"/>
    </row>
    <row r="823" ht="12.75" customHeight="1">
      <c r="K823" s="340" t="n"/>
      <c r="L823" s="340" t="n"/>
      <c r="M823" s="340" t="n"/>
      <c r="N823" s="340" t="n"/>
      <c r="O823" s="340" t="n"/>
      <c r="P823" s="340" t="n"/>
      <c r="Q823" s="340" t="n"/>
      <c r="R823" s="340" t="n"/>
      <c r="S823" s="340" t="n"/>
      <c r="T823" s="340" t="n"/>
      <c r="U823" s="340" t="n"/>
      <c r="V823" s="340" t="n"/>
      <c r="W823" s="340" t="n"/>
      <c r="X823" s="340" t="n"/>
      <c r="Y823" s="340" t="n"/>
      <c r="Z823" s="340" t="n"/>
      <c r="AA823" s="340" t="n"/>
      <c r="AB823" s="340" t="n"/>
      <c r="AC823" s="340" t="n"/>
      <c r="AD823" s="340" t="n"/>
      <c r="AE823" s="340" t="n"/>
      <c r="AF823" s="340" t="n"/>
      <c r="AG823" s="340" t="n"/>
      <c r="AH823" s="340" t="n"/>
      <c r="AI823" s="340" t="n"/>
      <c r="AJ823" s="340" t="n"/>
      <c r="AK823" s="340" t="n"/>
      <c r="AL823" s="340" t="n"/>
    </row>
    <row r="824" ht="12.75" customHeight="1">
      <c r="K824" s="340" t="n"/>
      <c r="L824" s="340" t="n"/>
      <c r="M824" s="340" t="n"/>
      <c r="N824" s="340" t="n"/>
      <c r="O824" s="340" t="n"/>
      <c r="P824" s="340" t="n"/>
      <c r="Q824" s="340" t="n"/>
      <c r="R824" s="340" t="n"/>
      <c r="S824" s="340" t="n"/>
      <c r="T824" s="340" t="n"/>
      <c r="U824" s="340" t="n"/>
      <c r="V824" s="340" t="n"/>
      <c r="W824" s="340" t="n"/>
      <c r="X824" s="340" t="n"/>
      <c r="Y824" s="340" t="n"/>
      <c r="Z824" s="340" t="n"/>
      <c r="AA824" s="340" t="n"/>
      <c r="AB824" s="340" t="n"/>
      <c r="AC824" s="340" t="n"/>
      <c r="AD824" s="340" t="n"/>
      <c r="AE824" s="340" t="n"/>
      <c r="AF824" s="340" t="n"/>
      <c r="AG824" s="340" t="n"/>
      <c r="AH824" s="340" t="n"/>
      <c r="AI824" s="340" t="n"/>
      <c r="AJ824" s="340" t="n"/>
      <c r="AK824" s="340" t="n"/>
      <c r="AL824" s="340" t="n"/>
    </row>
    <row r="825" ht="12.75" customHeight="1">
      <c r="K825" s="340" t="n"/>
      <c r="L825" s="340" t="n"/>
      <c r="M825" s="340" t="n"/>
      <c r="N825" s="340" t="n"/>
      <c r="O825" s="340" t="n"/>
      <c r="P825" s="340" t="n"/>
      <c r="Q825" s="340" t="n"/>
      <c r="R825" s="340" t="n"/>
      <c r="S825" s="340" t="n"/>
      <c r="T825" s="340" t="n"/>
      <c r="U825" s="340" t="n"/>
      <c r="V825" s="340" t="n"/>
      <c r="W825" s="340" t="n"/>
      <c r="X825" s="340" t="n"/>
      <c r="Y825" s="340" t="n"/>
      <c r="Z825" s="340" t="n"/>
      <c r="AA825" s="340" t="n"/>
      <c r="AB825" s="340" t="n"/>
      <c r="AC825" s="340" t="n"/>
      <c r="AD825" s="340" t="n"/>
      <c r="AE825" s="340" t="n"/>
      <c r="AF825" s="340" t="n"/>
      <c r="AG825" s="340" t="n"/>
      <c r="AH825" s="340" t="n"/>
      <c r="AI825" s="340" t="n"/>
      <c r="AJ825" s="340" t="n"/>
      <c r="AK825" s="340" t="n"/>
      <c r="AL825" s="340" t="n"/>
    </row>
    <row r="826" ht="12.75" customHeight="1">
      <c r="K826" s="340" t="n"/>
      <c r="L826" s="340" t="n"/>
      <c r="M826" s="340" t="n"/>
      <c r="N826" s="340" t="n"/>
      <c r="O826" s="340" t="n"/>
      <c r="P826" s="340" t="n"/>
      <c r="Q826" s="340" t="n"/>
      <c r="R826" s="340" t="n"/>
      <c r="S826" s="340" t="n"/>
      <c r="T826" s="340" t="n"/>
      <c r="U826" s="340" t="n"/>
      <c r="V826" s="340" t="n"/>
      <c r="W826" s="340" t="n"/>
      <c r="X826" s="340" t="n"/>
      <c r="Y826" s="340" t="n"/>
      <c r="Z826" s="340" t="n"/>
      <c r="AA826" s="340" t="n"/>
      <c r="AB826" s="340" t="n"/>
      <c r="AC826" s="340" t="n"/>
      <c r="AD826" s="340" t="n"/>
      <c r="AE826" s="340" t="n"/>
      <c r="AF826" s="340" t="n"/>
      <c r="AG826" s="340" t="n"/>
      <c r="AH826" s="340" t="n"/>
      <c r="AI826" s="340" t="n"/>
      <c r="AJ826" s="340" t="n"/>
      <c r="AK826" s="340" t="n"/>
      <c r="AL826" s="340" t="n"/>
    </row>
    <row r="827" ht="12.75" customHeight="1">
      <c r="K827" s="340" t="n"/>
      <c r="L827" s="340" t="n"/>
      <c r="M827" s="340" t="n"/>
      <c r="N827" s="340" t="n"/>
      <c r="O827" s="340" t="n"/>
      <c r="P827" s="340" t="n"/>
      <c r="Q827" s="340" t="n"/>
      <c r="R827" s="340" t="n"/>
      <c r="S827" s="340" t="n"/>
      <c r="T827" s="340" t="n"/>
      <c r="U827" s="340" t="n"/>
      <c r="V827" s="340" t="n"/>
      <c r="W827" s="340" t="n"/>
      <c r="X827" s="340" t="n"/>
      <c r="Y827" s="340" t="n"/>
      <c r="Z827" s="340" t="n"/>
      <c r="AA827" s="340" t="n"/>
      <c r="AB827" s="340" t="n"/>
      <c r="AC827" s="340" t="n"/>
      <c r="AD827" s="340" t="n"/>
      <c r="AE827" s="340" t="n"/>
      <c r="AF827" s="340" t="n"/>
      <c r="AG827" s="340" t="n"/>
      <c r="AH827" s="340" t="n"/>
      <c r="AI827" s="340" t="n"/>
      <c r="AJ827" s="340" t="n"/>
      <c r="AK827" s="340" t="n"/>
      <c r="AL827" s="340" t="n"/>
    </row>
    <row r="828" ht="12.75" customHeight="1">
      <c r="K828" s="340" t="n"/>
      <c r="L828" s="340" t="n"/>
      <c r="M828" s="340" t="n"/>
      <c r="N828" s="340" t="n"/>
      <c r="O828" s="340" t="n"/>
      <c r="P828" s="340" t="n"/>
      <c r="Q828" s="340" t="n"/>
      <c r="R828" s="340" t="n"/>
      <c r="S828" s="340" t="n"/>
      <c r="T828" s="340" t="n"/>
      <c r="U828" s="340" t="n"/>
      <c r="V828" s="340" t="n"/>
      <c r="W828" s="340" t="n"/>
      <c r="X828" s="340" t="n"/>
      <c r="Y828" s="340" t="n"/>
      <c r="Z828" s="340" t="n"/>
      <c r="AA828" s="340" t="n"/>
      <c r="AB828" s="340" t="n"/>
      <c r="AC828" s="340" t="n"/>
      <c r="AD828" s="340" t="n"/>
      <c r="AE828" s="340" t="n"/>
      <c r="AF828" s="340" t="n"/>
      <c r="AG828" s="340" t="n"/>
      <c r="AH828" s="340" t="n"/>
      <c r="AI828" s="340" t="n"/>
      <c r="AJ828" s="340" t="n"/>
      <c r="AK828" s="340" t="n"/>
      <c r="AL828" s="340" t="n"/>
    </row>
    <row r="829" ht="12.75" customHeight="1">
      <c r="K829" s="340" t="n"/>
      <c r="L829" s="340" t="n"/>
      <c r="M829" s="340" t="n"/>
      <c r="N829" s="340" t="n"/>
      <c r="O829" s="340" t="n"/>
      <c r="P829" s="340" t="n"/>
      <c r="Q829" s="340" t="n"/>
      <c r="R829" s="340" t="n"/>
      <c r="S829" s="340" t="n"/>
      <c r="T829" s="340" t="n"/>
      <c r="U829" s="340" t="n"/>
      <c r="V829" s="340" t="n"/>
      <c r="W829" s="340" t="n"/>
      <c r="X829" s="340" t="n"/>
      <c r="Y829" s="340" t="n"/>
      <c r="Z829" s="340" t="n"/>
      <c r="AA829" s="340" t="n"/>
      <c r="AB829" s="340" t="n"/>
      <c r="AC829" s="340" t="n"/>
      <c r="AD829" s="340" t="n"/>
      <c r="AE829" s="340" t="n"/>
      <c r="AF829" s="340" t="n"/>
      <c r="AG829" s="340" t="n"/>
      <c r="AH829" s="340" t="n"/>
      <c r="AI829" s="340" t="n"/>
      <c r="AJ829" s="340" t="n"/>
      <c r="AK829" s="340" t="n"/>
      <c r="AL829" s="340" t="n"/>
    </row>
    <row r="830" ht="12.75" customHeight="1">
      <c r="K830" s="340" t="n"/>
      <c r="L830" s="340" t="n"/>
      <c r="M830" s="340" t="n"/>
      <c r="N830" s="340" t="n"/>
      <c r="O830" s="340" t="n"/>
      <c r="P830" s="340" t="n"/>
      <c r="Q830" s="340" t="n"/>
      <c r="R830" s="340" t="n"/>
      <c r="S830" s="340" t="n"/>
      <c r="T830" s="340" t="n"/>
      <c r="U830" s="340" t="n"/>
      <c r="V830" s="340" t="n"/>
      <c r="W830" s="340" t="n"/>
      <c r="X830" s="340" t="n"/>
      <c r="Y830" s="340" t="n"/>
      <c r="Z830" s="340" t="n"/>
      <c r="AA830" s="340" t="n"/>
      <c r="AB830" s="340" t="n"/>
      <c r="AC830" s="340" t="n"/>
      <c r="AD830" s="340" t="n"/>
      <c r="AE830" s="340" t="n"/>
      <c r="AF830" s="340" t="n"/>
      <c r="AG830" s="340" t="n"/>
      <c r="AH830" s="340" t="n"/>
      <c r="AI830" s="340" t="n"/>
      <c r="AJ830" s="340" t="n"/>
      <c r="AK830" s="340" t="n"/>
      <c r="AL830" s="340" t="n"/>
    </row>
    <row r="831" ht="12.75" customHeight="1">
      <c r="K831" s="340" t="n"/>
      <c r="L831" s="340" t="n"/>
      <c r="M831" s="340" t="n"/>
      <c r="N831" s="340" t="n"/>
      <c r="O831" s="340" t="n"/>
      <c r="P831" s="340" t="n"/>
      <c r="Q831" s="340" t="n"/>
      <c r="R831" s="340" t="n"/>
      <c r="S831" s="340" t="n"/>
      <c r="T831" s="340" t="n"/>
      <c r="U831" s="340" t="n"/>
      <c r="V831" s="340" t="n"/>
      <c r="W831" s="340" t="n"/>
      <c r="X831" s="340" t="n"/>
      <c r="Y831" s="340" t="n"/>
      <c r="Z831" s="340" t="n"/>
      <c r="AA831" s="340" t="n"/>
      <c r="AB831" s="340" t="n"/>
      <c r="AC831" s="340" t="n"/>
      <c r="AD831" s="340" t="n"/>
      <c r="AE831" s="340" t="n"/>
      <c r="AF831" s="340" t="n"/>
      <c r="AG831" s="340" t="n"/>
      <c r="AH831" s="340" t="n"/>
      <c r="AI831" s="340" t="n"/>
      <c r="AJ831" s="340" t="n"/>
      <c r="AK831" s="340" t="n"/>
      <c r="AL831" s="340" t="n"/>
    </row>
    <row r="832" ht="12.75" customHeight="1">
      <c r="K832" s="340" t="n"/>
      <c r="L832" s="340" t="n"/>
      <c r="M832" s="340" t="n"/>
      <c r="N832" s="340" t="n"/>
      <c r="O832" s="340" t="n"/>
      <c r="P832" s="340" t="n"/>
      <c r="Q832" s="340" t="n"/>
      <c r="R832" s="340" t="n"/>
      <c r="S832" s="340" t="n"/>
      <c r="T832" s="340" t="n"/>
      <c r="U832" s="340" t="n"/>
      <c r="V832" s="340" t="n"/>
      <c r="W832" s="340" t="n"/>
      <c r="X832" s="340" t="n"/>
      <c r="Y832" s="340" t="n"/>
      <c r="Z832" s="340" t="n"/>
      <c r="AA832" s="340" t="n"/>
      <c r="AB832" s="340" t="n"/>
      <c r="AC832" s="340" t="n"/>
      <c r="AD832" s="340" t="n"/>
      <c r="AE832" s="340" t="n"/>
      <c r="AF832" s="340" t="n"/>
      <c r="AG832" s="340" t="n"/>
      <c r="AH832" s="340" t="n"/>
      <c r="AI832" s="340" t="n"/>
      <c r="AJ832" s="340" t="n"/>
      <c r="AK832" s="340" t="n"/>
      <c r="AL832" s="340" t="n"/>
    </row>
    <row r="833" ht="12.75" customHeight="1">
      <c r="K833" s="340" t="n"/>
      <c r="L833" s="340" t="n"/>
      <c r="M833" s="340" t="n"/>
      <c r="N833" s="340" t="n"/>
      <c r="O833" s="340" t="n"/>
      <c r="P833" s="340" t="n"/>
      <c r="Q833" s="340" t="n"/>
      <c r="R833" s="340" t="n"/>
      <c r="S833" s="340" t="n"/>
      <c r="T833" s="340" t="n"/>
      <c r="U833" s="340" t="n"/>
      <c r="V833" s="340" t="n"/>
      <c r="W833" s="340" t="n"/>
      <c r="X833" s="340" t="n"/>
      <c r="Y833" s="340" t="n"/>
      <c r="Z833" s="340" t="n"/>
      <c r="AA833" s="340" t="n"/>
      <c r="AB833" s="340" t="n"/>
      <c r="AC833" s="340" t="n"/>
      <c r="AD833" s="340" t="n"/>
      <c r="AE833" s="340" t="n"/>
      <c r="AF833" s="340" t="n"/>
      <c r="AG833" s="340" t="n"/>
      <c r="AH833" s="340" t="n"/>
      <c r="AI833" s="340" t="n"/>
      <c r="AJ833" s="340" t="n"/>
      <c r="AK833" s="340" t="n"/>
      <c r="AL833" s="340" t="n"/>
    </row>
    <row r="834" ht="12.75" customHeight="1">
      <c r="K834" s="340" t="n"/>
      <c r="L834" s="340" t="n"/>
      <c r="M834" s="340" t="n"/>
      <c r="N834" s="340" t="n"/>
      <c r="O834" s="340" t="n"/>
      <c r="P834" s="340" t="n"/>
      <c r="Q834" s="340" t="n"/>
      <c r="R834" s="340" t="n"/>
      <c r="S834" s="340" t="n"/>
      <c r="T834" s="340" t="n"/>
      <c r="U834" s="340" t="n"/>
      <c r="V834" s="340" t="n"/>
      <c r="W834" s="340" t="n"/>
      <c r="X834" s="340" t="n"/>
      <c r="Y834" s="340" t="n"/>
      <c r="Z834" s="340" t="n"/>
      <c r="AA834" s="340" t="n"/>
      <c r="AB834" s="340" t="n"/>
      <c r="AC834" s="340" t="n"/>
      <c r="AD834" s="340" t="n"/>
      <c r="AE834" s="340" t="n"/>
      <c r="AF834" s="340" t="n"/>
      <c r="AG834" s="340" t="n"/>
      <c r="AH834" s="340" t="n"/>
      <c r="AI834" s="340" t="n"/>
      <c r="AJ834" s="340" t="n"/>
      <c r="AK834" s="340" t="n"/>
      <c r="AL834" s="340" t="n"/>
    </row>
    <row r="835" ht="12.75" customHeight="1">
      <c r="K835" s="340" t="n"/>
      <c r="L835" s="340" t="n"/>
      <c r="M835" s="340" t="n"/>
      <c r="N835" s="340" t="n"/>
      <c r="O835" s="340" t="n"/>
      <c r="P835" s="340" t="n"/>
      <c r="Q835" s="340" t="n"/>
      <c r="R835" s="340" t="n"/>
      <c r="S835" s="340" t="n"/>
      <c r="T835" s="340" t="n"/>
      <c r="U835" s="340" t="n"/>
      <c r="V835" s="340" t="n"/>
      <c r="W835" s="340" t="n"/>
      <c r="X835" s="340" t="n"/>
      <c r="Y835" s="340" t="n"/>
      <c r="Z835" s="340" t="n"/>
      <c r="AA835" s="340" t="n"/>
      <c r="AB835" s="340" t="n"/>
      <c r="AC835" s="340" t="n"/>
      <c r="AD835" s="340" t="n"/>
      <c r="AE835" s="340" t="n"/>
      <c r="AF835" s="340" t="n"/>
      <c r="AG835" s="340" t="n"/>
      <c r="AH835" s="340" t="n"/>
      <c r="AI835" s="340" t="n"/>
      <c r="AJ835" s="340" t="n"/>
      <c r="AK835" s="340" t="n"/>
      <c r="AL835" s="340" t="n"/>
    </row>
    <row r="836" ht="12.75" customHeight="1">
      <c r="K836" s="340" t="n"/>
      <c r="L836" s="340" t="n"/>
      <c r="M836" s="340" t="n"/>
      <c r="N836" s="340" t="n"/>
      <c r="O836" s="340" t="n"/>
      <c r="P836" s="340" t="n"/>
      <c r="Q836" s="340" t="n"/>
      <c r="R836" s="340" t="n"/>
      <c r="S836" s="340" t="n"/>
      <c r="T836" s="340" t="n"/>
      <c r="U836" s="340" t="n"/>
      <c r="V836" s="340" t="n"/>
      <c r="W836" s="340" t="n"/>
      <c r="X836" s="340" t="n"/>
      <c r="Y836" s="340" t="n"/>
      <c r="Z836" s="340" t="n"/>
      <c r="AA836" s="340" t="n"/>
      <c r="AB836" s="340" t="n"/>
      <c r="AC836" s="340" t="n"/>
      <c r="AD836" s="340" t="n"/>
      <c r="AE836" s="340" t="n"/>
      <c r="AF836" s="340" t="n"/>
      <c r="AG836" s="340" t="n"/>
      <c r="AH836" s="340" t="n"/>
      <c r="AI836" s="340" t="n"/>
      <c r="AJ836" s="340" t="n"/>
      <c r="AK836" s="340" t="n"/>
      <c r="AL836" s="340" t="n"/>
    </row>
    <row r="837" ht="12.75" customHeight="1">
      <c r="K837" s="340" t="n"/>
      <c r="L837" s="340" t="n"/>
      <c r="M837" s="340" t="n"/>
      <c r="N837" s="340" t="n"/>
      <c r="O837" s="340" t="n"/>
      <c r="P837" s="340" t="n"/>
      <c r="Q837" s="340" t="n"/>
      <c r="R837" s="340" t="n"/>
      <c r="S837" s="340" t="n"/>
      <c r="T837" s="340" t="n"/>
      <c r="U837" s="340" t="n"/>
      <c r="V837" s="340" t="n"/>
      <c r="W837" s="340" t="n"/>
      <c r="X837" s="340" t="n"/>
      <c r="Y837" s="340" t="n"/>
      <c r="Z837" s="340" t="n"/>
      <c r="AA837" s="340" t="n"/>
      <c r="AB837" s="340" t="n"/>
      <c r="AC837" s="340" t="n"/>
      <c r="AD837" s="340" t="n"/>
      <c r="AE837" s="340" t="n"/>
      <c r="AF837" s="340" t="n"/>
      <c r="AG837" s="340" t="n"/>
      <c r="AH837" s="340" t="n"/>
      <c r="AI837" s="340" t="n"/>
      <c r="AJ837" s="340" t="n"/>
      <c r="AK837" s="340" t="n"/>
      <c r="AL837" s="340" t="n"/>
    </row>
    <row r="838" ht="12.75" customHeight="1">
      <c r="K838" s="340" t="n"/>
      <c r="L838" s="340" t="n"/>
      <c r="M838" s="340" t="n"/>
      <c r="N838" s="340" t="n"/>
      <c r="O838" s="340" t="n"/>
      <c r="P838" s="340" t="n"/>
      <c r="Q838" s="340" t="n"/>
      <c r="R838" s="340" t="n"/>
      <c r="S838" s="340" t="n"/>
      <c r="T838" s="340" t="n"/>
      <c r="U838" s="340" t="n"/>
      <c r="V838" s="340" t="n"/>
      <c r="W838" s="340" t="n"/>
      <c r="X838" s="340" t="n"/>
      <c r="Y838" s="340" t="n"/>
      <c r="Z838" s="340" t="n"/>
      <c r="AA838" s="340" t="n"/>
      <c r="AB838" s="340" t="n"/>
      <c r="AC838" s="340" t="n"/>
      <c r="AD838" s="340" t="n"/>
      <c r="AE838" s="340" t="n"/>
      <c r="AF838" s="340" t="n"/>
      <c r="AG838" s="340" t="n"/>
      <c r="AH838" s="340" t="n"/>
      <c r="AI838" s="340" t="n"/>
      <c r="AJ838" s="340" t="n"/>
      <c r="AK838" s="340" t="n"/>
      <c r="AL838" s="340" t="n"/>
    </row>
    <row r="839" ht="12.75" customHeight="1">
      <c r="K839" s="340" t="n"/>
      <c r="L839" s="340" t="n"/>
      <c r="M839" s="340" t="n"/>
      <c r="N839" s="340" t="n"/>
      <c r="O839" s="340" t="n"/>
      <c r="P839" s="340" t="n"/>
      <c r="Q839" s="340" t="n"/>
      <c r="R839" s="340" t="n"/>
      <c r="S839" s="340" t="n"/>
      <c r="T839" s="340" t="n"/>
      <c r="U839" s="340" t="n"/>
      <c r="V839" s="340" t="n"/>
      <c r="W839" s="340" t="n"/>
      <c r="X839" s="340" t="n"/>
      <c r="Y839" s="340" t="n"/>
      <c r="Z839" s="340" t="n"/>
      <c r="AA839" s="340" t="n"/>
      <c r="AB839" s="340" t="n"/>
      <c r="AC839" s="340" t="n"/>
      <c r="AD839" s="340" t="n"/>
      <c r="AE839" s="340" t="n"/>
      <c r="AF839" s="340" t="n"/>
      <c r="AG839" s="340" t="n"/>
      <c r="AH839" s="340" t="n"/>
      <c r="AI839" s="340" t="n"/>
      <c r="AJ839" s="340" t="n"/>
      <c r="AK839" s="340" t="n"/>
      <c r="AL839" s="340" t="n"/>
    </row>
    <row r="840" ht="12.75" customHeight="1">
      <c r="K840" s="340" t="n"/>
      <c r="L840" s="340" t="n"/>
      <c r="M840" s="340" t="n"/>
      <c r="N840" s="340" t="n"/>
      <c r="O840" s="340" t="n"/>
      <c r="P840" s="340" t="n"/>
      <c r="Q840" s="340" t="n"/>
      <c r="R840" s="340" t="n"/>
      <c r="S840" s="340" t="n"/>
      <c r="T840" s="340" t="n"/>
      <c r="U840" s="340" t="n"/>
      <c r="V840" s="340" t="n"/>
      <c r="W840" s="340" t="n"/>
      <c r="X840" s="340" t="n"/>
      <c r="Y840" s="340" t="n"/>
      <c r="Z840" s="340" t="n"/>
      <c r="AA840" s="340" t="n"/>
      <c r="AB840" s="340" t="n"/>
      <c r="AC840" s="340" t="n"/>
      <c r="AD840" s="340" t="n"/>
      <c r="AE840" s="340" t="n"/>
      <c r="AF840" s="340" t="n"/>
      <c r="AG840" s="340" t="n"/>
      <c r="AH840" s="340" t="n"/>
      <c r="AI840" s="340" t="n"/>
      <c r="AJ840" s="340" t="n"/>
      <c r="AK840" s="340" t="n"/>
      <c r="AL840" s="340" t="n"/>
    </row>
    <row r="841" ht="12.75" customHeight="1">
      <c r="K841" s="340" t="n"/>
      <c r="L841" s="340" t="n"/>
      <c r="M841" s="340" t="n"/>
      <c r="N841" s="340" t="n"/>
      <c r="O841" s="340" t="n"/>
      <c r="P841" s="340" t="n"/>
      <c r="Q841" s="340" t="n"/>
      <c r="R841" s="340" t="n"/>
      <c r="S841" s="340" t="n"/>
      <c r="T841" s="340" t="n"/>
      <c r="U841" s="340" t="n"/>
      <c r="V841" s="340" t="n"/>
      <c r="W841" s="340" t="n"/>
      <c r="X841" s="340" t="n"/>
      <c r="Y841" s="340" t="n"/>
      <c r="Z841" s="340" t="n"/>
      <c r="AA841" s="340" t="n"/>
      <c r="AB841" s="340" t="n"/>
      <c r="AC841" s="340" t="n"/>
      <c r="AD841" s="340" t="n"/>
      <c r="AE841" s="340" t="n"/>
      <c r="AF841" s="340" t="n"/>
      <c r="AG841" s="340" t="n"/>
      <c r="AH841" s="340" t="n"/>
      <c r="AI841" s="340" t="n"/>
      <c r="AJ841" s="340" t="n"/>
      <c r="AK841" s="340" t="n"/>
      <c r="AL841" s="340" t="n"/>
    </row>
    <row r="842" ht="12.75" customHeight="1">
      <c r="K842" s="340" t="n"/>
      <c r="L842" s="340" t="n"/>
      <c r="M842" s="340" t="n"/>
      <c r="N842" s="340" t="n"/>
      <c r="O842" s="340" t="n"/>
      <c r="P842" s="340" t="n"/>
      <c r="Q842" s="340" t="n"/>
      <c r="R842" s="340" t="n"/>
      <c r="S842" s="340" t="n"/>
      <c r="T842" s="340" t="n"/>
      <c r="U842" s="340" t="n"/>
      <c r="V842" s="340" t="n"/>
      <c r="W842" s="340" t="n"/>
      <c r="X842" s="340" t="n"/>
      <c r="Y842" s="340" t="n"/>
      <c r="Z842" s="340" t="n"/>
      <c r="AA842" s="340" t="n"/>
      <c r="AB842" s="340" t="n"/>
      <c r="AC842" s="340" t="n"/>
      <c r="AD842" s="340" t="n"/>
      <c r="AE842" s="340" t="n"/>
      <c r="AF842" s="340" t="n"/>
      <c r="AG842" s="340" t="n"/>
      <c r="AH842" s="340" t="n"/>
      <c r="AI842" s="340" t="n"/>
      <c r="AJ842" s="340" t="n"/>
      <c r="AK842" s="340" t="n"/>
      <c r="AL842" s="340" t="n"/>
    </row>
    <row r="843" ht="12.75" customHeight="1">
      <c r="K843" s="340" t="n"/>
      <c r="L843" s="340" t="n"/>
      <c r="M843" s="340" t="n"/>
      <c r="N843" s="340" t="n"/>
      <c r="O843" s="340" t="n"/>
      <c r="P843" s="340" t="n"/>
      <c r="Q843" s="340" t="n"/>
      <c r="R843" s="340" t="n"/>
      <c r="S843" s="340" t="n"/>
      <c r="T843" s="340" t="n"/>
      <c r="U843" s="340" t="n"/>
      <c r="V843" s="340" t="n"/>
      <c r="W843" s="340" t="n"/>
      <c r="X843" s="340" t="n"/>
      <c r="Y843" s="340" t="n"/>
      <c r="Z843" s="340" t="n"/>
      <c r="AA843" s="340" t="n"/>
      <c r="AB843" s="340" t="n"/>
      <c r="AC843" s="340" t="n"/>
      <c r="AD843" s="340" t="n"/>
      <c r="AE843" s="340" t="n"/>
      <c r="AF843" s="340" t="n"/>
      <c r="AG843" s="340" t="n"/>
      <c r="AH843" s="340" t="n"/>
      <c r="AI843" s="340" t="n"/>
      <c r="AJ843" s="340" t="n"/>
      <c r="AK843" s="340" t="n"/>
      <c r="AL843" s="340" t="n"/>
    </row>
    <row r="844" ht="12.75" customHeight="1">
      <c r="K844" s="340" t="n"/>
      <c r="L844" s="340" t="n"/>
      <c r="M844" s="340" t="n"/>
      <c r="N844" s="340" t="n"/>
      <c r="O844" s="340" t="n"/>
      <c r="P844" s="340" t="n"/>
      <c r="Q844" s="340" t="n"/>
      <c r="R844" s="340" t="n"/>
      <c r="S844" s="340" t="n"/>
      <c r="T844" s="340" t="n"/>
      <c r="U844" s="340" t="n"/>
      <c r="V844" s="340" t="n"/>
      <c r="W844" s="340" t="n"/>
      <c r="X844" s="340" t="n"/>
      <c r="Y844" s="340" t="n"/>
      <c r="Z844" s="340" t="n"/>
      <c r="AA844" s="340" t="n"/>
      <c r="AB844" s="340" t="n"/>
      <c r="AC844" s="340" t="n"/>
      <c r="AD844" s="340" t="n"/>
      <c r="AE844" s="340" t="n"/>
      <c r="AF844" s="340" t="n"/>
      <c r="AG844" s="340" t="n"/>
      <c r="AH844" s="340" t="n"/>
      <c r="AI844" s="340" t="n"/>
      <c r="AJ844" s="340" t="n"/>
      <c r="AK844" s="340" t="n"/>
      <c r="AL844" s="340" t="n"/>
    </row>
    <row r="845" ht="12.75" customHeight="1">
      <c r="K845" s="340" t="n"/>
      <c r="L845" s="340" t="n"/>
      <c r="M845" s="340" t="n"/>
      <c r="N845" s="340" t="n"/>
      <c r="O845" s="340" t="n"/>
      <c r="P845" s="340" t="n"/>
      <c r="Q845" s="340" t="n"/>
      <c r="R845" s="340" t="n"/>
      <c r="S845" s="340" t="n"/>
      <c r="T845" s="340" t="n"/>
      <c r="U845" s="340" t="n"/>
      <c r="V845" s="340" t="n"/>
      <c r="W845" s="340" t="n"/>
      <c r="X845" s="340" t="n"/>
      <c r="Y845" s="340" t="n"/>
      <c r="Z845" s="340" t="n"/>
      <c r="AA845" s="340" t="n"/>
      <c r="AB845" s="340" t="n"/>
      <c r="AC845" s="340" t="n"/>
      <c r="AD845" s="340" t="n"/>
      <c r="AE845" s="340" t="n"/>
      <c r="AF845" s="340" t="n"/>
      <c r="AG845" s="340" t="n"/>
      <c r="AH845" s="340" t="n"/>
      <c r="AI845" s="340" t="n"/>
      <c r="AJ845" s="340" t="n"/>
      <c r="AK845" s="340" t="n"/>
      <c r="AL845" s="340" t="n"/>
    </row>
    <row r="846" ht="12.75" customHeight="1">
      <c r="K846" s="340" t="n"/>
      <c r="L846" s="340" t="n"/>
      <c r="M846" s="340" t="n"/>
      <c r="N846" s="340" t="n"/>
      <c r="O846" s="340" t="n"/>
      <c r="P846" s="340" t="n"/>
      <c r="Q846" s="340" t="n"/>
      <c r="R846" s="340" t="n"/>
      <c r="S846" s="340" t="n"/>
      <c r="T846" s="340" t="n"/>
      <c r="U846" s="340" t="n"/>
      <c r="V846" s="340" t="n"/>
      <c r="W846" s="340" t="n"/>
      <c r="X846" s="340" t="n"/>
      <c r="Y846" s="340" t="n"/>
      <c r="Z846" s="340" t="n"/>
      <c r="AA846" s="340" t="n"/>
      <c r="AB846" s="340" t="n"/>
      <c r="AC846" s="340" t="n"/>
      <c r="AD846" s="340" t="n"/>
      <c r="AE846" s="340" t="n"/>
      <c r="AF846" s="340" t="n"/>
      <c r="AG846" s="340" t="n"/>
      <c r="AH846" s="340" t="n"/>
      <c r="AI846" s="340" t="n"/>
      <c r="AJ846" s="340" t="n"/>
      <c r="AK846" s="340" t="n"/>
      <c r="AL846" s="340" t="n"/>
    </row>
    <row r="847" ht="12.75" customHeight="1">
      <c r="K847" s="340" t="n"/>
      <c r="L847" s="340" t="n"/>
      <c r="M847" s="340" t="n"/>
      <c r="N847" s="340" t="n"/>
      <c r="O847" s="340" t="n"/>
      <c r="P847" s="340" t="n"/>
      <c r="Q847" s="340" t="n"/>
      <c r="R847" s="340" t="n"/>
      <c r="S847" s="340" t="n"/>
      <c r="T847" s="340" t="n"/>
      <c r="U847" s="340" t="n"/>
      <c r="V847" s="340" t="n"/>
      <c r="W847" s="340" t="n"/>
      <c r="X847" s="340" t="n"/>
      <c r="Y847" s="340" t="n"/>
      <c r="Z847" s="340" t="n"/>
      <c r="AA847" s="340" t="n"/>
      <c r="AB847" s="340" t="n"/>
      <c r="AC847" s="340" t="n"/>
      <c r="AD847" s="340" t="n"/>
      <c r="AE847" s="340" t="n"/>
      <c r="AF847" s="340" t="n"/>
      <c r="AG847" s="340" t="n"/>
      <c r="AH847" s="340" t="n"/>
      <c r="AI847" s="340" t="n"/>
      <c r="AJ847" s="340" t="n"/>
      <c r="AK847" s="340" t="n"/>
      <c r="AL847" s="340" t="n"/>
    </row>
    <row r="848" ht="12.75" customHeight="1">
      <c r="K848" s="340" t="n"/>
      <c r="L848" s="340" t="n"/>
      <c r="M848" s="340" t="n"/>
      <c r="N848" s="340" t="n"/>
      <c r="O848" s="340" t="n"/>
      <c r="P848" s="340" t="n"/>
      <c r="Q848" s="340" t="n"/>
      <c r="R848" s="340" t="n"/>
      <c r="S848" s="340" t="n"/>
      <c r="T848" s="340" t="n"/>
      <c r="U848" s="340" t="n"/>
      <c r="V848" s="340" t="n"/>
      <c r="W848" s="340" t="n"/>
      <c r="X848" s="340" t="n"/>
      <c r="Y848" s="340" t="n"/>
      <c r="Z848" s="340" t="n"/>
      <c r="AA848" s="340" t="n"/>
      <c r="AB848" s="340" t="n"/>
      <c r="AC848" s="340" t="n"/>
      <c r="AD848" s="340" t="n"/>
      <c r="AE848" s="340" t="n"/>
      <c r="AF848" s="340" t="n"/>
      <c r="AG848" s="340" t="n"/>
      <c r="AH848" s="340" t="n"/>
      <c r="AI848" s="340" t="n"/>
      <c r="AJ848" s="340" t="n"/>
      <c r="AK848" s="340" t="n"/>
      <c r="AL848" s="340" t="n"/>
    </row>
    <row r="849" ht="12.75" customHeight="1">
      <c r="K849" s="340" t="n"/>
      <c r="L849" s="340" t="n"/>
      <c r="M849" s="340" t="n"/>
      <c r="N849" s="340" t="n"/>
      <c r="O849" s="340" t="n"/>
      <c r="P849" s="340" t="n"/>
      <c r="Q849" s="340" t="n"/>
      <c r="R849" s="340" t="n"/>
      <c r="S849" s="340" t="n"/>
      <c r="T849" s="340" t="n"/>
      <c r="U849" s="340" t="n"/>
      <c r="V849" s="340" t="n"/>
      <c r="W849" s="340" t="n"/>
      <c r="X849" s="340" t="n"/>
      <c r="Y849" s="340" t="n"/>
      <c r="Z849" s="340" t="n"/>
      <c r="AA849" s="340" t="n"/>
      <c r="AB849" s="340" t="n"/>
      <c r="AC849" s="340" t="n"/>
      <c r="AD849" s="340" t="n"/>
      <c r="AE849" s="340" t="n"/>
      <c r="AF849" s="340" t="n"/>
      <c r="AG849" s="340" t="n"/>
      <c r="AH849" s="340" t="n"/>
      <c r="AI849" s="340" t="n"/>
      <c r="AJ849" s="340" t="n"/>
      <c r="AK849" s="340" t="n"/>
      <c r="AL849" s="340" t="n"/>
    </row>
    <row r="850" ht="12.75" customHeight="1">
      <c r="K850" s="340" t="n"/>
      <c r="L850" s="340" t="n"/>
      <c r="M850" s="340" t="n"/>
      <c r="N850" s="340" t="n"/>
      <c r="O850" s="340" t="n"/>
      <c r="P850" s="340" t="n"/>
      <c r="Q850" s="340" t="n"/>
      <c r="R850" s="340" t="n"/>
      <c r="S850" s="340" t="n"/>
      <c r="T850" s="340" t="n"/>
      <c r="U850" s="340" t="n"/>
      <c r="V850" s="340" t="n"/>
      <c r="W850" s="340" t="n"/>
      <c r="X850" s="340" t="n"/>
      <c r="Y850" s="340" t="n"/>
      <c r="Z850" s="340" t="n"/>
      <c r="AA850" s="340" t="n"/>
      <c r="AB850" s="340" t="n"/>
      <c r="AC850" s="340" t="n"/>
      <c r="AD850" s="340" t="n"/>
      <c r="AE850" s="340" t="n"/>
      <c r="AF850" s="340" t="n"/>
      <c r="AG850" s="340" t="n"/>
      <c r="AH850" s="340" t="n"/>
      <c r="AI850" s="340" t="n"/>
      <c r="AJ850" s="340" t="n"/>
      <c r="AK850" s="340" t="n"/>
      <c r="AL850" s="340" t="n"/>
    </row>
    <row r="851" ht="12.75" customHeight="1">
      <c r="K851" s="340" t="n"/>
      <c r="L851" s="340" t="n"/>
      <c r="M851" s="340" t="n"/>
      <c r="N851" s="340" t="n"/>
      <c r="O851" s="340" t="n"/>
      <c r="P851" s="340" t="n"/>
      <c r="Q851" s="340" t="n"/>
      <c r="R851" s="340" t="n"/>
      <c r="S851" s="340" t="n"/>
      <c r="T851" s="340" t="n"/>
      <c r="U851" s="340" t="n"/>
      <c r="V851" s="340" t="n"/>
      <c r="W851" s="340" t="n"/>
      <c r="X851" s="340" t="n"/>
      <c r="Y851" s="340" t="n"/>
      <c r="Z851" s="340" t="n"/>
      <c r="AA851" s="340" t="n"/>
      <c r="AB851" s="340" t="n"/>
      <c r="AC851" s="340" t="n"/>
      <c r="AD851" s="340" t="n"/>
      <c r="AE851" s="340" t="n"/>
      <c r="AF851" s="340" t="n"/>
      <c r="AG851" s="340" t="n"/>
      <c r="AH851" s="340" t="n"/>
      <c r="AI851" s="340" t="n"/>
      <c r="AJ851" s="340" t="n"/>
      <c r="AK851" s="340" t="n"/>
      <c r="AL851" s="340" t="n"/>
    </row>
    <row r="852" ht="12.75" customHeight="1">
      <c r="K852" s="340" t="n"/>
      <c r="L852" s="340" t="n"/>
      <c r="M852" s="340" t="n"/>
      <c r="N852" s="340" t="n"/>
      <c r="O852" s="340" t="n"/>
      <c r="P852" s="340" t="n"/>
      <c r="Q852" s="340" t="n"/>
      <c r="R852" s="340" t="n"/>
      <c r="S852" s="340" t="n"/>
      <c r="T852" s="340" t="n"/>
      <c r="U852" s="340" t="n"/>
      <c r="V852" s="340" t="n"/>
      <c r="W852" s="340" t="n"/>
      <c r="X852" s="340" t="n"/>
      <c r="Y852" s="340" t="n"/>
      <c r="Z852" s="340" t="n"/>
      <c r="AA852" s="340" t="n"/>
      <c r="AB852" s="340" t="n"/>
      <c r="AC852" s="340" t="n"/>
      <c r="AD852" s="340" t="n"/>
      <c r="AE852" s="340" t="n"/>
      <c r="AF852" s="340" t="n"/>
      <c r="AG852" s="340" t="n"/>
      <c r="AH852" s="340" t="n"/>
      <c r="AI852" s="340" t="n"/>
      <c r="AJ852" s="340" t="n"/>
      <c r="AK852" s="340" t="n"/>
      <c r="AL852" s="340" t="n"/>
    </row>
    <row r="853" ht="12.75" customHeight="1">
      <c r="K853" s="340" t="n"/>
      <c r="L853" s="340" t="n"/>
      <c r="M853" s="340" t="n"/>
      <c r="N853" s="340" t="n"/>
      <c r="O853" s="340" t="n"/>
      <c r="P853" s="340" t="n"/>
      <c r="Q853" s="340" t="n"/>
      <c r="R853" s="340" t="n"/>
      <c r="S853" s="340" t="n"/>
      <c r="T853" s="340" t="n"/>
      <c r="U853" s="340" t="n"/>
      <c r="V853" s="340" t="n"/>
      <c r="W853" s="340" t="n"/>
      <c r="X853" s="340" t="n"/>
      <c r="Y853" s="340" t="n"/>
      <c r="Z853" s="340" t="n"/>
      <c r="AA853" s="340" t="n"/>
      <c r="AB853" s="340" t="n"/>
      <c r="AC853" s="340" t="n"/>
      <c r="AD853" s="340" t="n"/>
      <c r="AE853" s="340" t="n"/>
      <c r="AF853" s="340" t="n"/>
      <c r="AG853" s="340" t="n"/>
      <c r="AH853" s="340" t="n"/>
      <c r="AI853" s="340" t="n"/>
      <c r="AJ853" s="340" t="n"/>
      <c r="AK853" s="340" t="n"/>
      <c r="AL853" s="340" t="n"/>
    </row>
    <row r="854" ht="12.75" customHeight="1">
      <c r="K854" s="340" t="n"/>
      <c r="L854" s="340" t="n"/>
      <c r="M854" s="340" t="n"/>
      <c r="N854" s="340" t="n"/>
      <c r="O854" s="340" t="n"/>
      <c r="P854" s="340" t="n"/>
      <c r="Q854" s="340" t="n"/>
      <c r="R854" s="340" t="n"/>
      <c r="S854" s="340" t="n"/>
      <c r="T854" s="340" t="n"/>
      <c r="U854" s="340" t="n"/>
      <c r="V854" s="340" t="n"/>
      <c r="W854" s="340" t="n"/>
      <c r="X854" s="340" t="n"/>
      <c r="Y854" s="340" t="n"/>
      <c r="Z854" s="340" t="n"/>
      <c r="AA854" s="340" t="n"/>
      <c r="AB854" s="340" t="n"/>
      <c r="AC854" s="340" t="n"/>
      <c r="AD854" s="340" t="n"/>
      <c r="AE854" s="340" t="n"/>
      <c r="AF854" s="340" t="n"/>
      <c r="AG854" s="340" t="n"/>
      <c r="AH854" s="340" t="n"/>
      <c r="AI854" s="340" t="n"/>
      <c r="AJ854" s="340" t="n"/>
      <c r="AK854" s="340" t="n"/>
      <c r="AL854" s="340" t="n"/>
    </row>
    <row r="855" ht="12.75" customHeight="1">
      <c r="K855" s="340" t="n"/>
      <c r="L855" s="340" t="n"/>
      <c r="M855" s="340" t="n"/>
      <c r="N855" s="340" t="n"/>
      <c r="O855" s="340" t="n"/>
      <c r="P855" s="340" t="n"/>
      <c r="Q855" s="340" t="n"/>
      <c r="R855" s="340" t="n"/>
      <c r="S855" s="340" t="n"/>
      <c r="T855" s="340" t="n"/>
      <c r="U855" s="340" t="n"/>
      <c r="V855" s="340" t="n"/>
      <c r="W855" s="340" t="n"/>
      <c r="X855" s="340" t="n"/>
      <c r="Y855" s="340" t="n"/>
      <c r="Z855" s="340" t="n"/>
      <c r="AA855" s="340" t="n"/>
      <c r="AB855" s="340" t="n"/>
      <c r="AC855" s="340" t="n"/>
      <c r="AD855" s="340" t="n"/>
      <c r="AE855" s="340" t="n"/>
      <c r="AF855" s="340" t="n"/>
      <c r="AG855" s="340" t="n"/>
      <c r="AH855" s="340" t="n"/>
      <c r="AI855" s="340" t="n"/>
      <c r="AJ855" s="340" t="n"/>
      <c r="AK855" s="340" t="n"/>
      <c r="AL855" s="340" t="n"/>
    </row>
    <row r="856" ht="12.75" customHeight="1">
      <c r="K856" s="340" t="n"/>
      <c r="L856" s="340" t="n"/>
      <c r="M856" s="340" t="n"/>
      <c r="N856" s="340" t="n"/>
      <c r="O856" s="340" t="n"/>
      <c r="P856" s="340" t="n"/>
      <c r="Q856" s="340" t="n"/>
      <c r="R856" s="340" t="n"/>
      <c r="S856" s="340" t="n"/>
      <c r="T856" s="340" t="n"/>
      <c r="U856" s="340" t="n"/>
      <c r="V856" s="340" t="n"/>
      <c r="W856" s="340" t="n"/>
      <c r="X856" s="340" t="n"/>
      <c r="Y856" s="340" t="n"/>
      <c r="Z856" s="340" t="n"/>
      <c r="AA856" s="340" t="n"/>
      <c r="AB856" s="340" t="n"/>
      <c r="AC856" s="340" t="n"/>
      <c r="AD856" s="340" t="n"/>
      <c r="AE856" s="340" t="n"/>
      <c r="AF856" s="340" t="n"/>
      <c r="AG856" s="340" t="n"/>
      <c r="AH856" s="340" t="n"/>
      <c r="AI856" s="340" t="n"/>
      <c r="AJ856" s="340" t="n"/>
      <c r="AK856" s="340" t="n"/>
      <c r="AL856" s="340" t="n"/>
    </row>
    <row r="857" ht="12.75" customHeight="1">
      <c r="K857" s="340" t="n"/>
      <c r="L857" s="340" t="n"/>
      <c r="M857" s="340" t="n"/>
      <c r="N857" s="340" t="n"/>
      <c r="O857" s="340" t="n"/>
      <c r="P857" s="340" t="n"/>
      <c r="Q857" s="340" t="n"/>
      <c r="R857" s="340" t="n"/>
      <c r="S857" s="340" t="n"/>
      <c r="T857" s="340" t="n"/>
      <c r="U857" s="340" t="n"/>
      <c r="V857" s="340" t="n"/>
      <c r="W857" s="340" t="n"/>
      <c r="X857" s="340" t="n"/>
      <c r="Y857" s="340" t="n"/>
      <c r="Z857" s="340" t="n"/>
      <c r="AA857" s="340" t="n"/>
      <c r="AB857" s="340" t="n"/>
      <c r="AC857" s="340" t="n"/>
      <c r="AD857" s="340" t="n"/>
      <c r="AE857" s="340" t="n"/>
      <c r="AF857" s="340" t="n"/>
      <c r="AG857" s="340" t="n"/>
      <c r="AH857" s="340" t="n"/>
      <c r="AI857" s="340" t="n"/>
      <c r="AJ857" s="340" t="n"/>
      <c r="AK857" s="340" t="n"/>
      <c r="AL857" s="340" t="n"/>
    </row>
    <row r="858" ht="12.75" customHeight="1">
      <c r="K858" s="340" t="n"/>
      <c r="L858" s="340" t="n"/>
      <c r="M858" s="340" t="n"/>
      <c r="N858" s="340" t="n"/>
      <c r="O858" s="340" t="n"/>
      <c r="P858" s="340" t="n"/>
      <c r="Q858" s="340" t="n"/>
      <c r="R858" s="340" t="n"/>
      <c r="S858" s="340" t="n"/>
      <c r="T858" s="340" t="n"/>
      <c r="U858" s="340" t="n"/>
      <c r="V858" s="340" t="n"/>
      <c r="W858" s="340" t="n"/>
      <c r="X858" s="340" t="n"/>
      <c r="Y858" s="340" t="n"/>
      <c r="Z858" s="340" t="n"/>
      <c r="AA858" s="340" t="n"/>
      <c r="AB858" s="340" t="n"/>
      <c r="AC858" s="340" t="n"/>
      <c r="AD858" s="340" t="n"/>
      <c r="AE858" s="340" t="n"/>
      <c r="AF858" s="340" t="n"/>
      <c r="AG858" s="340" t="n"/>
      <c r="AH858" s="340" t="n"/>
      <c r="AI858" s="340" t="n"/>
      <c r="AJ858" s="340" t="n"/>
      <c r="AK858" s="340" t="n"/>
      <c r="AL858" s="340" t="n"/>
    </row>
    <row r="859" ht="12.75" customHeight="1">
      <c r="K859" s="340" t="n"/>
      <c r="L859" s="340" t="n"/>
      <c r="M859" s="340" t="n"/>
      <c r="N859" s="340" t="n"/>
      <c r="O859" s="340" t="n"/>
      <c r="P859" s="340" t="n"/>
      <c r="Q859" s="340" t="n"/>
      <c r="R859" s="340" t="n"/>
      <c r="S859" s="340" t="n"/>
      <c r="T859" s="340" t="n"/>
      <c r="U859" s="340" t="n"/>
      <c r="V859" s="340" t="n"/>
      <c r="W859" s="340" t="n"/>
      <c r="X859" s="340" t="n"/>
      <c r="Y859" s="340" t="n"/>
      <c r="Z859" s="340" t="n"/>
      <c r="AA859" s="340" t="n"/>
      <c r="AB859" s="340" t="n"/>
      <c r="AC859" s="340" t="n"/>
      <c r="AD859" s="340" t="n"/>
      <c r="AE859" s="340" t="n"/>
      <c r="AF859" s="340" t="n"/>
      <c r="AG859" s="340" t="n"/>
      <c r="AH859" s="340" t="n"/>
      <c r="AI859" s="340" t="n"/>
      <c r="AJ859" s="340" t="n"/>
      <c r="AK859" s="340" t="n"/>
      <c r="AL859" s="340" t="n"/>
    </row>
    <row r="860" ht="12.75" customHeight="1">
      <c r="K860" s="340" t="n"/>
      <c r="L860" s="340" t="n"/>
      <c r="M860" s="340" t="n"/>
      <c r="N860" s="340" t="n"/>
      <c r="O860" s="340" t="n"/>
      <c r="P860" s="340" t="n"/>
      <c r="Q860" s="340" t="n"/>
      <c r="R860" s="340" t="n"/>
      <c r="S860" s="340" t="n"/>
      <c r="T860" s="340" t="n"/>
      <c r="U860" s="340" t="n"/>
      <c r="V860" s="340" t="n"/>
      <c r="W860" s="340" t="n"/>
      <c r="X860" s="340" t="n"/>
      <c r="Y860" s="340" t="n"/>
      <c r="Z860" s="340" t="n"/>
      <c r="AA860" s="340" t="n"/>
      <c r="AB860" s="340" t="n"/>
      <c r="AC860" s="340" t="n"/>
      <c r="AD860" s="340" t="n"/>
      <c r="AE860" s="340" t="n"/>
      <c r="AF860" s="340" t="n"/>
      <c r="AG860" s="340" t="n"/>
      <c r="AH860" s="340" t="n"/>
      <c r="AI860" s="340" t="n"/>
      <c r="AJ860" s="340" t="n"/>
      <c r="AK860" s="340" t="n"/>
      <c r="AL860" s="340" t="n"/>
    </row>
    <row r="861" ht="12.75" customHeight="1">
      <c r="K861" s="340" t="n"/>
      <c r="L861" s="340" t="n"/>
      <c r="M861" s="340" t="n"/>
      <c r="N861" s="340" t="n"/>
      <c r="O861" s="340" t="n"/>
      <c r="P861" s="340" t="n"/>
      <c r="Q861" s="340" t="n"/>
      <c r="R861" s="340" t="n"/>
      <c r="S861" s="340" t="n"/>
      <c r="T861" s="340" t="n"/>
      <c r="U861" s="340" t="n"/>
      <c r="V861" s="340" t="n"/>
      <c r="W861" s="340" t="n"/>
      <c r="X861" s="340" t="n"/>
      <c r="Y861" s="340" t="n"/>
      <c r="Z861" s="340" t="n"/>
      <c r="AA861" s="340" t="n"/>
      <c r="AB861" s="340" t="n"/>
      <c r="AC861" s="340" t="n"/>
      <c r="AD861" s="340" t="n"/>
      <c r="AE861" s="340" t="n"/>
      <c r="AF861" s="340" t="n"/>
      <c r="AG861" s="340" t="n"/>
      <c r="AH861" s="340" t="n"/>
      <c r="AI861" s="340" t="n"/>
      <c r="AJ861" s="340" t="n"/>
      <c r="AK861" s="340" t="n"/>
      <c r="AL861" s="340" t="n"/>
    </row>
    <row r="862" ht="12.75" customHeight="1">
      <c r="K862" s="340" t="n"/>
      <c r="L862" s="340" t="n"/>
      <c r="M862" s="340" t="n"/>
      <c r="N862" s="340" t="n"/>
      <c r="O862" s="340" t="n"/>
      <c r="P862" s="340" t="n"/>
      <c r="Q862" s="340" t="n"/>
      <c r="R862" s="340" t="n"/>
      <c r="S862" s="340" t="n"/>
      <c r="T862" s="340" t="n"/>
      <c r="U862" s="340" t="n"/>
      <c r="V862" s="340" t="n"/>
      <c r="W862" s="340" t="n"/>
      <c r="X862" s="340" t="n"/>
      <c r="Y862" s="340" t="n"/>
      <c r="Z862" s="340" t="n"/>
      <c r="AA862" s="340" t="n"/>
      <c r="AB862" s="340" t="n"/>
      <c r="AC862" s="340" t="n"/>
      <c r="AD862" s="340" t="n"/>
      <c r="AE862" s="340" t="n"/>
      <c r="AF862" s="340" t="n"/>
      <c r="AG862" s="340" t="n"/>
      <c r="AH862" s="340" t="n"/>
      <c r="AI862" s="340" t="n"/>
      <c r="AJ862" s="340" t="n"/>
      <c r="AK862" s="340" t="n"/>
      <c r="AL862" s="340" t="n"/>
    </row>
    <row r="863" ht="12.75" customHeight="1">
      <c r="K863" s="340" t="n"/>
      <c r="L863" s="340" t="n"/>
      <c r="M863" s="340" t="n"/>
      <c r="N863" s="340" t="n"/>
      <c r="O863" s="340" t="n"/>
      <c r="P863" s="340" t="n"/>
      <c r="Q863" s="340" t="n"/>
      <c r="R863" s="340" t="n"/>
      <c r="S863" s="340" t="n"/>
      <c r="T863" s="340" t="n"/>
      <c r="U863" s="340" t="n"/>
      <c r="V863" s="340" t="n"/>
      <c r="W863" s="340" t="n"/>
      <c r="X863" s="340" t="n"/>
      <c r="Y863" s="340" t="n"/>
      <c r="Z863" s="340" t="n"/>
      <c r="AA863" s="340" t="n"/>
      <c r="AB863" s="340" t="n"/>
      <c r="AC863" s="340" t="n"/>
      <c r="AD863" s="340" t="n"/>
      <c r="AE863" s="340" t="n"/>
      <c r="AF863" s="340" t="n"/>
      <c r="AG863" s="340" t="n"/>
      <c r="AH863" s="340" t="n"/>
      <c r="AI863" s="340" t="n"/>
      <c r="AJ863" s="340" t="n"/>
      <c r="AK863" s="340" t="n"/>
      <c r="AL863" s="340" t="n"/>
    </row>
    <row r="864" ht="12.75" customHeight="1">
      <c r="K864" s="340" t="n"/>
      <c r="L864" s="340" t="n"/>
      <c r="M864" s="340" t="n"/>
      <c r="N864" s="340" t="n"/>
      <c r="O864" s="340" t="n"/>
      <c r="P864" s="340" t="n"/>
      <c r="Q864" s="340" t="n"/>
      <c r="R864" s="340" t="n"/>
      <c r="S864" s="340" t="n"/>
      <c r="T864" s="340" t="n"/>
      <c r="U864" s="340" t="n"/>
      <c r="V864" s="340" t="n"/>
      <c r="W864" s="340" t="n"/>
      <c r="X864" s="340" t="n"/>
      <c r="Y864" s="340" t="n"/>
      <c r="Z864" s="340" t="n"/>
      <c r="AA864" s="340" t="n"/>
      <c r="AB864" s="340" t="n"/>
      <c r="AC864" s="340" t="n"/>
      <c r="AD864" s="340" t="n"/>
      <c r="AE864" s="340" t="n"/>
      <c r="AF864" s="340" t="n"/>
      <c r="AG864" s="340" t="n"/>
      <c r="AH864" s="340" t="n"/>
      <c r="AI864" s="340" t="n"/>
      <c r="AJ864" s="340" t="n"/>
      <c r="AK864" s="340" t="n"/>
      <c r="AL864" s="340" t="n"/>
    </row>
    <row r="865" ht="12.75" customHeight="1">
      <c r="K865" s="340" t="n"/>
      <c r="L865" s="340" t="n"/>
      <c r="M865" s="340" t="n"/>
      <c r="N865" s="340" t="n"/>
      <c r="O865" s="340" t="n"/>
      <c r="P865" s="340" t="n"/>
      <c r="Q865" s="340" t="n"/>
      <c r="R865" s="340" t="n"/>
      <c r="S865" s="340" t="n"/>
      <c r="T865" s="340" t="n"/>
      <c r="U865" s="340" t="n"/>
      <c r="V865" s="340" t="n"/>
      <c r="W865" s="340" t="n"/>
      <c r="X865" s="340" t="n"/>
      <c r="Y865" s="340" t="n"/>
      <c r="Z865" s="340" t="n"/>
      <c r="AA865" s="340" t="n"/>
      <c r="AB865" s="340" t="n"/>
      <c r="AC865" s="340" t="n"/>
      <c r="AD865" s="340" t="n"/>
      <c r="AE865" s="340" t="n"/>
      <c r="AF865" s="340" t="n"/>
      <c r="AG865" s="340" t="n"/>
      <c r="AH865" s="340" t="n"/>
      <c r="AI865" s="340" t="n"/>
      <c r="AJ865" s="340" t="n"/>
      <c r="AK865" s="340" t="n"/>
      <c r="AL865" s="340" t="n"/>
    </row>
    <row r="866" ht="12.75" customHeight="1">
      <c r="K866" s="340" t="n"/>
      <c r="L866" s="340" t="n"/>
      <c r="M866" s="340" t="n"/>
      <c r="N866" s="340" t="n"/>
      <c r="O866" s="340" t="n"/>
      <c r="P866" s="340" t="n"/>
      <c r="Q866" s="340" t="n"/>
      <c r="R866" s="340" t="n"/>
      <c r="S866" s="340" t="n"/>
      <c r="T866" s="340" t="n"/>
      <c r="U866" s="340" t="n"/>
      <c r="V866" s="340" t="n"/>
      <c r="W866" s="340" t="n"/>
      <c r="X866" s="340" t="n"/>
      <c r="Y866" s="340" t="n"/>
      <c r="Z866" s="340" t="n"/>
      <c r="AA866" s="340" t="n"/>
      <c r="AB866" s="340" t="n"/>
      <c r="AC866" s="340" t="n"/>
      <c r="AD866" s="340" t="n"/>
      <c r="AE866" s="340" t="n"/>
      <c r="AF866" s="340" t="n"/>
      <c r="AG866" s="340" t="n"/>
      <c r="AH866" s="340" t="n"/>
      <c r="AI866" s="340" t="n"/>
      <c r="AJ866" s="340" t="n"/>
      <c r="AK866" s="340" t="n"/>
      <c r="AL866" s="340" t="n"/>
    </row>
    <row r="867" ht="12.75" customHeight="1">
      <c r="K867" s="340" t="n"/>
      <c r="L867" s="340" t="n"/>
      <c r="M867" s="340" t="n"/>
      <c r="N867" s="340" t="n"/>
      <c r="O867" s="340" t="n"/>
      <c r="P867" s="340" t="n"/>
      <c r="Q867" s="340" t="n"/>
      <c r="R867" s="340" t="n"/>
      <c r="S867" s="340" t="n"/>
      <c r="T867" s="340" t="n"/>
      <c r="U867" s="340" t="n"/>
      <c r="V867" s="340" t="n"/>
      <c r="W867" s="340" t="n"/>
      <c r="X867" s="340" t="n"/>
      <c r="Y867" s="340" t="n"/>
      <c r="Z867" s="340" t="n"/>
      <c r="AA867" s="340" t="n"/>
      <c r="AB867" s="340" t="n"/>
      <c r="AC867" s="340" t="n"/>
      <c r="AD867" s="340" t="n"/>
      <c r="AE867" s="340" t="n"/>
      <c r="AF867" s="340" t="n"/>
      <c r="AG867" s="340" t="n"/>
      <c r="AH867" s="340" t="n"/>
      <c r="AI867" s="340" t="n"/>
      <c r="AJ867" s="340" t="n"/>
      <c r="AK867" s="340" t="n"/>
      <c r="AL867" s="340" t="n"/>
    </row>
    <row r="868" ht="12.75" customHeight="1">
      <c r="K868" s="340" t="n"/>
      <c r="L868" s="340" t="n"/>
      <c r="M868" s="340" t="n"/>
      <c r="N868" s="340" t="n"/>
      <c r="O868" s="340" t="n"/>
      <c r="P868" s="340" t="n"/>
      <c r="Q868" s="340" t="n"/>
      <c r="R868" s="340" t="n"/>
      <c r="S868" s="340" t="n"/>
      <c r="T868" s="340" t="n"/>
      <c r="U868" s="340" t="n"/>
      <c r="V868" s="340" t="n"/>
      <c r="W868" s="340" t="n"/>
      <c r="X868" s="340" t="n"/>
      <c r="Y868" s="340" t="n"/>
      <c r="Z868" s="340" t="n"/>
      <c r="AA868" s="340" t="n"/>
      <c r="AB868" s="340" t="n"/>
      <c r="AC868" s="340" t="n"/>
      <c r="AD868" s="340" t="n"/>
      <c r="AE868" s="340" t="n"/>
      <c r="AF868" s="340" t="n"/>
      <c r="AG868" s="340" t="n"/>
      <c r="AH868" s="340" t="n"/>
      <c r="AI868" s="340" t="n"/>
      <c r="AJ868" s="340" t="n"/>
      <c r="AK868" s="340" t="n"/>
      <c r="AL868" s="340" t="n"/>
    </row>
    <row r="869" ht="12.75" customHeight="1">
      <c r="K869" s="340" t="n"/>
      <c r="L869" s="340" t="n"/>
      <c r="M869" s="340" t="n"/>
      <c r="N869" s="340" t="n"/>
      <c r="O869" s="340" t="n"/>
      <c r="P869" s="340" t="n"/>
      <c r="Q869" s="340" t="n"/>
      <c r="R869" s="340" t="n"/>
      <c r="S869" s="340" t="n"/>
      <c r="T869" s="340" t="n"/>
      <c r="U869" s="340" t="n"/>
      <c r="V869" s="340" t="n"/>
      <c r="W869" s="340" t="n"/>
      <c r="X869" s="340" t="n"/>
      <c r="Y869" s="340" t="n"/>
      <c r="Z869" s="340" t="n"/>
      <c r="AA869" s="340" t="n"/>
      <c r="AB869" s="340" t="n"/>
      <c r="AC869" s="340" t="n"/>
      <c r="AD869" s="340" t="n"/>
      <c r="AE869" s="340" t="n"/>
      <c r="AF869" s="340" t="n"/>
      <c r="AG869" s="340" t="n"/>
      <c r="AH869" s="340" t="n"/>
      <c r="AI869" s="340" t="n"/>
      <c r="AJ869" s="340" t="n"/>
      <c r="AK869" s="340" t="n"/>
      <c r="AL869" s="340" t="n"/>
    </row>
    <row r="870" ht="12.75" customHeight="1">
      <c r="K870" s="340" t="n"/>
      <c r="L870" s="340" t="n"/>
      <c r="M870" s="340" t="n"/>
      <c r="N870" s="340" t="n"/>
      <c r="O870" s="340" t="n"/>
      <c r="P870" s="340" t="n"/>
      <c r="Q870" s="340" t="n"/>
      <c r="R870" s="340" t="n"/>
      <c r="S870" s="340" t="n"/>
      <c r="T870" s="340" t="n"/>
      <c r="U870" s="340" t="n"/>
      <c r="V870" s="340" t="n"/>
      <c r="W870" s="340" t="n"/>
      <c r="X870" s="340" t="n"/>
      <c r="Y870" s="340" t="n"/>
      <c r="Z870" s="340" t="n"/>
      <c r="AA870" s="340" t="n"/>
      <c r="AB870" s="340" t="n"/>
      <c r="AC870" s="340" t="n"/>
      <c r="AD870" s="340" t="n"/>
      <c r="AE870" s="340" t="n"/>
      <c r="AF870" s="340" t="n"/>
      <c r="AG870" s="340" t="n"/>
      <c r="AH870" s="340" t="n"/>
      <c r="AI870" s="340" t="n"/>
      <c r="AJ870" s="340" t="n"/>
      <c r="AK870" s="340" t="n"/>
      <c r="AL870" s="340" t="n"/>
    </row>
    <row r="871" ht="12.75" customHeight="1">
      <c r="K871" s="340" t="n"/>
      <c r="L871" s="340" t="n"/>
      <c r="M871" s="340" t="n"/>
      <c r="N871" s="340" t="n"/>
      <c r="O871" s="340" t="n"/>
      <c r="P871" s="340" t="n"/>
      <c r="Q871" s="340" t="n"/>
      <c r="R871" s="340" t="n"/>
      <c r="S871" s="340" t="n"/>
      <c r="T871" s="340" t="n"/>
      <c r="U871" s="340" t="n"/>
      <c r="V871" s="340" t="n"/>
      <c r="W871" s="340" t="n"/>
      <c r="X871" s="340" t="n"/>
      <c r="Y871" s="340" t="n"/>
      <c r="Z871" s="340" t="n"/>
      <c r="AA871" s="340" t="n"/>
      <c r="AB871" s="340" t="n"/>
      <c r="AC871" s="340" t="n"/>
      <c r="AD871" s="340" t="n"/>
      <c r="AE871" s="340" t="n"/>
      <c r="AF871" s="340" t="n"/>
      <c r="AG871" s="340" t="n"/>
      <c r="AH871" s="340" t="n"/>
      <c r="AI871" s="340" t="n"/>
      <c r="AJ871" s="340" t="n"/>
      <c r="AK871" s="340" t="n"/>
      <c r="AL871" s="340" t="n"/>
    </row>
    <row r="872" ht="12.75" customHeight="1">
      <c r="K872" s="340" t="n"/>
      <c r="L872" s="340" t="n"/>
      <c r="M872" s="340" t="n"/>
      <c r="N872" s="340" t="n"/>
      <c r="O872" s="340" t="n"/>
      <c r="P872" s="340" t="n"/>
      <c r="Q872" s="340" t="n"/>
      <c r="R872" s="340" t="n"/>
      <c r="S872" s="340" t="n"/>
      <c r="T872" s="340" t="n"/>
      <c r="U872" s="340" t="n"/>
      <c r="V872" s="340" t="n"/>
      <c r="W872" s="340" t="n"/>
      <c r="X872" s="340" t="n"/>
      <c r="Y872" s="340" t="n"/>
      <c r="Z872" s="340" t="n"/>
      <c r="AA872" s="340" t="n"/>
      <c r="AB872" s="340" t="n"/>
      <c r="AC872" s="340" t="n"/>
      <c r="AD872" s="340" t="n"/>
      <c r="AE872" s="340" t="n"/>
      <c r="AF872" s="340" t="n"/>
      <c r="AG872" s="340" t="n"/>
      <c r="AH872" s="340" t="n"/>
      <c r="AI872" s="340" t="n"/>
      <c r="AJ872" s="340" t="n"/>
      <c r="AK872" s="340" t="n"/>
      <c r="AL872" s="340" t="n"/>
    </row>
    <row r="873" ht="12.75" customHeight="1">
      <c r="K873" s="340" t="n"/>
      <c r="L873" s="340" t="n"/>
      <c r="M873" s="340" t="n"/>
      <c r="N873" s="340" t="n"/>
      <c r="O873" s="340" t="n"/>
      <c r="P873" s="340" t="n"/>
      <c r="Q873" s="340" t="n"/>
      <c r="R873" s="340" t="n"/>
      <c r="S873" s="340" t="n"/>
      <c r="T873" s="340" t="n"/>
      <c r="U873" s="340" t="n"/>
      <c r="V873" s="340" t="n"/>
      <c r="W873" s="340" t="n"/>
      <c r="X873" s="340" t="n"/>
      <c r="Y873" s="340" t="n"/>
      <c r="Z873" s="340" t="n"/>
      <c r="AA873" s="340" t="n"/>
      <c r="AB873" s="340" t="n"/>
      <c r="AC873" s="340" t="n"/>
      <c r="AD873" s="340" t="n"/>
      <c r="AE873" s="340" t="n"/>
      <c r="AF873" s="340" t="n"/>
      <c r="AG873" s="340" t="n"/>
      <c r="AH873" s="340" t="n"/>
      <c r="AI873" s="340" t="n"/>
      <c r="AJ873" s="340" t="n"/>
      <c r="AK873" s="340" t="n"/>
      <c r="AL873" s="340" t="n"/>
    </row>
    <row r="874" ht="12.75" customHeight="1">
      <c r="K874" s="340" t="n"/>
      <c r="L874" s="340" t="n"/>
      <c r="M874" s="340" t="n"/>
      <c r="N874" s="340" t="n"/>
      <c r="O874" s="340" t="n"/>
      <c r="P874" s="340" t="n"/>
      <c r="Q874" s="340" t="n"/>
      <c r="R874" s="340" t="n"/>
      <c r="S874" s="340" t="n"/>
      <c r="T874" s="340" t="n"/>
      <c r="U874" s="340" t="n"/>
      <c r="V874" s="340" t="n"/>
      <c r="W874" s="340" t="n"/>
      <c r="X874" s="340" t="n"/>
      <c r="Y874" s="340" t="n"/>
      <c r="Z874" s="340" t="n"/>
      <c r="AA874" s="340" t="n"/>
      <c r="AB874" s="340" t="n"/>
      <c r="AC874" s="340" t="n"/>
      <c r="AD874" s="340" t="n"/>
      <c r="AE874" s="340" t="n"/>
      <c r="AF874" s="340" t="n"/>
      <c r="AG874" s="340" t="n"/>
      <c r="AH874" s="340" t="n"/>
      <c r="AI874" s="340" t="n"/>
      <c r="AJ874" s="340" t="n"/>
      <c r="AK874" s="340" t="n"/>
      <c r="AL874" s="340" t="n"/>
    </row>
    <row r="875" ht="12.75" customHeight="1">
      <c r="K875" s="340" t="n"/>
      <c r="L875" s="340" t="n"/>
      <c r="M875" s="340" t="n"/>
      <c r="N875" s="340" t="n"/>
      <c r="O875" s="340" t="n"/>
      <c r="P875" s="340" t="n"/>
      <c r="Q875" s="340" t="n"/>
      <c r="R875" s="340" t="n"/>
      <c r="S875" s="340" t="n"/>
      <c r="T875" s="340" t="n"/>
      <c r="U875" s="340" t="n"/>
      <c r="V875" s="340" t="n"/>
      <c r="W875" s="340" t="n"/>
      <c r="X875" s="340" t="n"/>
      <c r="Y875" s="340" t="n"/>
      <c r="Z875" s="340" t="n"/>
      <c r="AA875" s="340" t="n"/>
      <c r="AB875" s="340" t="n"/>
      <c r="AC875" s="340" t="n"/>
      <c r="AD875" s="340" t="n"/>
      <c r="AE875" s="340" t="n"/>
      <c r="AF875" s="340" t="n"/>
      <c r="AG875" s="340" t="n"/>
      <c r="AH875" s="340" t="n"/>
      <c r="AI875" s="340" t="n"/>
      <c r="AJ875" s="340" t="n"/>
      <c r="AK875" s="340" t="n"/>
      <c r="AL875" s="340" t="n"/>
    </row>
    <row r="876" ht="12.75" customHeight="1">
      <c r="K876" s="340" t="n"/>
      <c r="L876" s="340" t="n"/>
      <c r="M876" s="340" t="n"/>
      <c r="N876" s="340" t="n"/>
      <c r="O876" s="340" t="n"/>
      <c r="P876" s="340" t="n"/>
      <c r="Q876" s="340" t="n"/>
      <c r="R876" s="340" t="n"/>
      <c r="S876" s="340" t="n"/>
      <c r="T876" s="340" t="n"/>
      <c r="U876" s="340" t="n"/>
      <c r="V876" s="340" t="n"/>
      <c r="W876" s="340" t="n"/>
      <c r="X876" s="340" t="n"/>
      <c r="Y876" s="340" t="n"/>
      <c r="Z876" s="340" t="n"/>
      <c r="AA876" s="340" t="n"/>
      <c r="AB876" s="340" t="n"/>
      <c r="AC876" s="340" t="n"/>
      <c r="AD876" s="340" t="n"/>
      <c r="AE876" s="340" t="n"/>
      <c r="AF876" s="340" t="n"/>
      <c r="AG876" s="340" t="n"/>
      <c r="AH876" s="340" t="n"/>
      <c r="AI876" s="340" t="n"/>
      <c r="AJ876" s="340" t="n"/>
      <c r="AK876" s="340" t="n"/>
      <c r="AL876" s="340" t="n"/>
    </row>
    <row r="877" ht="12.75" customHeight="1">
      <c r="K877" s="340" t="n"/>
      <c r="L877" s="340" t="n"/>
      <c r="M877" s="340" t="n"/>
      <c r="N877" s="340" t="n"/>
      <c r="O877" s="340" t="n"/>
      <c r="P877" s="340" t="n"/>
      <c r="Q877" s="340" t="n"/>
      <c r="R877" s="340" t="n"/>
      <c r="S877" s="340" t="n"/>
      <c r="T877" s="340" t="n"/>
      <c r="U877" s="340" t="n"/>
      <c r="V877" s="340" t="n"/>
      <c r="W877" s="340" t="n"/>
      <c r="X877" s="340" t="n"/>
      <c r="Y877" s="340" t="n"/>
      <c r="Z877" s="340" t="n"/>
      <c r="AA877" s="340" t="n"/>
      <c r="AB877" s="340" t="n"/>
      <c r="AC877" s="340" t="n"/>
      <c r="AD877" s="340" t="n"/>
      <c r="AE877" s="340" t="n"/>
      <c r="AF877" s="340" t="n"/>
      <c r="AG877" s="340" t="n"/>
      <c r="AH877" s="340" t="n"/>
      <c r="AI877" s="340" t="n"/>
      <c r="AJ877" s="340" t="n"/>
      <c r="AK877" s="340" t="n"/>
      <c r="AL877" s="340" t="n"/>
    </row>
    <row r="878" ht="12.75" customHeight="1">
      <c r="K878" s="340" t="n"/>
      <c r="L878" s="340" t="n"/>
      <c r="M878" s="340" t="n"/>
      <c r="N878" s="340" t="n"/>
      <c r="O878" s="340" t="n"/>
      <c r="P878" s="340" t="n"/>
      <c r="Q878" s="340" t="n"/>
      <c r="R878" s="340" t="n"/>
      <c r="S878" s="340" t="n"/>
      <c r="T878" s="340" t="n"/>
      <c r="U878" s="340" t="n"/>
      <c r="V878" s="340" t="n"/>
      <c r="W878" s="340" t="n"/>
      <c r="X878" s="340" t="n"/>
      <c r="Y878" s="340" t="n"/>
      <c r="Z878" s="340" t="n"/>
      <c r="AA878" s="340" t="n"/>
      <c r="AB878" s="340" t="n"/>
      <c r="AC878" s="340" t="n"/>
      <c r="AD878" s="340" t="n"/>
      <c r="AE878" s="340" t="n"/>
      <c r="AF878" s="340" t="n"/>
      <c r="AG878" s="340" t="n"/>
      <c r="AH878" s="340" t="n"/>
      <c r="AI878" s="340" t="n"/>
      <c r="AJ878" s="340" t="n"/>
      <c r="AK878" s="340" t="n"/>
      <c r="AL878" s="340" t="n"/>
    </row>
    <row r="879" ht="12.75" customHeight="1">
      <c r="K879" s="340" t="n"/>
      <c r="L879" s="340" t="n"/>
      <c r="M879" s="340" t="n"/>
      <c r="N879" s="340" t="n"/>
      <c r="O879" s="340" t="n"/>
      <c r="P879" s="340" t="n"/>
      <c r="Q879" s="340" t="n"/>
      <c r="R879" s="340" t="n"/>
      <c r="S879" s="340" t="n"/>
      <c r="T879" s="340" t="n"/>
      <c r="U879" s="340" t="n"/>
      <c r="V879" s="340" t="n"/>
      <c r="W879" s="340" t="n"/>
      <c r="X879" s="340" t="n"/>
      <c r="Y879" s="340" t="n"/>
      <c r="Z879" s="340" t="n"/>
      <c r="AA879" s="340" t="n"/>
      <c r="AB879" s="340" t="n"/>
      <c r="AC879" s="340" t="n"/>
      <c r="AD879" s="340" t="n"/>
      <c r="AE879" s="340" t="n"/>
      <c r="AF879" s="340" t="n"/>
      <c r="AG879" s="340" t="n"/>
      <c r="AH879" s="340" t="n"/>
      <c r="AI879" s="340" t="n"/>
      <c r="AJ879" s="340" t="n"/>
      <c r="AK879" s="340" t="n"/>
      <c r="AL879" s="340" t="n"/>
    </row>
    <row r="880" ht="12.75" customHeight="1">
      <c r="K880" s="340" t="n"/>
      <c r="L880" s="340" t="n"/>
      <c r="M880" s="340" t="n"/>
      <c r="N880" s="340" t="n"/>
      <c r="O880" s="340" t="n"/>
      <c r="P880" s="340" t="n"/>
      <c r="Q880" s="340" t="n"/>
      <c r="R880" s="340" t="n"/>
      <c r="S880" s="340" t="n"/>
      <c r="T880" s="340" t="n"/>
      <c r="U880" s="340" t="n"/>
      <c r="V880" s="340" t="n"/>
      <c r="W880" s="340" t="n"/>
      <c r="X880" s="340" t="n"/>
      <c r="Y880" s="340" t="n"/>
      <c r="Z880" s="340" t="n"/>
      <c r="AA880" s="340" t="n"/>
      <c r="AB880" s="340" t="n"/>
      <c r="AC880" s="340" t="n"/>
      <c r="AD880" s="340" t="n"/>
      <c r="AE880" s="340" t="n"/>
      <c r="AF880" s="340" t="n"/>
      <c r="AG880" s="340" t="n"/>
      <c r="AH880" s="340" t="n"/>
      <c r="AI880" s="340" t="n"/>
      <c r="AJ880" s="340" t="n"/>
      <c r="AK880" s="340" t="n"/>
      <c r="AL880" s="340" t="n"/>
    </row>
    <row r="881" ht="12.75" customHeight="1">
      <c r="K881" s="340" t="n"/>
      <c r="L881" s="340" t="n"/>
      <c r="M881" s="340" t="n"/>
      <c r="N881" s="340" t="n"/>
      <c r="O881" s="340" t="n"/>
      <c r="P881" s="340" t="n"/>
      <c r="Q881" s="340" t="n"/>
      <c r="R881" s="340" t="n"/>
      <c r="S881" s="340" t="n"/>
      <c r="T881" s="340" t="n"/>
      <c r="U881" s="340" t="n"/>
      <c r="V881" s="340" t="n"/>
      <c r="W881" s="340" t="n"/>
      <c r="X881" s="340" t="n"/>
      <c r="Y881" s="340" t="n"/>
      <c r="Z881" s="340" t="n"/>
      <c r="AA881" s="340" t="n"/>
      <c r="AB881" s="340" t="n"/>
      <c r="AC881" s="340" t="n"/>
      <c r="AD881" s="340" t="n"/>
      <c r="AE881" s="340" t="n"/>
      <c r="AF881" s="340" t="n"/>
      <c r="AG881" s="340" t="n"/>
      <c r="AH881" s="340" t="n"/>
      <c r="AI881" s="340" t="n"/>
      <c r="AJ881" s="340" t="n"/>
      <c r="AK881" s="340" t="n"/>
      <c r="AL881" s="340" t="n"/>
    </row>
    <row r="882" ht="12.75" customHeight="1">
      <c r="K882" s="340" t="n"/>
      <c r="L882" s="340" t="n"/>
      <c r="M882" s="340" t="n"/>
      <c r="N882" s="340" t="n"/>
      <c r="O882" s="340" t="n"/>
      <c r="P882" s="340" t="n"/>
      <c r="Q882" s="340" t="n"/>
      <c r="R882" s="340" t="n"/>
      <c r="S882" s="340" t="n"/>
      <c r="T882" s="340" t="n"/>
      <c r="U882" s="340" t="n"/>
      <c r="V882" s="340" t="n"/>
      <c r="W882" s="340" t="n"/>
      <c r="X882" s="340" t="n"/>
      <c r="Y882" s="340" t="n"/>
      <c r="Z882" s="340" t="n"/>
      <c r="AA882" s="340" t="n"/>
      <c r="AB882" s="340" t="n"/>
      <c r="AC882" s="340" t="n"/>
      <c r="AD882" s="340" t="n"/>
      <c r="AE882" s="340" t="n"/>
      <c r="AF882" s="340" t="n"/>
      <c r="AG882" s="340" t="n"/>
      <c r="AH882" s="340" t="n"/>
      <c r="AI882" s="340" t="n"/>
      <c r="AJ882" s="340" t="n"/>
      <c r="AK882" s="340" t="n"/>
      <c r="AL882" s="340" t="n"/>
    </row>
    <row r="883" ht="12.75" customHeight="1">
      <c r="K883" s="340" t="n"/>
      <c r="L883" s="340" t="n"/>
      <c r="M883" s="340" t="n"/>
      <c r="N883" s="340" t="n"/>
      <c r="O883" s="340" t="n"/>
      <c r="P883" s="340" t="n"/>
      <c r="Q883" s="340" t="n"/>
      <c r="R883" s="340" t="n"/>
      <c r="S883" s="340" t="n"/>
      <c r="T883" s="340" t="n"/>
      <c r="U883" s="340" t="n"/>
      <c r="V883" s="340" t="n"/>
      <c r="W883" s="340" t="n"/>
      <c r="X883" s="340" t="n"/>
      <c r="Y883" s="340" t="n"/>
      <c r="Z883" s="340" t="n"/>
      <c r="AA883" s="340" t="n"/>
      <c r="AB883" s="340" t="n"/>
      <c r="AC883" s="340" t="n"/>
      <c r="AD883" s="340" t="n"/>
      <c r="AE883" s="340" t="n"/>
      <c r="AF883" s="340" t="n"/>
      <c r="AG883" s="340" t="n"/>
      <c r="AH883" s="340" t="n"/>
      <c r="AI883" s="340" t="n"/>
      <c r="AJ883" s="340" t="n"/>
      <c r="AK883" s="340" t="n"/>
      <c r="AL883" s="340" t="n"/>
    </row>
    <row r="884" ht="12.75" customHeight="1">
      <c r="K884" s="340" t="n"/>
      <c r="L884" s="340" t="n"/>
      <c r="M884" s="340" t="n"/>
      <c r="N884" s="340" t="n"/>
      <c r="O884" s="340" t="n"/>
      <c r="P884" s="340" t="n"/>
      <c r="Q884" s="340" t="n"/>
      <c r="R884" s="340" t="n"/>
      <c r="S884" s="340" t="n"/>
      <c r="T884" s="340" t="n"/>
      <c r="U884" s="340" t="n"/>
      <c r="V884" s="340" t="n"/>
      <c r="W884" s="340" t="n"/>
      <c r="X884" s="340" t="n"/>
      <c r="Y884" s="340" t="n"/>
      <c r="Z884" s="340" t="n"/>
      <c r="AA884" s="340" t="n"/>
      <c r="AB884" s="340" t="n"/>
      <c r="AC884" s="340" t="n"/>
      <c r="AD884" s="340" t="n"/>
      <c r="AE884" s="340" t="n"/>
      <c r="AF884" s="340" t="n"/>
      <c r="AG884" s="340" t="n"/>
      <c r="AH884" s="340" t="n"/>
      <c r="AI884" s="340" t="n"/>
      <c r="AJ884" s="340" t="n"/>
      <c r="AK884" s="340" t="n"/>
      <c r="AL884" s="340" t="n"/>
    </row>
    <row r="885" ht="12.75" customHeight="1">
      <c r="K885" s="340" t="n"/>
      <c r="L885" s="340" t="n"/>
      <c r="M885" s="340" t="n"/>
      <c r="N885" s="340" t="n"/>
      <c r="O885" s="340" t="n"/>
      <c r="P885" s="340" t="n"/>
      <c r="Q885" s="340" t="n"/>
      <c r="R885" s="340" t="n"/>
      <c r="S885" s="340" t="n"/>
      <c r="T885" s="340" t="n"/>
      <c r="U885" s="340" t="n"/>
      <c r="V885" s="340" t="n"/>
      <c r="W885" s="340" t="n"/>
      <c r="X885" s="340" t="n"/>
      <c r="Y885" s="340" t="n"/>
      <c r="Z885" s="340" t="n"/>
      <c r="AA885" s="340" t="n"/>
      <c r="AB885" s="340" t="n"/>
      <c r="AC885" s="340" t="n"/>
      <c r="AD885" s="340" t="n"/>
      <c r="AE885" s="340" t="n"/>
      <c r="AF885" s="340" t="n"/>
      <c r="AG885" s="340" t="n"/>
      <c r="AH885" s="340" t="n"/>
      <c r="AI885" s="340" t="n"/>
      <c r="AJ885" s="340" t="n"/>
      <c r="AK885" s="340" t="n"/>
      <c r="AL885" s="340" t="n"/>
    </row>
    <row r="886" ht="12.75" customHeight="1">
      <c r="K886" s="340" t="n"/>
      <c r="L886" s="340" t="n"/>
      <c r="M886" s="340" t="n"/>
      <c r="N886" s="340" t="n"/>
      <c r="O886" s="340" t="n"/>
      <c r="P886" s="340" t="n"/>
      <c r="Q886" s="340" t="n"/>
      <c r="R886" s="340" t="n"/>
      <c r="S886" s="340" t="n"/>
      <c r="T886" s="340" t="n"/>
      <c r="U886" s="340" t="n"/>
      <c r="V886" s="340" t="n"/>
      <c r="W886" s="340" t="n"/>
      <c r="X886" s="340" t="n"/>
      <c r="Y886" s="340" t="n"/>
      <c r="Z886" s="340" t="n"/>
      <c r="AA886" s="340" t="n"/>
      <c r="AB886" s="340" t="n"/>
      <c r="AC886" s="340" t="n"/>
      <c r="AD886" s="340" t="n"/>
      <c r="AE886" s="340" t="n"/>
      <c r="AF886" s="340" t="n"/>
      <c r="AG886" s="340" t="n"/>
      <c r="AH886" s="340" t="n"/>
      <c r="AI886" s="340" t="n"/>
      <c r="AJ886" s="340" t="n"/>
      <c r="AK886" s="340" t="n"/>
      <c r="AL886" s="340" t="n"/>
    </row>
    <row r="887" ht="12.75" customHeight="1">
      <c r="K887" s="340" t="n"/>
      <c r="L887" s="340" t="n"/>
      <c r="M887" s="340" t="n"/>
      <c r="N887" s="340" t="n"/>
      <c r="O887" s="340" t="n"/>
      <c r="P887" s="340" t="n"/>
      <c r="Q887" s="340" t="n"/>
      <c r="R887" s="340" t="n"/>
      <c r="S887" s="340" t="n"/>
      <c r="T887" s="340" t="n"/>
      <c r="U887" s="340" t="n"/>
      <c r="V887" s="340" t="n"/>
      <c r="W887" s="340" t="n"/>
      <c r="X887" s="340" t="n"/>
      <c r="Y887" s="340" t="n"/>
      <c r="Z887" s="340" t="n"/>
      <c r="AA887" s="340" t="n"/>
      <c r="AB887" s="340" t="n"/>
      <c r="AC887" s="340" t="n"/>
      <c r="AD887" s="340" t="n"/>
      <c r="AE887" s="340" t="n"/>
      <c r="AF887" s="340" t="n"/>
      <c r="AG887" s="340" t="n"/>
      <c r="AH887" s="340" t="n"/>
      <c r="AI887" s="340" t="n"/>
      <c r="AJ887" s="340" t="n"/>
      <c r="AK887" s="340" t="n"/>
      <c r="AL887" s="340" t="n"/>
    </row>
    <row r="888" ht="12.75" customHeight="1">
      <c r="K888" s="340" t="n"/>
      <c r="L888" s="340" t="n"/>
      <c r="M888" s="340" t="n"/>
      <c r="N888" s="340" t="n"/>
      <c r="O888" s="340" t="n"/>
      <c r="P888" s="340" t="n"/>
      <c r="Q888" s="340" t="n"/>
      <c r="R888" s="340" t="n"/>
      <c r="S888" s="340" t="n"/>
      <c r="T888" s="340" t="n"/>
      <c r="U888" s="340" t="n"/>
      <c r="V888" s="340" t="n"/>
      <c r="W888" s="340" t="n"/>
      <c r="X888" s="340" t="n"/>
      <c r="Y888" s="340" t="n"/>
      <c r="Z888" s="340" t="n"/>
      <c r="AA888" s="340" t="n"/>
      <c r="AB888" s="340" t="n"/>
      <c r="AC888" s="340" t="n"/>
      <c r="AD888" s="340" t="n"/>
      <c r="AE888" s="340" t="n"/>
      <c r="AF888" s="340" t="n"/>
      <c r="AG888" s="340" t="n"/>
      <c r="AH888" s="340" t="n"/>
      <c r="AI888" s="340" t="n"/>
      <c r="AJ888" s="340" t="n"/>
      <c r="AK888" s="340" t="n"/>
      <c r="AL888" s="340" t="n"/>
    </row>
    <row r="889" ht="12.75" customHeight="1">
      <c r="K889" s="340" t="n"/>
      <c r="L889" s="340" t="n"/>
      <c r="M889" s="340" t="n"/>
      <c r="N889" s="340" t="n"/>
      <c r="O889" s="340" t="n"/>
      <c r="P889" s="340" t="n"/>
      <c r="Q889" s="340" t="n"/>
      <c r="R889" s="340" t="n"/>
      <c r="S889" s="340" t="n"/>
      <c r="T889" s="340" t="n"/>
      <c r="U889" s="340" t="n"/>
      <c r="V889" s="340" t="n"/>
      <c r="W889" s="340" t="n"/>
      <c r="X889" s="340" t="n"/>
      <c r="Y889" s="340" t="n"/>
      <c r="Z889" s="340" t="n"/>
      <c r="AA889" s="340" t="n"/>
      <c r="AB889" s="340" t="n"/>
      <c r="AC889" s="340" t="n"/>
      <c r="AD889" s="340" t="n"/>
      <c r="AE889" s="340" t="n"/>
      <c r="AF889" s="340" t="n"/>
      <c r="AG889" s="340" t="n"/>
      <c r="AH889" s="340" t="n"/>
      <c r="AI889" s="340" t="n"/>
      <c r="AJ889" s="340" t="n"/>
      <c r="AK889" s="340" t="n"/>
      <c r="AL889" s="340" t="n"/>
    </row>
    <row r="890" ht="12.75" customHeight="1">
      <c r="K890" s="340" t="n"/>
      <c r="L890" s="340" t="n"/>
      <c r="M890" s="340" t="n"/>
      <c r="N890" s="340" t="n"/>
      <c r="O890" s="340" t="n"/>
      <c r="P890" s="340" t="n"/>
      <c r="Q890" s="340" t="n"/>
      <c r="R890" s="340" t="n"/>
      <c r="S890" s="340" t="n"/>
      <c r="T890" s="340" t="n"/>
      <c r="U890" s="340" t="n"/>
      <c r="V890" s="340" t="n"/>
      <c r="W890" s="340" t="n"/>
      <c r="X890" s="340" t="n"/>
      <c r="Y890" s="340" t="n"/>
      <c r="Z890" s="340" t="n"/>
      <c r="AA890" s="340" t="n"/>
      <c r="AB890" s="340" t="n"/>
      <c r="AC890" s="340" t="n"/>
      <c r="AD890" s="340" t="n"/>
      <c r="AE890" s="340" t="n"/>
      <c r="AF890" s="340" t="n"/>
      <c r="AG890" s="340" t="n"/>
      <c r="AH890" s="340" t="n"/>
      <c r="AI890" s="340" t="n"/>
      <c r="AJ890" s="340" t="n"/>
      <c r="AK890" s="340" t="n"/>
      <c r="AL890" s="340" t="n"/>
    </row>
    <row r="891" ht="12.75" customHeight="1">
      <c r="K891" s="340" t="n"/>
      <c r="L891" s="340" t="n"/>
      <c r="M891" s="340" t="n"/>
      <c r="N891" s="340" t="n"/>
      <c r="O891" s="340" t="n"/>
      <c r="P891" s="340" t="n"/>
      <c r="Q891" s="340" t="n"/>
      <c r="R891" s="340" t="n"/>
      <c r="S891" s="340" t="n"/>
      <c r="T891" s="340" t="n"/>
      <c r="U891" s="340" t="n"/>
      <c r="V891" s="340" t="n"/>
      <c r="W891" s="340" t="n"/>
      <c r="X891" s="340" t="n"/>
      <c r="Y891" s="340" t="n"/>
      <c r="Z891" s="340" t="n"/>
      <c r="AA891" s="340" t="n"/>
      <c r="AB891" s="340" t="n"/>
      <c r="AC891" s="340" t="n"/>
      <c r="AD891" s="340" t="n"/>
      <c r="AE891" s="340" t="n"/>
      <c r="AF891" s="340" t="n"/>
      <c r="AG891" s="340" t="n"/>
      <c r="AH891" s="340" t="n"/>
      <c r="AI891" s="340" t="n"/>
      <c r="AJ891" s="340" t="n"/>
      <c r="AK891" s="340" t="n"/>
      <c r="AL891" s="340" t="n"/>
    </row>
    <row r="892" ht="12.75" customHeight="1">
      <c r="K892" s="340" t="n"/>
      <c r="L892" s="340" t="n"/>
      <c r="M892" s="340" t="n"/>
      <c r="N892" s="340" t="n"/>
      <c r="O892" s="340" t="n"/>
      <c r="P892" s="340" t="n"/>
      <c r="Q892" s="340" t="n"/>
      <c r="R892" s="340" t="n"/>
      <c r="S892" s="340" t="n"/>
      <c r="T892" s="340" t="n"/>
      <c r="U892" s="340" t="n"/>
      <c r="V892" s="340" t="n"/>
      <c r="W892" s="340" t="n"/>
      <c r="X892" s="340" t="n"/>
      <c r="Y892" s="340" t="n"/>
      <c r="Z892" s="340" t="n"/>
      <c r="AA892" s="340" t="n"/>
      <c r="AB892" s="340" t="n"/>
      <c r="AC892" s="340" t="n"/>
      <c r="AD892" s="340" t="n"/>
      <c r="AE892" s="340" t="n"/>
      <c r="AF892" s="340" t="n"/>
      <c r="AG892" s="340" t="n"/>
      <c r="AH892" s="340" t="n"/>
      <c r="AI892" s="340" t="n"/>
      <c r="AJ892" s="340" t="n"/>
      <c r="AK892" s="340" t="n"/>
      <c r="AL892" s="340" t="n"/>
    </row>
    <row r="893" ht="12.75" customHeight="1">
      <c r="K893" s="340" t="n"/>
      <c r="L893" s="340" t="n"/>
      <c r="M893" s="340" t="n"/>
      <c r="N893" s="340" t="n"/>
      <c r="O893" s="340" t="n"/>
      <c r="P893" s="340" t="n"/>
      <c r="Q893" s="340" t="n"/>
      <c r="R893" s="340" t="n"/>
      <c r="S893" s="340" t="n"/>
      <c r="T893" s="340" t="n"/>
      <c r="U893" s="340" t="n"/>
      <c r="V893" s="340" t="n"/>
      <c r="W893" s="340" t="n"/>
      <c r="X893" s="340" t="n"/>
      <c r="Y893" s="340" t="n"/>
      <c r="Z893" s="340" t="n"/>
      <c r="AA893" s="340" t="n"/>
      <c r="AB893" s="340" t="n"/>
      <c r="AC893" s="340" t="n"/>
      <c r="AD893" s="340" t="n"/>
      <c r="AE893" s="340" t="n"/>
      <c r="AF893" s="340" t="n"/>
      <c r="AG893" s="340" t="n"/>
      <c r="AH893" s="340" t="n"/>
      <c r="AI893" s="340" t="n"/>
      <c r="AJ893" s="340" t="n"/>
      <c r="AK893" s="340" t="n"/>
      <c r="AL893" s="340" t="n"/>
    </row>
    <row r="894" ht="12.75" customHeight="1">
      <c r="K894" s="340" t="n"/>
      <c r="L894" s="340" t="n"/>
      <c r="M894" s="340" t="n"/>
      <c r="N894" s="340" t="n"/>
      <c r="O894" s="340" t="n"/>
      <c r="P894" s="340" t="n"/>
      <c r="Q894" s="340" t="n"/>
      <c r="R894" s="340" t="n"/>
      <c r="S894" s="340" t="n"/>
      <c r="T894" s="340" t="n"/>
      <c r="U894" s="340" t="n"/>
      <c r="V894" s="340" t="n"/>
      <c r="W894" s="340" t="n"/>
      <c r="X894" s="340" t="n"/>
      <c r="Y894" s="340" t="n"/>
      <c r="Z894" s="340" t="n"/>
      <c r="AA894" s="340" t="n"/>
      <c r="AB894" s="340" t="n"/>
      <c r="AC894" s="340" t="n"/>
      <c r="AD894" s="340" t="n"/>
      <c r="AE894" s="340" t="n"/>
      <c r="AF894" s="340" t="n"/>
      <c r="AG894" s="340" t="n"/>
      <c r="AH894" s="340" t="n"/>
      <c r="AI894" s="340" t="n"/>
      <c r="AJ894" s="340" t="n"/>
      <c r="AK894" s="340" t="n"/>
      <c r="AL894" s="340" t="n"/>
    </row>
    <row r="895" ht="12.75" customHeight="1">
      <c r="K895" s="340" t="n"/>
      <c r="L895" s="340" t="n"/>
      <c r="M895" s="340" t="n"/>
      <c r="N895" s="340" t="n"/>
      <c r="O895" s="340" t="n"/>
      <c r="P895" s="340" t="n"/>
      <c r="Q895" s="340" t="n"/>
      <c r="R895" s="340" t="n"/>
      <c r="S895" s="340" t="n"/>
      <c r="T895" s="340" t="n"/>
      <c r="U895" s="340" t="n"/>
      <c r="V895" s="340" t="n"/>
      <c r="W895" s="340" t="n"/>
      <c r="X895" s="340" t="n"/>
      <c r="Y895" s="340" t="n"/>
      <c r="Z895" s="340" t="n"/>
      <c r="AA895" s="340" t="n"/>
      <c r="AB895" s="340" t="n"/>
      <c r="AC895" s="340" t="n"/>
      <c r="AD895" s="340" t="n"/>
      <c r="AE895" s="340" t="n"/>
      <c r="AF895" s="340" t="n"/>
      <c r="AG895" s="340" t="n"/>
      <c r="AH895" s="340" t="n"/>
      <c r="AI895" s="340" t="n"/>
      <c r="AJ895" s="340" t="n"/>
      <c r="AK895" s="340" t="n"/>
      <c r="AL895" s="340" t="n"/>
    </row>
    <row r="896" ht="12.75" customHeight="1">
      <c r="K896" s="340" t="n"/>
      <c r="L896" s="340" t="n"/>
      <c r="M896" s="340" t="n"/>
      <c r="N896" s="340" t="n"/>
      <c r="O896" s="340" t="n"/>
      <c r="P896" s="340" t="n"/>
      <c r="Q896" s="340" t="n"/>
      <c r="R896" s="340" t="n"/>
      <c r="S896" s="340" t="n"/>
      <c r="T896" s="340" t="n"/>
      <c r="U896" s="340" t="n"/>
      <c r="V896" s="340" t="n"/>
      <c r="W896" s="340" t="n"/>
      <c r="X896" s="340" t="n"/>
      <c r="Y896" s="340" t="n"/>
      <c r="Z896" s="340" t="n"/>
      <c r="AA896" s="340" t="n"/>
      <c r="AB896" s="340" t="n"/>
      <c r="AC896" s="340" t="n"/>
      <c r="AD896" s="340" t="n"/>
      <c r="AE896" s="340" t="n"/>
      <c r="AF896" s="340" t="n"/>
      <c r="AG896" s="340" t="n"/>
      <c r="AH896" s="340" t="n"/>
      <c r="AI896" s="340" t="n"/>
      <c r="AJ896" s="340" t="n"/>
      <c r="AK896" s="340" t="n"/>
      <c r="AL896" s="340" t="n"/>
    </row>
    <row r="897" ht="12.75" customHeight="1">
      <c r="K897" s="340" t="n"/>
      <c r="L897" s="340" t="n"/>
      <c r="M897" s="340" t="n"/>
      <c r="N897" s="340" t="n"/>
      <c r="O897" s="340" t="n"/>
      <c r="P897" s="340" t="n"/>
      <c r="Q897" s="340" t="n"/>
      <c r="R897" s="340" t="n"/>
      <c r="S897" s="340" t="n"/>
      <c r="T897" s="340" t="n"/>
      <c r="U897" s="340" t="n"/>
      <c r="V897" s="340" t="n"/>
      <c r="W897" s="340" t="n"/>
      <c r="X897" s="340" t="n"/>
      <c r="Y897" s="340" t="n"/>
      <c r="Z897" s="340" t="n"/>
      <c r="AA897" s="340" t="n"/>
      <c r="AB897" s="340" t="n"/>
      <c r="AC897" s="340" t="n"/>
      <c r="AD897" s="340" t="n"/>
      <c r="AE897" s="340" t="n"/>
      <c r="AF897" s="340" t="n"/>
      <c r="AG897" s="340" t="n"/>
      <c r="AH897" s="340" t="n"/>
      <c r="AI897" s="340" t="n"/>
      <c r="AJ897" s="340" t="n"/>
      <c r="AK897" s="340" t="n"/>
      <c r="AL897" s="340" t="n"/>
    </row>
    <row r="898" ht="12.75" customHeight="1">
      <c r="K898" s="340" t="n"/>
      <c r="L898" s="340" t="n"/>
      <c r="M898" s="340" t="n"/>
      <c r="N898" s="340" t="n"/>
      <c r="O898" s="340" t="n"/>
      <c r="P898" s="340" t="n"/>
      <c r="Q898" s="340" t="n"/>
      <c r="R898" s="340" t="n"/>
      <c r="S898" s="340" t="n"/>
      <c r="T898" s="340" t="n"/>
      <c r="U898" s="340" t="n"/>
      <c r="V898" s="340" t="n"/>
      <c r="W898" s="340" t="n"/>
      <c r="X898" s="340" t="n"/>
      <c r="Y898" s="340" t="n"/>
      <c r="Z898" s="340" t="n"/>
      <c r="AA898" s="340" t="n"/>
      <c r="AB898" s="340" t="n"/>
      <c r="AC898" s="340" t="n"/>
      <c r="AD898" s="340" t="n"/>
      <c r="AE898" s="340" t="n"/>
      <c r="AF898" s="340" t="n"/>
      <c r="AG898" s="340" t="n"/>
      <c r="AH898" s="340" t="n"/>
      <c r="AI898" s="340" t="n"/>
      <c r="AJ898" s="340" t="n"/>
      <c r="AK898" s="340" t="n"/>
      <c r="AL898" s="340" t="n"/>
    </row>
    <row r="899" ht="12.75" customHeight="1">
      <c r="K899" s="340" t="n"/>
      <c r="L899" s="340" t="n"/>
      <c r="M899" s="340" t="n"/>
      <c r="N899" s="340" t="n"/>
      <c r="O899" s="340" t="n"/>
      <c r="P899" s="340" t="n"/>
      <c r="Q899" s="340" t="n"/>
      <c r="R899" s="340" t="n"/>
      <c r="S899" s="340" t="n"/>
      <c r="T899" s="340" t="n"/>
      <c r="U899" s="340" t="n"/>
      <c r="V899" s="340" t="n"/>
      <c r="W899" s="340" t="n"/>
      <c r="X899" s="340" t="n"/>
      <c r="Y899" s="340" t="n"/>
      <c r="Z899" s="340" t="n"/>
      <c r="AA899" s="340" t="n"/>
      <c r="AB899" s="340" t="n"/>
      <c r="AC899" s="340" t="n"/>
      <c r="AD899" s="340" t="n"/>
      <c r="AE899" s="340" t="n"/>
      <c r="AF899" s="340" t="n"/>
      <c r="AG899" s="340" t="n"/>
      <c r="AH899" s="340" t="n"/>
      <c r="AI899" s="340" t="n"/>
      <c r="AJ899" s="340" t="n"/>
      <c r="AK899" s="340" t="n"/>
      <c r="AL899" s="340" t="n"/>
    </row>
    <row r="900" ht="12.75" customHeight="1">
      <c r="K900" s="340" t="n"/>
      <c r="L900" s="340" t="n"/>
      <c r="M900" s="340" t="n"/>
      <c r="N900" s="340" t="n"/>
      <c r="O900" s="340" t="n"/>
      <c r="P900" s="340" t="n"/>
      <c r="Q900" s="340" t="n"/>
      <c r="R900" s="340" t="n"/>
      <c r="S900" s="340" t="n"/>
      <c r="T900" s="340" t="n"/>
      <c r="U900" s="340" t="n"/>
      <c r="V900" s="340" t="n"/>
      <c r="W900" s="340" t="n"/>
      <c r="X900" s="340" t="n"/>
      <c r="Y900" s="340" t="n"/>
      <c r="Z900" s="340" t="n"/>
      <c r="AA900" s="340" t="n"/>
      <c r="AB900" s="340" t="n"/>
      <c r="AC900" s="340" t="n"/>
      <c r="AD900" s="340" t="n"/>
      <c r="AE900" s="340" t="n"/>
      <c r="AF900" s="340" t="n"/>
      <c r="AG900" s="340" t="n"/>
      <c r="AH900" s="340" t="n"/>
      <c r="AI900" s="340" t="n"/>
      <c r="AJ900" s="340" t="n"/>
      <c r="AK900" s="340" t="n"/>
      <c r="AL900" s="340" t="n"/>
    </row>
    <row r="901" ht="12.75" customHeight="1">
      <c r="K901" s="340" t="n"/>
      <c r="L901" s="340" t="n"/>
      <c r="M901" s="340" t="n"/>
      <c r="N901" s="340" t="n"/>
      <c r="O901" s="340" t="n"/>
      <c r="P901" s="340" t="n"/>
      <c r="Q901" s="340" t="n"/>
      <c r="R901" s="340" t="n"/>
      <c r="S901" s="340" t="n"/>
      <c r="T901" s="340" t="n"/>
      <c r="U901" s="340" t="n"/>
      <c r="V901" s="340" t="n"/>
      <c r="W901" s="340" t="n"/>
      <c r="X901" s="340" t="n"/>
      <c r="Y901" s="340" t="n"/>
      <c r="Z901" s="340" t="n"/>
      <c r="AA901" s="340" t="n"/>
      <c r="AB901" s="340" t="n"/>
      <c r="AC901" s="340" t="n"/>
      <c r="AD901" s="340" t="n"/>
      <c r="AE901" s="340" t="n"/>
      <c r="AF901" s="340" t="n"/>
      <c r="AG901" s="340" t="n"/>
      <c r="AH901" s="340" t="n"/>
      <c r="AI901" s="340" t="n"/>
      <c r="AJ901" s="340" t="n"/>
      <c r="AK901" s="340" t="n"/>
      <c r="AL901" s="340" t="n"/>
    </row>
    <row r="902" ht="12.75" customHeight="1">
      <c r="K902" s="340" t="n"/>
      <c r="L902" s="340" t="n"/>
      <c r="M902" s="340" t="n"/>
      <c r="N902" s="340" t="n"/>
      <c r="O902" s="340" t="n"/>
      <c r="P902" s="340" t="n"/>
      <c r="Q902" s="340" t="n"/>
      <c r="R902" s="340" t="n"/>
      <c r="S902" s="340" t="n"/>
      <c r="T902" s="340" t="n"/>
      <c r="U902" s="340" t="n"/>
      <c r="V902" s="340" t="n"/>
      <c r="W902" s="340" t="n"/>
      <c r="X902" s="340" t="n"/>
      <c r="Y902" s="340" t="n"/>
      <c r="Z902" s="340" t="n"/>
      <c r="AA902" s="340" t="n"/>
      <c r="AB902" s="340" t="n"/>
      <c r="AC902" s="340" t="n"/>
      <c r="AD902" s="340" t="n"/>
      <c r="AE902" s="340" t="n"/>
      <c r="AF902" s="340" t="n"/>
      <c r="AG902" s="340" t="n"/>
      <c r="AH902" s="340" t="n"/>
      <c r="AI902" s="340" t="n"/>
      <c r="AJ902" s="340" t="n"/>
      <c r="AK902" s="340" t="n"/>
      <c r="AL902" s="340" t="n"/>
    </row>
    <row r="903" ht="12.75" customHeight="1">
      <c r="K903" s="340" t="n"/>
      <c r="L903" s="340" t="n"/>
      <c r="M903" s="340" t="n"/>
      <c r="N903" s="340" t="n"/>
      <c r="O903" s="340" t="n"/>
      <c r="P903" s="340" t="n"/>
      <c r="Q903" s="340" t="n"/>
      <c r="R903" s="340" t="n"/>
      <c r="S903" s="340" t="n"/>
      <c r="T903" s="340" t="n"/>
      <c r="U903" s="340" t="n"/>
      <c r="V903" s="340" t="n"/>
      <c r="W903" s="340" t="n"/>
      <c r="X903" s="340" t="n"/>
      <c r="Y903" s="340" t="n"/>
      <c r="Z903" s="340" t="n"/>
      <c r="AA903" s="340" t="n"/>
      <c r="AB903" s="340" t="n"/>
      <c r="AC903" s="340" t="n"/>
      <c r="AD903" s="340" t="n"/>
      <c r="AE903" s="340" t="n"/>
      <c r="AF903" s="340" t="n"/>
      <c r="AG903" s="340" t="n"/>
      <c r="AH903" s="340" t="n"/>
      <c r="AI903" s="340" t="n"/>
      <c r="AJ903" s="340" t="n"/>
      <c r="AK903" s="340" t="n"/>
      <c r="AL903" s="340" t="n"/>
    </row>
    <row r="904" ht="12.75" customHeight="1">
      <c r="K904" s="340" t="n"/>
      <c r="L904" s="340" t="n"/>
      <c r="M904" s="340" t="n"/>
      <c r="N904" s="340" t="n"/>
      <c r="O904" s="340" t="n"/>
      <c r="P904" s="340" t="n"/>
      <c r="Q904" s="340" t="n"/>
      <c r="R904" s="340" t="n"/>
      <c r="S904" s="340" t="n"/>
      <c r="T904" s="340" t="n"/>
      <c r="U904" s="340" t="n"/>
      <c r="V904" s="340" t="n"/>
      <c r="W904" s="340" t="n"/>
      <c r="X904" s="340" t="n"/>
      <c r="Y904" s="340" t="n"/>
      <c r="Z904" s="340" t="n"/>
      <c r="AA904" s="340" t="n"/>
      <c r="AB904" s="340" t="n"/>
      <c r="AC904" s="340" t="n"/>
      <c r="AD904" s="340" t="n"/>
      <c r="AE904" s="340" t="n"/>
      <c r="AF904" s="340" t="n"/>
      <c r="AG904" s="340" t="n"/>
      <c r="AH904" s="340" t="n"/>
      <c r="AI904" s="340" t="n"/>
      <c r="AJ904" s="340" t="n"/>
      <c r="AK904" s="340" t="n"/>
      <c r="AL904" s="340" t="n"/>
    </row>
    <row r="905" ht="12.75" customHeight="1">
      <c r="K905" s="340" t="n"/>
      <c r="L905" s="340" t="n"/>
      <c r="M905" s="340" t="n"/>
      <c r="N905" s="340" t="n"/>
      <c r="O905" s="340" t="n"/>
      <c r="P905" s="340" t="n"/>
      <c r="Q905" s="340" t="n"/>
      <c r="R905" s="340" t="n"/>
      <c r="S905" s="340" t="n"/>
      <c r="T905" s="340" t="n"/>
      <c r="U905" s="340" t="n"/>
      <c r="V905" s="340" t="n"/>
      <c r="W905" s="340" t="n"/>
      <c r="X905" s="340" t="n"/>
      <c r="Y905" s="340" t="n"/>
      <c r="Z905" s="340" t="n"/>
      <c r="AA905" s="340" t="n"/>
      <c r="AB905" s="340" t="n"/>
      <c r="AC905" s="340" t="n"/>
      <c r="AD905" s="340" t="n"/>
      <c r="AE905" s="340" t="n"/>
      <c r="AF905" s="340" t="n"/>
      <c r="AG905" s="340" t="n"/>
      <c r="AH905" s="340" t="n"/>
      <c r="AI905" s="340" t="n"/>
      <c r="AJ905" s="340" t="n"/>
      <c r="AK905" s="340" t="n"/>
      <c r="AL905" s="340" t="n"/>
    </row>
    <row r="906" ht="12.75" customHeight="1">
      <c r="K906" s="340" t="n"/>
      <c r="L906" s="340" t="n"/>
      <c r="M906" s="340" t="n"/>
      <c r="N906" s="340" t="n"/>
      <c r="O906" s="340" t="n"/>
      <c r="P906" s="340" t="n"/>
      <c r="Q906" s="340" t="n"/>
      <c r="R906" s="340" t="n"/>
      <c r="S906" s="340" t="n"/>
      <c r="T906" s="340" t="n"/>
      <c r="U906" s="340" t="n"/>
      <c r="V906" s="340" t="n"/>
      <c r="W906" s="340" t="n"/>
      <c r="X906" s="340" t="n"/>
      <c r="Y906" s="340" t="n"/>
      <c r="Z906" s="340" t="n"/>
      <c r="AA906" s="340" t="n"/>
      <c r="AB906" s="340" t="n"/>
      <c r="AC906" s="340" t="n"/>
      <c r="AD906" s="340" t="n"/>
      <c r="AE906" s="340" t="n"/>
      <c r="AF906" s="340" t="n"/>
      <c r="AG906" s="340" t="n"/>
      <c r="AH906" s="340" t="n"/>
      <c r="AI906" s="340" t="n"/>
      <c r="AJ906" s="340" t="n"/>
      <c r="AK906" s="340" t="n"/>
      <c r="AL906" s="340" t="n"/>
    </row>
    <row r="907" ht="12.75" customHeight="1">
      <c r="K907" s="340" t="n"/>
      <c r="L907" s="340" t="n"/>
      <c r="M907" s="340" t="n"/>
      <c r="N907" s="340" t="n"/>
      <c r="O907" s="340" t="n"/>
      <c r="P907" s="340" t="n"/>
      <c r="Q907" s="340" t="n"/>
      <c r="R907" s="340" t="n"/>
      <c r="S907" s="340" t="n"/>
      <c r="T907" s="340" t="n"/>
      <c r="U907" s="340" t="n"/>
      <c r="V907" s="340" t="n"/>
      <c r="W907" s="340" t="n"/>
      <c r="X907" s="340" t="n"/>
      <c r="Y907" s="340" t="n"/>
      <c r="Z907" s="340" t="n"/>
      <c r="AA907" s="340" t="n"/>
      <c r="AB907" s="340" t="n"/>
      <c r="AC907" s="340" t="n"/>
      <c r="AD907" s="340" t="n"/>
      <c r="AE907" s="340" t="n"/>
      <c r="AF907" s="340" t="n"/>
      <c r="AG907" s="340" t="n"/>
      <c r="AH907" s="340" t="n"/>
      <c r="AI907" s="340" t="n"/>
      <c r="AJ907" s="340" t="n"/>
      <c r="AK907" s="340" t="n"/>
      <c r="AL907" s="340" t="n"/>
    </row>
    <row r="908" ht="12.75" customHeight="1">
      <c r="K908" s="340" t="n"/>
      <c r="L908" s="340" t="n"/>
      <c r="M908" s="340" t="n"/>
      <c r="N908" s="340" t="n"/>
      <c r="O908" s="340" t="n"/>
      <c r="P908" s="340" t="n"/>
      <c r="Q908" s="340" t="n"/>
      <c r="R908" s="340" t="n"/>
      <c r="S908" s="340" t="n"/>
      <c r="T908" s="340" t="n"/>
      <c r="U908" s="340" t="n"/>
      <c r="V908" s="340" t="n"/>
      <c r="W908" s="340" t="n"/>
      <c r="X908" s="340" t="n"/>
      <c r="Y908" s="340" t="n"/>
      <c r="Z908" s="340" t="n"/>
      <c r="AA908" s="340" t="n"/>
      <c r="AB908" s="340" t="n"/>
      <c r="AC908" s="340" t="n"/>
      <c r="AD908" s="340" t="n"/>
      <c r="AE908" s="340" t="n"/>
      <c r="AF908" s="340" t="n"/>
      <c r="AG908" s="340" t="n"/>
      <c r="AH908" s="340" t="n"/>
      <c r="AI908" s="340" t="n"/>
      <c r="AJ908" s="340" t="n"/>
      <c r="AK908" s="340" t="n"/>
      <c r="AL908" s="340" t="n"/>
    </row>
    <row r="909" ht="12.75" customHeight="1">
      <c r="K909" s="340" t="n"/>
      <c r="L909" s="340" t="n"/>
      <c r="M909" s="340" t="n"/>
      <c r="N909" s="340" t="n"/>
      <c r="O909" s="340" t="n"/>
      <c r="P909" s="340" t="n"/>
      <c r="Q909" s="340" t="n"/>
      <c r="R909" s="340" t="n"/>
      <c r="S909" s="340" t="n"/>
      <c r="T909" s="340" t="n"/>
      <c r="U909" s="340" t="n"/>
      <c r="V909" s="340" t="n"/>
      <c r="W909" s="340" t="n"/>
      <c r="X909" s="340" t="n"/>
      <c r="Y909" s="340" t="n"/>
      <c r="Z909" s="340" t="n"/>
      <c r="AA909" s="340" t="n"/>
      <c r="AB909" s="340" t="n"/>
      <c r="AC909" s="340" t="n"/>
      <c r="AD909" s="340" t="n"/>
      <c r="AE909" s="340" t="n"/>
      <c r="AF909" s="340" t="n"/>
      <c r="AG909" s="340" t="n"/>
      <c r="AH909" s="340" t="n"/>
      <c r="AI909" s="340" t="n"/>
      <c r="AJ909" s="340" t="n"/>
      <c r="AK909" s="340" t="n"/>
      <c r="AL909" s="340" t="n"/>
    </row>
    <row r="910" ht="12.75" customHeight="1">
      <c r="K910" s="340" t="n"/>
      <c r="L910" s="340" t="n"/>
      <c r="M910" s="340" t="n"/>
      <c r="N910" s="340" t="n"/>
      <c r="O910" s="340" t="n"/>
      <c r="P910" s="340" t="n"/>
      <c r="Q910" s="340" t="n"/>
      <c r="R910" s="340" t="n"/>
      <c r="S910" s="340" t="n"/>
      <c r="T910" s="340" t="n"/>
      <c r="U910" s="340" t="n"/>
      <c r="V910" s="340" t="n"/>
      <c r="W910" s="340" t="n"/>
      <c r="X910" s="340" t="n"/>
      <c r="Y910" s="340" t="n"/>
      <c r="Z910" s="340" t="n"/>
      <c r="AA910" s="340" t="n"/>
      <c r="AB910" s="340" t="n"/>
      <c r="AC910" s="340" t="n"/>
      <c r="AD910" s="340" t="n"/>
      <c r="AE910" s="340" t="n"/>
      <c r="AF910" s="340" t="n"/>
      <c r="AG910" s="340" t="n"/>
      <c r="AH910" s="340" t="n"/>
      <c r="AI910" s="340" t="n"/>
      <c r="AJ910" s="340" t="n"/>
      <c r="AK910" s="340" t="n"/>
      <c r="AL910" s="340" t="n"/>
    </row>
    <row r="911" ht="12.75" customHeight="1">
      <c r="K911" s="340" t="n"/>
      <c r="L911" s="340" t="n"/>
      <c r="M911" s="340" t="n"/>
      <c r="N911" s="340" t="n"/>
      <c r="O911" s="340" t="n"/>
      <c r="P911" s="340" t="n"/>
      <c r="Q911" s="340" t="n"/>
      <c r="R911" s="340" t="n"/>
      <c r="S911" s="340" t="n"/>
      <c r="T911" s="340" t="n"/>
      <c r="U911" s="340" t="n"/>
      <c r="V911" s="340" t="n"/>
      <c r="W911" s="340" t="n"/>
      <c r="X911" s="340" t="n"/>
      <c r="Y911" s="340" t="n"/>
      <c r="Z911" s="340" t="n"/>
      <c r="AA911" s="340" t="n"/>
      <c r="AB911" s="340" t="n"/>
      <c r="AC911" s="340" t="n"/>
      <c r="AD911" s="340" t="n"/>
      <c r="AE911" s="340" t="n"/>
      <c r="AF911" s="340" t="n"/>
      <c r="AG911" s="340" t="n"/>
      <c r="AH911" s="340" t="n"/>
      <c r="AI911" s="340" t="n"/>
      <c r="AJ911" s="340" t="n"/>
      <c r="AK911" s="340" t="n"/>
      <c r="AL911" s="340" t="n"/>
    </row>
    <row r="912" ht="12.75" customHeight="1">
      <c r="K912" s="340" t="n"/>
      <c r="L912" s="340" t="n"/>
      <c r="M912" s="340" t="n"/>
      <c r="N912" s="340" t="n"/>
      <c r="O912" s="340" t="n"/>
      <c r="P912" s="340" t="n"/>
      <c r="Q912" s="340" t="n"/>
      <c r="R912" s="340" t="n"/>
      <c r="S912" s="340" t="n"/>
      <c r="T912" s="340" t="n"/>
      <c r="U912" s="340" t="n"/>
      <c r="V912" s="340" t="n"/>
      <c r="W912" s="340" t="n"/>
      <c r="X912" s="340" t="n"/>
      <c r="Y912" s="340" t="n"/>
      <c r="Z912" s="340" t="n"/>
      <c r="AA912" s="340" t="n"/>
      <c r="AB912" s="340" t="n"/>
      <c r="AC912" s="340" t="n"/>
      <c r="AD912" s="340" t="n"/>
      <c r="AE912" s="340" t="n"/>
      <c r="AF912" s="340" t="n"/>
      <c r="AG912" s="340" t="n"/>
      <c r="AH912" s="340" t="n"/>
      <c r="AI912" s="340" t="n"/>
      <c r="AJ912" s="340" t="n"/>
      <c r="AK912" s="340" t="n"/>
      <c r="AL912" s="340" t="n"/>
    </row>
    <row r="913" ht="12.75" customHeight="1">
      <c r="K913" s="340" t="n"/>
      <c r="L913" s="340" t="n"/>
      <c r="M913" s="340" t="n"/>
      <c r="N913" s="340" t="n"/>
      <c r="O913" s="340" t="n"/>
      <c r="P913" s="340" t="n"/>
      <c r="Q913" s="340" t="n"/>
      <c r="R913" s="340" t="n"/>
      <c r="S913" s="340" t="n"/>
      <c r="T913" s="340" t="n"/>
      <c r="U913" s="340" t="n"/>
      <c r="V913" s="340" t="n"/>
      <c r="W913" s="340" t="n"/>
      <c r="X913" s="340" t="n"/>
      <c r="Y913" s="340" t="n"/>
      <c r="Z913" s="340" t="n"/>
      <c r="AA913" s="340" t="n"/>
      <c r="AB913" s="340" t="n"/>
      <c r="AC913" s="340" t="n"/>
      <c r="AD913" s="340" t="n"/>
      <c r="AE913" s="340" t="n"/>
      <c r="AF913" s="340" t="n"/>
      <c r="AG913" s="340" t="n"/>
      <c r="AH913" s="340" t="n"/>
      <c r="AI913" s="340" t="n"/>
      <c r="AJ913" s="340" t="n"/>
      <c r="AK913" s="340" t="n"/>
      <c r="AL913" s="340" t="n"/>
    </row>
    <row r="914" ht="12.75" customHeight="1">
      <c r="K914" s="340" t="n"/>
      <c r="L914" s="340" t="n"/>
      <c r="M914" s="340" t="n"/>
      <c r="N914" s="340" t="n"/>
      <c r="O914" s="340" t="n"/>
      <c r="P914" s="340" t="n"/>
      <c r="Q914" s="340" t="n"/>
      <c r="R914" s="340" t="n"/>
      <c r="S914" s="340" t="n"/>
      <c r="T914" s="340" t="n"/>
      <c r="U914" s="340" t="n"/>
      <c r="V914" s="340" t="n"/>
      <c r="W914" s="340" t="n"/>
      <c r="X914" s="340" t="n"/>
      <c r="Y914" s="340" t="n"/>
      <c r="Z914" s="340" t="n"/>
      <c r="AA914" s="340" t="n"/>
      <c r="AB914" s="340" t="n"/>
      <c r="AC914" s="340" t="n"/>
      <c r="AD914" s="340" t="n"/>
      <c r="AE914" s="340" t="n"/>
      <c r="AF914" s="340" t="n"/>
      <c r="AG914" s="340" t="n"/>
      <c r="AH914" s="340" t="n"/>
      <c r="AI914" s="340" t="n"/>
      <c r="AJ914" s="340" t="n"/>
      <c r="AK914" s="340" t="n"/>
      <c r="AL914" s="340" t="n"/>
    </row>
    <row r="915" ht="12.75" customHeight="1">
      <c r="K915" s="340" t="n"/>
      <c r="L915" s="340" t="n"/>
      <c r="M915" s="340" t="n"/>
      <c r="N915" s="340" t="n"/>
      <c r="O915" s="340" t="n"/>
      <c r="P915" s="340" t="n"/>
      <c r="Q915" s="340" t="n"/>
      <c r="R915" s="340" t="n"/>
      <c r="S915" s="340" t="n"/>
      <c r="T915" s="340" t="n"/>
      <c r="U915" s="340" t="n"/>
      <c r="V915" s="340" t="n"/>
      <c r="W915" s="340" t="n"/>
      <c r="X915" s="340" t="n"/>
      <c r="Y915" s="340" t="n"/>
      <c r="Z915" s="340" t="n"/>
      <c r="AA915" s="340" t="n"/>
      <c r="AB915" s="340" t="n"/>
      <c r="AC915" s="340" t="n"/>
      <c r="AD915" s="340" t="n"/>
      <c r="AE915" s="340" t="n"/>
      <c r="AF915" s="340" t="n"/>
      <c r="AG915" s="340" t="n"/>
      <c r="AH915" s="340" t="n"/>
      <c r="AI915" s="340" t="n"/>
      <c r="AJ915" s="340" t="n"/>
      <c r="AK915" s="340" t="n"/>
      <c r="AL915" s="340" t="n"/>
    </row>
    <row r="916" ht="12.75" customHeight="1">
      <c r="K916" s="340" t="n"/>
      <c r="L916" s="340" t="n"/>
      <c r="M916" s="340" t="n"/>
      <c r="N916" s="340" t="n"/>
      <c r="O916" s="340" t="n"/>
      <c r="P916" s="340" t="n"/>
      <c r="Q916" s="340" t="n"/>
      <c r="R916" s="340" t="n"/>
      <c r="S916" s="340" t="n"/>
      <c r="T916" s="340" t="n"/>
      <c r="U916" s="340" t="n"/>
      <c r="V916" s="340" t="n"/>
      <c r="W916" s="340" t="n"/>
      <c r="X916" s="340" t="n"/>
      <c r="Y916" s="340" t="n"/>
      <c r="Z916" s="340" t="n"/>
      <c r="AA916" s="340" t="n"/>
      <c r="AB916" s="340" t="n"/>
      <c r="AC916" s="340" t="n"/>
      <c r="AD916" s="340" t="n"/>
      <c r="AE916" s="340" t="n"/>
      <c r="AF916" s="340" t="n"/>
      <c r="AG916" s="340" t="n"/>
      <c r="AH916" s="340" t="n"/>
      <c r="AI916" s="340" t="n"/>
      <c r="AJ916" s="340" t="n"/>
      <c r="AK916" s="340" t="n"/>
      <c r="AL916" s="340" t="n"/>
    </row>
    <row r="917" ht="12.75" customHeight="1">
      <c r="K917" s="340" t="n"/>
      <c r="L917" s="340" t="n"/>
      <c r="M917" s="340" t="n"/>
      <c r="N917" s="340" t="n"/>
      <c r="O917" s="340" t="n"/>
      <c r="P917" s="340" t="n"/>
      <c r="Q917" s="340" t="n"/>
      <c r="R917" s="340" t="n"/>
      <c r="S917" s="340" t="n"/>
      <c r="T917" s="340" t="n"/>
      <c r="U917" s="340" t="n"/>
      <c r="V917" s="340" t="n"/>
      <c r="W917" s="340" t="n"/>
      <c r="X917" s="340" t="n"/>
      <c r="Y917" s="340" t="n"/>
      <c r="Z917" s="340" t="n"/>
      <c r="AA917" s="340" t="n"/>
      <c r="AB917" s="340" t="n"/>
      <c r="AC917" s="340" t="n"/>
      <c r="AD917" s="340" t="n"/>
      <c r="AE917" s="340" t="n"/>
      <c r="AF917" s="340" t="n"/>
      <c r="AG917" s="340" t="n"/>
      <c r="AH917" s="340" t="n"/>
      <c r="AI917" s="340" t="n"/>
      <c r="AJ917" s="340" t="n"/>
      <c r="AK917" s="340" t="n"/>
      <c r="AL917" s="340" t="n"/>
    </row>
    <row r="918" ht="12.75" customHeight="1">
      <c r="K918" s="340" t="n"/>
      <c r="L918" s="340" t="n"/>
      <c r="M918" s="340" t="n"/>
      <c r="N918" s="340" t="n"/>
      <c r="O918" s="340" t="n"/>
      <c r="P918" s="340" t="n"/>
      <c r="Q918" s="340" t="n"/>
      <c r="R918" s="340" t="n"/>
      <c r="S918" s="340" t="n"/>
      <c r="T918" s="340" t="n"/>
      <c r="U918" s="340" t="n"/>
      <c r="V918" s="340" t="n"/>
      <c r="W918" s="340" t="n"/>
      <c r="X918" s="340" t="n"/>
      <c r="Y918" s="340" t="n"/>
      <c r="Z918" s="340" t="n"/>
      <c r="AA918" s="340" t="n"/>
      <c r="AB918" s="340" t="n"/>
      <c r="AC918" s="340" t="n"/>
      <c r="AD918" s="340" t="n"/>
      <c r="AE918" s="340" t="n"/>
      <c r="AF918" s="340" t="n"/>
      <c r="AG918" s="340" t="n"/>
      <c r="AH918" s="340" t="n"/>
      <c r="AI918" s="340" t="n"/>
      <c r="AJ918" s="340" t="n"/>
      <c r="AK918" s="340" t="n"/>
      <c r="AL918" s="340" t="n"/>
    </row>
    <row r="919" ht="12.75" customHeight="1">
      <c r="K919" s="340" t="n"/>
      <c r="L919" s="340" t="n"/>
      <c r="M919" s="340" t="n"/>
      <c r="N919" s="340" t="n"/>
      <c r="O919" s="340" t="n"/>
      <c r="P919" s="340" t="n"/>
      <c r="Q919" s="340" t="n"/>
      <c r="R919" s="340" t="n"/>
      <c r="S919" s="340" t="n"/>
      <c r="T919" s="340" t="n"/>
      <c r="U919" s="340" t="n"/>
      <c r="V919" s="340" t="n"/>
      <c r="W919" s="340" t="n"/>
      <c r="X919" s="340" t="n"/>
      <c r="Y919" s="340" t="n"/>
      <c r="Z919" s="340" t="n"/>
      <c r="AA919" s="340" t="n"/>
      <c r="AB919" s="340" t="n"/>
      <c r="AC919" s="340" t="n"/>
      <c r="AD919" s="340" t="n"/>
      <c r="AE919" s="340" t="n"/>
      <c r="AF919" s="340" t="n"/>
      <c r="AG919" s="340" t="n"/>
      <c r="AH919" s="340" t="n"/>
      <c r="AI919" s="340" t="n"/>
      <c r="AJ919" s="340" t="n"/>
      <c r="AK919" s="340" t="n"/>
      <c r="AL919" s="340" t="n"/>
    </row>
    <row r="920" ht="12.75" customHeight="1">
      <c r="K920" s="340" t="n"/>
      <c r="L920" s="340" t="n"/>
      <c r="M920" s="340" t="n"/>
      <c r="N920" s="340" t="n"/>
      <c r="O920" s="340" t="n"/>
      <c r="P920" s="340" t="n"/>
      <c r="Q920" s="340" t="n"/>
      <c r="R920" s="340" t="n"/>
      <c r="S920" s="340" t="n"/>
      <c r="T920" s="340" t="n"/>
      <c r="U920" s="340" t="n"/>
      <c r="V920" s="340" t="n"/>
      <c r="W920" s="340" t="n"/>
      <c r="X920" s="340" t="n"/>
      <c r="Y920" s="340" t="n"/>
      <c r="Z920" s="340" t="n"/>
      <c r="AA920" s="340" t="n"/>
      <c r="AB920" s="340" t="n"/>
      <c r="AC920" s="340" t="n"/>
      <c r="AD920" s="340" t="n"/>
      <c r="AE920" s="340" t="n"/>
      <c r="AF920" s="340" t="n"/>
      <c r="AG920" s="340" t="n"/>
      <c r="AH920" s="340" t="n"/>
      <c r="AI920" s="340" t="n"/>
      <c r="AJ920" s="340" t="n"/>
      <c r="AK920" s="340" t="n"/>
      <c r="AL920" s="340" t="n"/>
    </row>
    <row r="921" ht="12.75" customHeight="1">
      <c r="K921" s="340" t="n"/>
      <c r="L921" s="340" t="n"/>
      <c r="M921" s="340" t="n"/>
      <c r="N921" s="340" t="n"/>
      <c r="O921" s="340" t="n"/>
      <c r="P921" s="340" t="n"/>
      <c r="Q921" s="340" t="n"/>
      <c r="R921" s="340" t="n"/>
      <c r="S921" s="340" t="n"/>
      <c r="T921" s="340" t="n"/>
      <c r="U921" s="340" t="n"/>
      <c r="V921" s="340" t="n"/>
      <c r="W921" s="340" t="n"/>
      <c r="X921" s="340" t="n"/>
      <c r="Y921" s="340" t="n"/>
      <c r="Z921" s="340" t="n"/>
      <c r="AA921" s="340" t="n"/>
      <c r="AB921" s="340" t="n"/>
      <c r="AC921" s="340" t="n"/>
      <c r="AD921" s="340" t="n"/>
      <c r="AE921" s="340" t="n"/>
      <c r="AF921" s="340" t="n"/>
      <c r="AG921" s="340" t="n"/>
      <c r="AH921" s="340" t="n"/>
      <c r="AI921" s="340" t="n"/>
      <c r="AJ921" s="340" t="n"/>
      <c r="AK921" s="340" t="n"/>
      <c r="AL921" s="340" t="n"/>
    </row>
    <row r="922" ht="12.75" customHeight="1">
      <c r="K922" s="340" t="n"/>
      <c r="L922" s="340" t="n"/>
      <c r="M922" s="340" t="n"/>
      <c r="N922" s="340" t="n"/>
      <c r="O922" s="340" t="n"/>
      <c r="P922" s="340" t="n"/>
      <c r="Q922" s="340" t="n"/>
      <c r="R922" s="340" t="n"/>
      <c r="S922" s="340" t="n"/>
      <c r="T922" s="340" t="n"/>
      <c r="U922" s="340" t="n"/>
      <c r="V922" s="340" t="n"/>
      <c r="W922" s="340" t="n"/>
      <c r="X922" s="340" t="n"/>
      <c r="Y922" s="340" t="n"/>
      <c r="Z922" s="340" t="n"/>
      <c r="AA922" s="340" t="n"/>
      <c r="AB922" s="340" t="n"/>
      <c r="AC922" s="340" t="n"/>
      <c r="AD922" s="340" t="n"/>
      <c r="AE922" s="340" t="n"/>
      <c r="AF922" s="340" t="n"/>
      <c r="AG922" s="340" t="n"/>
      <c r="AH922" s="340" t="n"/>
      <c r="AI922" s="340" t="n"/>
      <c r="AJ922" s="340" t="n"/>
      <c r="AK922" s="340" t="n"/>
      <c r="AL922" s="340" t="n"/>
    </row>
    <row r="923" ht="12.75" customHeight="1">
      <c r="K923" s="340" t="n"/>
      <c r="L923" s="340" t="n"/>
      <c r="M923" s="340" t="n"/>
      <c r="N923" s="340" t="n"/>
      <c r="O923" s="340" t="n"/>
      <c r="P923" s="340" t="n"/>
      <c r="Q923" s="340" t="n"/>
      <c r="R923" s="340" t="n"/>
      <c r="S923" s="340" t="n"/>
      <c r="T923" s="340" t="n"/>
      <c r="U923" s="340" t="n"/>
      <c r="V923" s="340" t="n"/>
      <c r="W923" s="340" t="n"/>
      <c r="X923" s="340" t="n"/>
      <c r="Y923" s="340" t="n"/>
      <c r="Z923" s="340" t="n"/>
      <c r="AA923" s="340" t="n"/>
      <c r="AB923" s="340" t="n"/>
      <c r="AC923" s="340" t="n"/>
      <c r="AD923" s="340" t="n"/>
      <c r="AE923" s="340" t="n"/>
      <c r="AF923" s="340" t="n"/>
      <c r="AG923" s="340" t="n"/>
      <c r="AH923" s="340" t="n"/>
      <c r="AI923" s="340" t="n"/>
      <c r="AJ923" s="340" t="n"/>
      <c r="AK923" s="340" t="n"/>
      <c r="AL923" s="340" t="n"/>
    </row>
    <row r="924" ht="12.75" customHeight="1">
      <c r="K924" s="340" t="n"/>
      <c r="L924" s="340" t="n"/>
      <c r="M924" s="340" t="n"/>
      <c r="N924" s="340" t="n"/>
      <c r="O924" s="340" t="n"/>
      <c r="P924" s="340" t="n"/>
      <c r="Q924" s="340" t="n"/>
      <c r="R924" s="340" t="n"/>
      <c r="S924" s="340" t="n"/>
      <c r="T924" s="340" t="n"/>
      <c r="U924" s="340" t="n"/>
      <c r="V924" s="340" t="n"/>
      <c r="W924" s="340" t="n"/>
      <c r="X924" s="340" t="n"/>
      <c r="Y924" s="340" t="n"/>
      <c r="Z924" s="340" t="n"/>
      <c r="AA924" s="340" t="n"/>
      <c r="AB924" s="340" t="n"/>
      <c r="AC924" s="340" t="n"/>
      <c r="AD924" s="340" t="n"/>
      <c r="AE924" s="340" t="n"/>
      <c r="AF924" s="340" t="n"/>
      <c r="AG924" s="340" t="n"/>
      <c r="AH924" s="340" t="n"/>
      <c r="AI924" s="340" t="n"/>
      <c r="AJ924" s="340" t="n"/>
      <c r="AK924" s="340" t="n"/>
      <c r="AL924" s="340" t="n"/>
    </row>
    <row r="925" ht="12.75" customHeight="1">
      <c r="K925" s="340" t="n"/>
      <c r="L925" s="340" t="n"/>
      <c r="M925" s="340" t="n"/>
      <c r="N925" s="340" t="n"/>
      <c r="O925" s="340" t="n"/>
      <c r="P925" s="340" t="n"/>
      <c r="Q925" s="340" t="n"/>
      <c r="R925" s="340" t="n"/>
      <c r="S925" s="340" t="n"/>
      <c r="T925" s="340" t="n"/>
      <c r="U925" s="340" t="n"/>
      <c r="V925" s="340" t="n"/>
      <c r="W925" s="340" t="n"/>
      <c r="X925" s="340" t="n"/>
      <c r="Y925" s="340" t="n"/>
      <c r="Z925" s="340" t="n"/>
      <c r="AA925" s="340" t="n"/>
      <c r="AB925" s="340" t="n"/>
      <c r="AC925" s="340" t="n"/>
      <c r="AD925" s="340" t="n"/>
      <c r="AE925" s="340" t="n"/>
      <c r="AF925" s="340" t="n"/>
      <c r="AG925" s="340" t="n"/>
      <c r="AH925" s="340" t="n"/>
      <c r="AI925" s="340" t="n"/>
      <c r="AJ925" s="340" t="n"/>
      <c r="AK925" s="340" t="n"/>
      <c r="AL925" s="340" t="n"/>
    </row>
    <row r="926" ht="12.75" customHeight="1">
      <c r="K926" s="340" t="n"/>
      <c r="L926" s="340" t="n"/>
      <c r="M926" s="340" t="n"/>
      <c r="N926" s="340" t="n"/>
      <c r="O926" s="340" t="n"/>
      <c r="P926" s="340" t="n"/>
      <c r="Q926" s="340" t="n"/>
      <c r="R926" s="340" t="n"/>
      <c r="S926" s="340" t="n"/>
      <c r="T926" s="340" t="n"/>
      <c r="U926" s="340" t="n"/>
      <c r="V926" s="340" t="n"/>
      <c r="W926" s="340" t="n"/>
      <c r="X926" s="340" t="n"/>
      <c r="Y926" s="340" t="n"/>
      <c r="Z926" s="340" t="n"/>
      <c r="AA926" s="340" t="n"/>
      <c r="AB926" s="340" t="n"/>
      <c r="AC926" s="340" t="n"/>
      <c r="AD926" s="340" t="n"/>
      <c r="AE926" s="340" t="n"/>
      <c r="AF926" s="340" t="n"/>
      <c r="AG926" s="340" t="n"/>
      <c r="AH926" s="340" t="n"/>
      <c r="AI926" s="340" t="n"/>
      <c r="AJ926" s="340" t="n"/>
      <c r="AK926" s="340" t="n"/>
      <c r="AL926" s="340" t="n"/>
    </row>
    <row r="927" ht="12.75" customHeight="1">
      <c r="K927" s="340" t="n"/>
      <c r="L927" s="340" t="n"/>
      <c r="M927" s="340" t="n"/>
      <c r="N927" s="340" t="n"/>
      <c r="O927" s="340" t="n"/>
      <c r="P927" s="340" t="n"/>
      <c r="Q927" s="340" t="n"/>
      <c r="R927" s="340" t="n"/>
      <c r="S927" s="340" t="n"/>
      <c r="T927" s="340" t="n"/>
      <c r="U927" s="340" t="n"/>
      <c r="V927" s="340" t="n"/>
      <c r="W927" s="340" t="n"/>
      <c r="X927" s="340" t="n"/>
      <c r="Y927" s="340" t="n"/>
      <c r="Z927" s="340" t="n"/>
      <c r="AA927" s="340" t="n"/>
      <c r="AB927" s="340" t="n"/>
      <c r="AC927" s="340" t="n"/>
      <c r="AD927" s="340" t="n"/>
      <c r="AE927" s="340" t="n"/>
      <c r="AF927" s="340" t="n"/>
      <c r="AG927" s="340" t="n"/>
      <c r="AH927" s="340" t="n"/>
      <c r="AI927" s="340" t="n"/>
      <c r="AJ927" s="340" t="n"/>
      <c r="AK927" s="340" t="n"/>
      <c r="AL927" s="340" t="n"/>
    </row>
    <row r="928" ht="12.75" customHeight="1">
      <c r="K928" s="340" t="n"/>
      <c r="L928" s="340" t="n"/>
      <c r="M928" s="340" t="n"/>
      <c r="N928" s="340" t="n"/>
      <c r="O928" s="340" t="n"/>
      <c r="P928" s="340" t="n"/>
      <c r="Q928" s="340" t="n"/>
      <c r="R928" s="340" t="n"/>
      <c r="S928" s="340" t="n"/>
      <c r="T928" s="340" t="n"/>
      <c r="U928" s="340" t="n"/>
      <c r="V928" s="340" t="n"/>
      <c r="W928" s="340" t="n"/>
      <c r="X928" s="340" t="n"/>
      <c r="Y928" s="340" t="n"/>
      <c r="Z928" s="340" t="n"/>
      <c r="AA928" s="340" t="n"/>
      <c r="AB928" s="340" t="n"/>
      <c r="AC928" s="340" t="n"/>
      <c r="AD928" s="340" t="n"/>
      <c r="AE928" s="340" t="n"/>
      <c r="AF928" s="340" t="n"/>
      <c r="AG928" s="340" t="n"/>
      <c r="AH928" s="340" t="n"/>
      <c r="AI928" s="340" t="n"/>
      <c r="AJ928" s="340" t="n"/>
      <c r="AK928" s="340" t="n"/>
      <c r="AL928" s="340" t="n"/>
    </row>
    <row r="929" ht="12.75" customHeight="1">
      <c r="K929" s="340" t="n"/>
      <c r="L929" s="340" t="n"/>
      <c r="M929" s="340" t="n"/>
      <c r="N929" s="340" t="n"/>
      <c r="O929" s="340" t="n"/>
      <c r="P929" s="340" t="n"/>
      <c r="Q929" s="340" t="n"/>
      <c r="R929" s="340" t="n"/>
      <c r="S929" s="340" t="n"/>
      <c r="T929" s="340" t="n"/>
      <c r="U929" s="340" t="n"/>
      <c r="V929" s="340" t="n"/>
      <c r="W929" s="340" t="n"/>
      <c r="X929" s="340" t="n"/>
      <c r="Y929" s="340" t="n"/>
      <c r="Z929" s="340" t="n"/>
      <c r="AA929" s="340" t="n"/>
      <c r="AB929" s="340" t="n"/>
      <c r="AC929" s="340" t="n"/>
      <c r="AD929" s="340" t="n"/>
      <c r="AE929" s="340" t="n"/>
      <c r="AF929" s="340" t="n"/>
      <c r="AG929" s="340" t="n"/>
      <c r="AH929" s="340" t="n"/>
      <c r="AI929" s="340" t="n"/>
      <c r="AJ929" s="340" t="n"/>
      <c r="AK929" s="340" t="n"/>
      <c r="AL929" s="340" t="n"/>
    </row>
    <row r="930" ht="12.75" customHeight="1">
      <c r="K930" s="340" t="n"/>
      <c r="L930" s="340" t="n"/>
      <c r="M930" s="340" t="n"/>
      <c r="N930" s="340" t="n"/>
      <c r="O930" s="340" t="n"/>
      <c r="P930" s="340" t="n"/>
      <c r="Q930" s="340" t="n"/>
      <c r="R930" s="340" t="n"/>
      <c r="S930" s="340" t="n"/>
      <c r="T930" s="340" t="n"/>
      <c r="U930" s="340" t="n"/>
      <c r="V930" s="340" t="n"/>
      <c r="W930" s="340" t="n"/>
      <c r="X930" s="340" t="n"/>
      <c r="Y930" s="340" t="n"/>
      <c r="Z930" s="340" t="n"/>
      <c r="AA930" s="340" t="n"/>
      <c r="AB930" s="340" t="n"/>
      <c r="AC930" s="340" t="n"/>
      <c r="AD930" s="340" t="n"/>
      <c r="AE930" s="340" t="n"/>
      <c r="AF930" s="340" t="n"/>
      <c r="AG930" s="340" t="n"/>
      <c r="AH930" s="340" t="n"/>
      <c r="AI930" s="340" t="n"/>
      <c r="AJ930" s="340" t="n"/>
      <c r="AK930" s="340" t="n"/>
      <c r="AL930" s="340" t="n"/>
    </row>
    <row r="931" ht="12.75" customHeight="1">
      <c r="K931" s="340" t="n"/>
      <c r="L931" s="340" t="n"/>
      <c r="M931" s="340" t="n"/>
      <c r="N931" s="340" t="n"/>
      <c r="O931" s="340" t="n"/>
      <c r="P931" s="340" t="n"/>
      <c r="Q931" s="340" t="n"/>
      <c r="R931" s="340" t="n"/>
      <c r="S931" s="340" t="n"/>
      <c r="T931" s="340" t="n"/>
      <c r="U931" s="340" t="n"/>
      <c r="V931" s="340" t="n"/>
      <c r="W931" s="340" t="n"/>
      <c r="X931" s="340" t="n"/>
      <c r="Y931" s="340" t="n"/>
      <c r="Z931" s="340" t="n"/>
      <c r="AA931" s="340" t="n"/>
      <c r="AB931" s="340" t="n"/>
      <c r="AC931" s="340" t="n"/>
      <c r="AD931" s="340" t="n"/>
      <c r="AE931" s="340" t="n"/>
      <c r="AF931" s="340" t="n"/>
      <c r="AG931" s="340" t="n"/>
      <c r="AH931" s="340" t="n"/>
      <c r="AI931" s="340" t="n"/>
      <c r="AJ931" s="340" t="n"/>
      <c r="AK931" s="340" t="n"/>
      <c r="AL931" s="340" t="n"/>
    </row>
    <row r="932" ht="12.75" customHeight="1">
      <c r="K932" s="340" t="n"/>
      <c r="L932" s="340" t="n"/>
      <c r="M932" s="340" t="n"/>
      <c r="N932" s="340" t="n"/>
      <c r="O932" s="340" t="n"/>
      <c r="P932" s="340" t="n"/>
      <c r="Q932" s="340" t="n"/>
      <c r="R932" s="340" t="n"/>
      <c r="S932" s="340" t="n"/>
      <c r="T932" s="340" t="n"/>
      <c r="U932" s="340" t="n"/>
      <c r="V932" s="340" t="n"/>
      <c r="W932" s="340" t="n"/>
      <c r="X932" s="340" t="n"/>
      <c r="Y932" s="340" t="n"/>
      <c r="Z932" s="340" t="n"/>
      <c r="AA932" s="340" t="n"/>
      <c r="AB932" s="340" t="n"/>
      <c r="AC932" s="340" t="n"/>
      <c r="AD932" s="340" t="n"/>
      <c r="AE932" s="340" t="n"/>
      <c r="AF932" s="340" t="n"/>
      <c r="AG932" s="340" t="n"/>
      <c r="AH932" s="340" t="n"/>
      <c r="AI932" s="340" t="n"/>
      <c r="AJ932" s="340" t="n"/>
      <c r="AK932" s="340" t="n"/>
      <c r="AL932" s="340" t="n"/>
    </row>
    <row r="933" ht="12.75" customHeight="1">
      <c r="K933" s="340" t="n"/>
      <c r="L933" s="340" t="n"/>
      <c r="M933" s="340" t="n"/>
      <c r="N933" s="340" t="n"/>
      <c r="O933" s="340" t="n"/>
      <c r="P933" s="340" t="n"/>
      <c r="Q933" s="340" t="n"/>
      <c r="R933" s="340" t="n"/>
      <c r="S933" s="340" t="n"/>
      <c r="T933" s="340" t="n"/>
      <c r="U933" s="340" t="n"/>
      <c r="V933" s="340" t="n"/>
      <c r="W933" s="340" t="n"/>
      <c r="X933" s="340" t="n"/>
      <c r="Y933" s="340" t="n"/>
      <c r="Z933" s="340" t="n"/>
      <c r="AA933" s="340" t="n"/>
      <c r="AB933" s="340" t="n"/>
      <c r="AC933" s="340" t="n"/>
      <c r="AD933" s="340" t="n"/>
      <c r="AE933" s="340" t="n"/>
      <c r="AF933" s="340" t="n"/>
      <c r="AG933" s="340" t="n"/>
      <c r="AH933" s="340" t="n"/>
      <c r="AI933" s="340" t="n"/>
      <c r="AJ933" s="340" t="n"/>
      <c r="AK933" s="340" t="n"/>
      <c r="AL933" s="340" t="n"/>
    </row>
    <row r="934" ht="12.75" customHeight="1">
      <c r="K934" s="340" t="n"/>
      <c r="L934" s="340" t="n"/>
      <c r="M934" s="340" t="n"/>
      <c r="N934" s="340" t="n"/>
      <c r="O934" s="340" t="n"/>
      <c r="P934" s="340" t="n"/>
      <c r="Q934" s="340" t="n"/>
      <c r="R934" s="340" t="n"/>
      <c r="S934" s="340" t="n"/>
      <c r="T934" s="340" t="n"/>
      <c r="U934" s="340" t="n"/>
      <c r="V934" s="340" t="n"/>
      <c r="W934" s="340" t="n"/>
      <c r="X934" s="340" t="n"/>
      <c r="Y934" s="340" t="n"/>
      <c r="Z934" s="340" t="n"/>
      <c r="AA934" s="340" t="n"/>
      <c r="AB934" s="340" t="n"/>
      <c r="AC934" s="340" t="n"/>
      <c r="AD934" s="340" t="n"/>
      <c r="AE934" s="340" t="n"/>
      <c r="AF934" s="340" t="n"/>
      <c r="AG934" s="340" t="n"/>
      <c r="AH934" s="340" t="n"/>
      <c r="AI934" s="340" t="n"/>
      <c r="AJ934" s="340" t="n"/>
      <c r="AK934" s="340" t="n"/>
      <c r="AL934" s="340" t="n"/>
    </row>
    <row r="935" ht="12.75" customHeight="1">
      <c r="K935" s="340" t="n"/>
      <c r="L935" s="340" t="n"/>
      <c r="M935" s="340" t="n"/>
      <c r="N935" s="340" t="n"/>
      <c r="O935" s="340" t="n"/>
      <c r="P935" s="340" t="n"/>
      <c r="Q935" s="340" t="n"/>
      <c r="R935" s="340" t="n"/>
      <c r="S935" s="340" t="n"/>
      <c r="T935" s="340" t="n"/>
      <c r="U935" s="340" t="n"/>
      <c r="V935" s="340" t="n"/>
      <c r="W935" s="340" t="n"/>
      <c r="X935" s="340" t="n"/>
      <c r="Y935" s="340" t="n"/>
      <c r="Z935" s="340" t="n"/>
      <c r="AA935" s="340" t="n"/>
      <c r="AB935" s="340" t="n"/>
      <c r="AC935" s="340" t="n"/>
      <c r="AD935" s="340" t="n"/>
      <c r="AE935" s="340" t="n"/>
      <c r="AF935" s="340" t="n"/>
      <c r="AG935" s="340" t="n"/>
      <c r="AH935" s="340" t="n"/>
      <c r="AI935" s="340" t="n"/>
      <c r="AJ935" s="340" t="n"/>
      <c r="AK935" s="340" t="n"/>
      <c r="AL935" s="340" t="n"/>
    </row>
    <row r="936" ht="12.75" customHeight="1">
      <c r="K936" s="340" t="n"/>
      <c r="L936" s="340" t="n"/>
      <c r="M936" s="340" t="n"/>
      <c r="N936" s="340" t="n"/>
      <c r="O936" s="340" t="n"/>
      <c r="P936" s="340" t="n"/>
      <c r="Q936" s="340" t="n"/>
      <c r="R936" s="340" t="n"/>
      <c r="S936" s="340" t="n"/>
      <c r="T936" s="340" t="n"/>
      <c r="U936" s="340" t="n"/>
      <c r="V936" s="340" t="n"/>
      <c r="W936" s="340" t="n"/>
      <c r="X936" s="340" t="n"/>
      <c r="Y936" s="340" t="n"/>
      <c r="Z936" s="340" t="n"/>
      <c r="AA936" s="340" t="n"/>
      <c r="AB936" s="340" t="n"/>
      <c r="AC936" s="340" t="n"/>
      <c r="AD936" s="340" t="n"/>
      <c r="AE936" s="340" t="n"/>
      <c r="AF936" s="340" t="n"/>
      <c r="AG936" s="340" t="n"/>
      <c r="AH936" s="340" t="n"/>
      <c r="AI936" s="340" t="n"/>
      <c r="AJ936" s="340" t="n"/>
      <c r="AK936" s="340" t="n"/>
      <c r="AL936" s="340" t="n"/>
    </row>
    <row r="937" ht="12.75" customHeight="1">
      <c r="K937" s="340" t="n"/>
      <c r="L937" s="340" t="n"/>
      <c r="M937" s="340" t="n"/>
      <c r="N937" s="340" t="n"/>
      <c r="O937" s="340" t="n"/>
      <c r="P937" s="340" t="n"/>
      <c r="Q937" s="340" t="n"/>
      <c r="R937" s="340" t="n"/>
      <c r="S937" s="340" t="n"/>
      <c r="T937" s="340" t="n"/>
      <c r="U937" s="340" t="n"/>
      <c r="V937" s="340" t="n"/>
      <c r="W937" s="340" t="n"/>
      <c r="X937" s="340" t="n"/>
      <c r="Y937" s="340" t="n"/>
      <c r="Z937" s="340" t="n"/>
      <c r="AA937" s="340" t="n"/>
      <c r="AB937" s="340" t="n"/>
      <c r="AC937" s="340" t="n"/>
      <c r="AD937" s="340" t="n"/>
      <c r="AE937" s="340" t="n"/>
      <c r="AF937" s="340" t="n"/>
      <c r="AG937" s="340" t="n"/>
      <c r="AH937" s="340" t="n"/>
      <c r="AI937" s="340" t="n"/>
      <c r="AJ937" s="340" t="n"/>
      <c r="AK937" s="340" t="n"/>
      <c r="AL937" s="340" t="n"/>
    </row>
    <row r="938" ht="12.75" customHeight="1">
      <c r="K938" s="340" t="n"/>
      <c r="L938" s="340" t="n"/>
      <c r="M938" s="340" t="n"/>
      <c r="N938" s="340" t="n"/>
      <c r="O938" s="340" t="n"/>
      <c r="P938" s="340" t="n"/>
      <c r="Q938" s="340" t="n"/>
      <c r="R938" s="340" t="n"/>
      <c r="S938" s="340" t="n"/>
      <c r="T938" s="340" t="n"/>
      <c r="U938" s="340" t="n"/>
      <c r="V938" s="340" t="n"/>
      <c r="W938" s="340" t="n"/>
      <c r="X938" s="340" t="n"/>
      <c r="Y938" s="340" t="n"/>
      <c r="Z938" s="340" t="n"/>
      <c r="AA938" s="340" t="n"/>
      <c r="AB938" s="340" t="n"/>
      <c r="AC938" s="340" t="n"/>
      <c r="AD938" s="340" t="n"/>
      <c r="AE938" s="340" t="n"/>
      <c r="AF938" s="340" t="n"/>
      <c r="AG938" s="340" t="n"/>
      <c r="AH938" s="340" t="n"/>
      <c r="AI938" s="340" t="n"/>
      <c r="AJ938" s="340" t="n"/>
      <c r="AK938" s="340" t="n"/>
      <c r="AL938" s="340" t="n"/>
    </row>
    <row r="939" ht="12.75" customHeight="1">
      <c r="K939" s="340" t="n"/>
      <c r="L939" s="340" t="n"/>
      <c r="M939" s="340" t="n"/>
      <c r="N939" s="340" t="n"/>
      <c r="O939" s="340" t="n"/>
      <c r="P939" s="340" t="n"/>
      <c r="Q939" s="340" t="n"/>
      <c r="R939" s="340" t="n"/>
      <c r="S939" s="340" t="n"/>
      <c r="T939" s="340" t="n"/>
      <c r="U939" s="340" t="n"/>
      <c r="V939" s="340" t="n"/>
      <c r="W939" s="340" t="n"/>
      <c r="X939" s="340" t="n"/>
      <c r="Y939" s="340" t="n"/>
      <c r="Z939" s="340" t="n"/>
      <c r="AA939" s="340" t="n"/>
      <c r="AB939" s="340" t="n"/>
      <c r="AC939" s="340" t="n"/>
      <c r="AD939" s="340" t="n"/>
      <c r="AE939" s="340" t="n"/>
      <c r="AF939" s="340" t="n"/>
      <c r="AG939" s="340" t="n"/>
      <c r="AH939" s="340" t="n"/>
      <c r="AI939" s="340" t="n"/>
      <c r="AJ939" s="340" t="n"/>
      <c r="AK939" s="340" t="n"/>
      <c r="AL939" s="340" t="n"/>
    </row>
    <row r="940" ht="12.75" customHeight="1">
      <c r="K940" s="340" t="n"/>
      <c r="L940" s="340" t="n"/>
      <c r="M940" s="340" t="n"/>
      <c r="N940" s="340" t="n"/>
      <c r="O940" s="340" t="n"/>
      <c r="P940" s="340" t="n"/>
      <c r="Q940" s="340" t="n"/>
      <c r="R940" s="340" t="n"/>
      <c r="S940" s="340" t="n"/>
      <c r="T940" s="340" t="n"/>
      <c r="U940" s="340" t="n"/>
      <c r="V940" s="340" t="n"/>
      <c r="W940" s="340" t="n"/>
      <c r="X940" s="340" t="n"/>
      <c r="Y940" s="340" t="n"/>
      <c r="Z940" s="340" t="n"/>
      <c r="AA940" s="340" t="n"/>
      <c r="AB940" s="340" t="n"/>
      <c r="AC940" s="340" t="n"/>
      <c r="AD940" s="340" t="n"/>
      <c r="AE940" s="340" t="n"/>
      <c r="AF940" s="340" t="n"/>
      <c r="AG940" s="340" t="n"/>
      <c r="AH940" s="340" t="n"/>
      <c r="AI940" s="340" t="n"/>
      <c r="AJ940" s="340" t="n"/>
      <c r="AK940" s="340" t="n"/>
      <c r="AL940" s="340" t="n"/>
    </row>
    <row r="941" ht="12.75" customHeight="1">
      <c r="K941" s="340" t="n"/>
      <c r="L941" s="340" t="n"/>
      <c r="M941" s="340" t="n"/>
      <c r="N941" s="340" t="n"/>
      <c r="O941" s="340" t="n"/>
      <c r="P941" s="340" t="n"/>
      <c r="Q941" s="340" t="n"/>
      <c r="R941" s="340" t="n"/>
      <c r="S941" s="340" t="n"/>
      <c r="T941" s="340" t="n"/>
      <c r="U941" s="340" t="n"/>
      <c r="V941" s="340" t="n"/>
      <c r="W941" s="340" t="n"/>
      <c r="X941" s="340" t="n"/>
      <c r="Y941" s="340" t="n"/>
      <c r="Z941" s="340" t="n"/>
      <c r="AA941" s="340" t="n"/>
      <c r="AB941" s="340" t="n"/>
      <c r="AC941" s="340" t="n"/>
      <c r="AD941" s="340" t="n"/>
      <c r="AE941" s="340" t="n"/>
      <c r="AF941" s="340" t="n"/>
      <c r="AG941" s="340" t="n"/>
      <c r="AH941" s="340" t="n"/>
      <c r="AI941" s="340" t="n"/>
      <c r="AJ941" s="340" t="n"/>
      <c r="AK941" s="340" t="n"/>
      <c r="AL941" s="340" t="n"/>
    </row>
    <row r="942" ht="12.75" customHeight="1">
      <c r="K942" s="340" t="n"/>
      <c r="L942" s="340" t="n"/>
      <c r="M942" s="340" t="n"/>
      <c r="N942" s="340" t="n"/>
      <c r="O942" s="340" t="n"/>
      <c r="P942" s="340" t="n"/>
      <c r="Q942" s="340" t="n"/>
      <c r="R942" s="340" t="n"/>
      <c r="S942" s="340" t="n"/>
      <c r="T942" s="340" t="n"/>
      <c r="U942" s="340" t="n"/>
      <c r="V942" s="340" t="n"/>
      <c r="W942" s="340" t="n"/>
      <c r="X942" s="340" t="n"/>
      <c r="Y942" s="340" t="n"/>
      <c r="Z942" s="340" t="n"/>
      <c r="AA942" s="340" t="n"/>
      <c r="AB942" s="340" t="n"/>
      <c r="AC942" s="340" t="n"/>
      <c r="AD942" s="340" t="n"/>
      <c r="AE942" s="340" t="n"/>
      <c r="AF942" s="340" t="n"/>
      <c r="AG942" s="340" t="n"/>
      <c r="AH942" s="340" t="n"/>
      <c r="AI942" s="340" t="n"/>
      <c r="AJ942" s="340" t="n"/>
      <c r="AK942" s="340" t="n"/>
      <c r="AL942" s="340" t="n"/>
    </row>
    <row r="943" ht="12.75" customHeight="1">
      <c r="K943" s="340" t="n"/>
      <c r="L943" s="340" t="n"/>
      <c r="M943" s="340" t="n"/>
      <c r="N943" s="340" t="n"/>
      <c r="O943" s="340" t="n"/>
      <c r="P943" s="340" t="n"/>
      <c r="Q943" s="340" t="n"/>
      <c r="R943" s="340" t="n"/>
      <c r="S943" s="340" t="n"/>
      <c r="T943" s="340" t="n"/>
      <c r="U943" s="340" t="n"/>
      <c r="V943" s="340" t="n"/>
      <c r="W943" s="340" t="n"/>
      <c r="X943" s="340" t="n"/>
      <c r="Y943" s="340" t="n"/>
      <c r="Z943" s="340" t="n"/>
      <c r="AA943" s="340" t="n"/>
      <c r="AB943" s="340" t="n"/>
      <c r="AC943" s="340" t="n"/>
      <c r="AD943" s="340" t="n"/>
      <c r="AE943" s="340" t="n"/>
      <c r="AF943" s="340" t="n"/>
      <c r="AG943" s="340" t="n"/>
      <c r="AH943" s="340" t="n"/>
      <c r="AI943" s="340" t="n"/>
      <c r="AJ943" s="340" t="n"/>
      <c r="AK943" s="340" t="n"/>
      <c r="AL943" s="340" t="n"/>
    </row>
    <row r="944" ht="12.75" customHeight="1">
      <c r="K944" s="340" t="n"/>
      <c r="L944" s="340" t="n"/>
      <c r="M944" s="340" t="n"/>
      <c r="N944" s="340" t="n"/>
      <c r="O944" s="340" t="n"/>
      <c r="P944" s="340" t="n"/>
      <c r="Q944" s="340" t="n"/>
      <c r="R944" s="340" t="n"/>
      <c r="S944" s="340" t="n"/>
      <c r="T944" s="340" t="n"/>
      <c r="U944" s="340" t="n"/>
      <c r="V944" s="340" t="n"/>
      <c r="W944" s="340" t="n"/>
      <c r="X944" s="340" t="n"/>
      <c r="Y944" s="340" t="n"/>
      <c r="Z944" s="340" t="n"/>
      <c r="AA944" s="340" t="n"/>
      <c r="AB944" s="340" t="n"/>
      <c r="AC944" s="340" t="n"/>
      <c r="AD944" s="340" t="n"/>
      <c r="AE944" s="340" t="n"/>
      <c r="AF944" s="340" t="n"/>
      <c r="AG944" s="340" t="n"/>
      <c r="AH944" s="340" t="n"/>
      <c r="AI944" s="340" t="n"/>
      <c r="AJ944" s="340" t="n"/>
      <c r="AK944" s="340" t="n"/>
      <c r="AL944" s="340" t="n"/>
    </row>
    <row r="945" ht="12.75" customHeight="1">
      <c r="K945" s="340" t="n"/>
      <c r="L945" s="340" t="n"/>
      <c r="M945" s="340" t="n"/>
      <c r="N945" s="340" t="n"/>
      <c r="O945" s="340" t="n"/>
      <c r="P945" s="340" t="n"/>
      <c r="Q945" s="340" t="n"/>
      <c r="R945" s="340" t="n"/>
      <c r="S945" s="340" t="n"/>
      <c r="T945" s="340" t="n"/>
      <c r="U945" s="340" t="n"/>
      <c r="V945" s="340" t="n"/>
      <c r="W945" s="340" t="n"/>
      <c r="X945" s="340" t="n"/>
      <c r="Y945" s="340" t="n"/>
      <c r="Z945" s="340" t="n"/>
      <c r="AA945" s="340" t="n"/>
      <c r="AB945" s="340" t="n"/>
      <c r="AC945" s="340" t="n"/>
      <c r="AD945" s="340" t="n"/>
      <c r="AE945" s="340" t="n"/>
      <c r="AF945" s="340" t="n"/>
      <c r="AG945" s="340" t="n"/>
      <c r="AH945" s="340" t="n"/>
      <c r="AI945" s="340" t="n"/>
      <c r="AJ945" s="340" t="n"/>
      <c r="AK945" s="340" t="n"/>
      <c r="AL945" s="340" t="n"/>
    </row>
    <row r="946" ht="12.75" customHeight="1">
      <c r="K946" s="340" t="n"/>
      <c r="L946" s="340" t="n"/>
      <c r="M946" s="340" t="n"/>
      <c r="N946" s="340" t="n"/>
      <c r="O946" s="340" t="n"/>
      <c r="P946" s="340" t="n"/>
      <c r="Q946" s="340" t="n"/>
      <c r="R946" s="340" t="n"/>
      <c r="S946" s="340" t="n"/>
      <c r="T946" s="340" t="n"/>
      <c r="U946" s="340" t="n"/>
      <c r="V946" s="340" t="n"/>
      <c r="W946" s="340" t="n"/>
      <c r="X946" s="340" t="n"/>
      <c r="Y946" s="340" t="n"/>
      <c r="Z946" s="340" t="n"/>
      <c r="AA946" s="340" t="n"/>
      <c r="AB946" s="340" t="n"/>
      <c r="AC946" s="340" t="n"/>
      <c r="AD946" s="340" t="n"/>
      <c r="AE946" s="340" t="n"/>
      <c r="AF946" s="340" t="n"/>
      <c r="AG946" s="340" t="n"/>
      <c r="AH946" s="340" t="n"/>
      <c r="AI946" s="340" t="n"/>
      <c r="AJ946" s="340" t="n"/>
      <c r="AK946" s="340" t="n"/>
      <c r="AL946" s="340" t="n"/>
    </row>
    <row r="947" ht="12.75" customHeight="1">
      <c r="K947" s="340" t="n"/>
      <c r="L947" s="340" t="n"/>
      <c r="M947" s="340" t="n"/>
      <c r="N947" s="340" t="n"/>
      <c r="O947" s="340" t="n"/>
      <c r="P947" s="340" t="n"/>
      <c r="Q947" s="340" t="n"/>
      <c r="R947" s="340" t="n"/>
      <c r="S947" s="340" t="n"/>
      <c r="T947" s="340" t="n"/>
      <c r="U947" s="340" t="n"/>
      <c r="V947" s="340" t="n"/>
      <c r="W947" s="340" t="n"/>
      <c r="X947" s="340" t="n"/>
      <c r="Y947" s="340" t="n"/>
      <c r="Z947" s="340" t="n"/>
      <c r="AA947" s="340" t="n"/>
      <c r="AB947" s="340" t="n"/>
      <c r="AC947" s="340" t="n"/>
      <c r="AD947" s="340" t="n"/>
      <c r="AE947" s="340" t="n"/>
      <c r="AF947" s="340" t="n"/>
      <c r="AG947" s="340" t="n"/>
      <c r="AH947" s="340" t="n"/>
      <c r="AI947" s="340" t="n"/>
      <c r="AJ947" s="340" t="n"/>
      <c r="AK947" s="340" t="n"/>
      <c r="AL947" s="340" t="n"/>
    </row>
    <row r="948" ht="12.75" customHeight="1">
      <c r="K948" s="340" t="n"/>
      <c r="L948" s="340" t="n"/>
      <c r="M948" s="340" t="n"/>
      <c r="N948" s="340" t="n"/>
      <c r="O948" s="340" t="n"/>
      <c r="P948" s="340" t="n"/>
      <c r="Q948" s="340" t="n"/>
      <c r="R948" s="340" t="n"/>
      <c r="S948" s="340" t="n"/>
      <c r="T948" s="340" t="n"/>
      <c r="U948" s="340" t="n"/>
      <c r="V948" s="340" t="n"/>
      <c r="W948" s="340" t="n"/>
      <c r="X948" s="340" t="n"/>
      <c r="Y948" s="340" t="n"/>
      <c r="Z948" s="340" t="n"/>
      <c r="AA948" s="340" t="n"/>
      <c r="AB948" s="340" t="n"/>
      <c r="AC948" s="340" t="n"/>
      <c r="AD948" s="340" t="n"/>
      <c r="AE948" s="340" t="n"/>
      <c r="AF948" s="340" t="n"/>
      <c r="AG948" s="340" t="n"/>
      <c r="AH948" s="340" t="n"/>
      <c r="AI948" s="340" t="n"/>
      <c r="AJ948" s="340" t="n"/>
      <c r="AK948" s="340" t="n"/>
      <c r="AL948" s="340" t="n"/>
    </row>
    <row r="949" ht="12.75" customHeight="1">
      <c r="K949" s="340" t="n"/>
      <c r="L949" s="340" t="n"/>
      <c r="M949" s="340" t="n"/>
      <c r="N949" s="340" t="n"/>
      <c r="O949" s="340" t="n"/>
      <c r="P949" s="340" t="n"/>
      <c r="Q949" s="340" t="n"/>
      <c r="R949" s="340" t="n"/>
      <c r="S949" s="340" t="n"/>
      <c r="T949" s="340" t="n"/>
      <c r="U949" s="340" t="n"/>
      <c r="V949" s="340" t="n"/>
      <c r="W949" s="340" t="n"/>
      <c r="X949" s="340" t="n"/>
      <c r="Y949" s="340" t="n"/>
      <c r="Z949" s="340" t="n"/>
      <c r="AA949" s="340" t="n"/>
      <c r="AB949" s="340" t="n"/>
      <c r="AC949" s="340" t="n"/>
      <c r="AD949" s="340" t="n"/>
      <c r="AE949" s="340" t="n"/>
      <c r="AF949" s="340" t="n"/>
      <c r="AG949" s="340" t="n"/>
      <c r="AH949" s="340" t="n"/>
      <c r="AI949" s="340" t="n"/>
      <c r="AJ949" s="340" t="n"/>
      <c r="AK949" s="340" t="n"/>
      <c r="AL949" s="340" t="n"/>
    </row>
    <row r="950" ht="12.75" customHeight="1">
      <c r="K950" s="340" t="n"/>
      <c r="L950" s="340" t="n"/>
      <c r="M950" s="340" t="n"/>
      <c r="N950" s="340" t="n"/>
      <c r="O950" s="340" t="n"/>
      <c r="P950" s="340" t="n"/>
      <c r="Q950" s="340" t="n"/>
      <c r="R950" s="340" t="n"/>
      <c r="S950" s="340" t="n"/>
      <c r="T950" s="340" t="n"/>
      <c r="U950" s="340" t="n"/>
      <c r="V950" s="340" t="n"/>
      <c r="W950" s="340" t="n"/>
      <c r="X950" s="340" t="n"/>
      <c r="Y950" s="340" t="n"/>
      <c r="Z950" s="340" t="n"/>
      <c r="AA950" s="340" t="n"/>
      <c r="AB950" s="340" t="n"/>
      <c r="AC950" s="340" t="n"/>
      <c r="AD950" s="340" t="n"/>
      <c r="AE950" s="340" t="n"/>
      <c r="AF950" s="340" t="n"/>
      <c r="AG950" s="340" t="n"/>
      <c r="AH950" s="340" t="n"/>
      <c r="AI950" s="340" t="n"/>
      <c r="AJ950" s="340" t="n"/>
      <c r="AK950" s="340" t="n"/>
      <c r="AL950" s="340" t="n"/>
    </row>
    <row r="951" ht="12.75" customHeight="1">
      <c r="K951" s="340" t="n"/>
      <c r="L951" s="340" t="n"/>
      <c r="M951" s="340" t="n"/>
      <c r="N951" s="340" t="n"/>
      <c r="O951" s="340" t="n"/>
      <c r="P951" s="340" t="n"/>
      <c r="Q951" s="340" t="n"/>
      <c r="R951" s="340" t="n"/>
      <c r="S951" s="340" t="n"/>
      <c r="T951" s="340" t="n"/>
      <c r="U951" s="340" t="n"/>
      <c r="V951" s="340" t="n"/>
      <c r="W951" s="340" t="n"/>
      <c r="X951" s="340" t="n"/>
      <c r="Y951" s="340" t="n"/>
      <c r="Z951" s="340" t="n"/>
      <c r="AA951" s="340" t="n"/>
      <c r="AB951" s="340" t="n"/>
      <c r="AC951" s="340" t="n"/>
      <c r="AD951" s="340" t="n"/>
      <c r="AE951" s="340" t="n"/>
      <c r="AF951" s="340" t="n"/>
      <c r="AG951" s="340" t="n"/>
      <c r="AH951" s="340" t="n"/>
      <c r="AI951" s="340" t="n"/>
      <c r="AJ951" s="340" t="n"/>
      <c r="AK951" s="340" t="n"/>
      <c r="AL951" s="340" t="n"/>
    </row>
    <row r="952" ht="12.75" customHeight="1">
      <c r="K952" s="340" t="n"/>
      <c r="L952" s="340" t="n"/>
      <c r="M952" s="340" t="n"/>
      <c r="N952" s="340" t="n"/>
      <c r="O952" s="340" t="n"/>
      <c r="P952" s="340" t="n"/>
      <c r="Q952" s="340" t="n"/>
      <c r="R952" s="340" t="n"/>
      <c r="S952" s="340" t="n"/>
      <c r="T952" s="340" t="n"/>
      <c r="U952" s="340" t="n"/>
      <c r="V952" s="340" t="n"/>
      <c r="W952" s="340" t="n"/>
      <c r="X952" s="340" t="n"/>
      <c r="Y952" s="340" t="n"/>
      <c r="Z952" s="340" t="n"/>
      <c r="AA952" s="340" t="n"/>
      <c r="AB952" s="340" t="n"/>
      <c r="AC952" s="340" t="n"/>
      <c r="AD952" s="340" t="n"/>
      <c r="AE952" s="340" t="n"/>
      <c r="AF952" s="340" t="n"/>
      <c r="AG952" s="340" t="n"/>
      <c r="AH952" s="340" t="n"/>
      <c r="AI952" s="340" t="n"/>
      <c r="AJ952" s="340" t="n"/>
      <c r="AK952" s="340" t="n"/>
      <c r="AL952" s="340" t="n"/>
    </row>
    <row r="953" ht="12.75" customHeight="1">
      <c r="K953" s="340" t="n"/>
      <c r="L953" s="340" t="n"/>
      <c r="M953" s="340" t="n"/>
      <c r="N953" s="340" t="n"/>
      <c r="O953" s="340" t="n"/>
      <c r="P953" s="340" t="n"/>
      <c r="Q953" s="340" t="n"/>
      <c r="R953" s="340" t="n"/>
      <c r="S953" s="340" t="n"/>
      <c r="T953" s="340" t="n"/>
      <c r="U953" s="340" t="n"/>
      <c r="V953" s="340" t="n"/>
      <c r="W953" s="340" t="n"/>
      <c r="X953" s="340" t="n"/>
      <c r="Y953" s="340" t="n"/>
      <c r="Z953" s="340" t="n"/>
      <c r="AA953" s="340" t="n"/>
      <c r="AB953" s="340" t="n"/>
      <c r="AC953" s="340" t="n"/>
      <c r="AD953" s="340" t="n"/>
      <c r="AE953" s="340" t="n"/>
      <c r="AF953" s="340" t="n"/>
      <c r="AG953" s="340" t="n"/>
      <c r="AH953" s="340" t="n"/>
      <c r="AI953" s="340" t="n"/>
      <c r="AJ953" s="340" t="n"/>
      <c r="AK953" s="340" t="n"/>
      <c r="AL953" s="340" t="n"/>
    </row>
    <row r="954" ht="12.75" customHeight="1">
      <c r="K954" s="340" t="n"/>
      <c r="L954" s="340" t="n"/>
      <c r="M954" s="340" t="n"/>
      <c r="N954" s="340" t="n"/>
      <c r="O954" s="340" t="n"/>
      <c r="P954" s="340" t="n"/>
      <c r="Q954" s="340" t="n"/>
      <c r="R954" s="340" t="n"/>
      <c r="S954" s="340" t="n"/>
      <c r="T954" s="340" t="n"/>
      <c r="U954" s="340" t="n"/>
      <c r="V954" s="340" t="n"/>
      <c r="W954" s="340" t="n"/>
      <c r="X954" s="340" t="n"/>
      <c r="Y954" s="340" t="n"/>
      <c r="Z954" s="340" t="n"/>
      <c r="AA954" s="340" t="n"/>
      <c r="AB954" s="340" t="n"/>
      <c r="AC954" s="340" t="n"/>
      <c r="AD954" s="340" t="n"/>
      <c r="AE954" s="340" t="n"/>
      <c r="AF954" s="340" t="n"/>
      <c r="AG954" s="340" t="n"/>
      <c r="AH954" s="340" t="n"/>
      <c r="AI954" s="340" t="n"/>
      <c r="AJ954" s="340" t="n"/>
      <c r="AK954" s="340" t="n"/>
      <c r="AL954" s="340" t="n"/>
    </row>
    <row r="955" ht="12.75" customHeight="1">
      <c r="K955" s="340" t="n"/>
      <c r="L955" s="340" t="n"/>
      <c r="M955" s="340" t="n"/>
      <c r="N955" s="340" t="n"/>
      <c r="O955" s="340" t="n"/>
      <c r="P955" s="340" t="n"/>
      <c r="Q955" s="340" t="n"/>
      <c r="R955" s="340" t="n"/>
      <c r="S955" s="340" t="n"/>
      <c r="T955" s="340" t="n"/>
      <c r="U955" s="340" t="n"/>
      <c r="V955" s="340" t="n"/>
      <c r="W955" s="340" t="n"/>
      <c r="X955" s="340" t="n"/>
      <c r="Y955" s="340" t="n"/>
      <c r="Z955" s="340" t="n"/>
      <c r="AA955" s="340" t="n"/>
      <c r="AB955" s="340" t="n"/>
      <c r="AC955" s="340" t="n"/>
      <c r="AD955" s="340" t="n"/>
      <c r="AE955" s="340" t="n"/>
      <c r="AF955" s="340" t="n"/>
      <c r="AG955" s="340" t="n"/>
      <c r="AH955" s="340" t="n"/>
      <c r="AI955" s="340" t="n"/>
      <c r="AJ955" s="340" t="n"/>
      <c r="AK955" s="340" t="n"/>
      <c r="AL955" s="340" t="n"/>
    </row>
    <row r="956" ht="12.75" customHeight="1">
      <c r="K956" s="340" t="n"/>
      <c r="L956" s="340" t="n"/>
      <c r="M956" s="340" t="n"/>
      <c r="N956" s="340" t="n"/>
      <c r="O956" s="340" t="n"/>
      <c r="P956" s="340" t="n"/>
      <c r="Q956" s="340" t="n"/>
      <c r="R956" s="340" t="n"/>
      <c r="S956" s="340" t="n"/>
      <c r="T956" s="340" t="n"/>
      <c r="U956" s="340" t="n"/>
      <c r="V956" s="340" t="n"/>
      <c r="W956" s="340" t="n"/>
      <c r="X956" s="340" t="n"/>
      <c r="Y956" s="340" t="n"/>
      <c r="Z956" s="340" t="n"/>
      <c r="AA956" s="340" t="n"/>
      <c r="AB956" s="340" t="n"/>
      <c r="AC956" s="340" t="n"/>
      <c r="AD956" s="340" t="n"/>
      <c r="AE956" s="340" t="n"/>
      <c r="AF956" s="340" t="n"/>
      <c r="AG956" s="340" t="n"/>
      <c r="AH956" s="340" t="n"/>
      <c r="AI956" s="340" t="n"/>
      <c r="AJ956" s="340" t="n"/>
      <c r="AK956" s="340" t="n"/>
      <c r="AL956" s="340" t="n"/>
    </row>
    <row r="957" ht="12.75" customHeight="1">
      <c r="K957" s="340" t="n"/>
      <c r="L957" s="340" t="n"/>
      <c r="M957" s="340" t="n"/>
      <c r="N957" s="340" t="n"/>
      <c r="O957" s="340" t="n"/>
      <c r="P957" s="340" t="n"/>
      <c r="Q957" s="340" t="n"/>
      <c r="R957" s="340" t="n"/>
      <c r="S957" s="340" t="n"/>
      <c r="T957" s="340" t="n"/>
      <c r="U957" s="340" t="n"/>
      <c r="V957" s="340" t="n"/>
      <c r="W957" s="340" t="n"/>
      <c r="X957" s="340" t="n"/>
      <c r="Y957" s="340" t="n"/>
      <c r="Z957" s="340" t="n"/>
      <c r="AA957" s="340" t="n"/>
      <c r="AB957" s="340" t="n"/>
      <c r="AC957" s="340" t="n"/>
      <c r="AD957" s="340" t="n"/>
      <c r="AE957" s="340" t="n"/>
      <c r="AF957" s="340" t="n"/>
      <c r="AG957" s="340" t="n"/>
      <c r="AH957" s="340" t="n"/>
      <c r="AI957" s="340" t="n"/>
      <c r="AJ957" s="340" t="n"/>
      <c r="AK957" s="340" t="n"/>
      <c r="AL957" s="340" t="n"/>
    </row>
    <row r="958" ht="12.75" customHeight="1">
      <c r="K958" s="340" t="n"/>
      <c r="L958" s="340" t="n"/>
      <c r="M958" s="340" t="n"/>
      <c r="N958" s="340" t="n"/>
      <c r="O958" s="340" t="n"/>
      <c r="P958" s="340" t="n"/>
      <c r="Q958" s="340" t="n"/>
      <c r="R958" s="340" t="n"/>
      <c r="S958" s="340" t="n"/>
      <c r="T958" s="340" t="n"/>
      <c r="U958" s="340" t="n"/>
      <c r="V958" s="340" t="n"/>
      <c r="W958" s="340" t="n"/>
      <c r="X958" s="340" t="n"/>
      <c r="Y958" s="340" t="n"/>
      <c r="Z958" s="340" t="n"/>
      <c r="AA958" s="340" t="n"/>
      <c r="AB958" s="340" t="n"/>
      <c r="AC958" s="340" t="n"/>
      <c r="AD958" s="340" t="n"/>
      <c r="AE958" s="340" t="n"/>
      <c r="AF958" s="340" t="n"/>
      <c r="AG958" s="340" t="n"/>
      <c r="AH958" s="340" t="n"/>
      <c r="AI958" s="340" t="n"/>
      <c r="AJ958" s="340" t="n"/>
      <c r="AK958" s="340" t="n"/>
      <c r="AL958" s="340" t="n"/>
    </row>
    <row r="959" ht="12.75" customHeight="1">
      <c r="K959" s="340" t="n"/>
      <c r="L959" s="340" t="n"/>
      <c r="M959" s="340" t="n"/>
      <c r="N959" s="340" t="n"/>
      <c r="O959" s="340" t="n"/>
      <c r="P959" s="340" t="n"/>
      <c r="Q959" s="340" t="n"/>
      <c r="R959" s="340" t="n"/>
      <c r="S959" s="340" t="n"/>
      <c r="T959" s="340" t="n"/>
      <c r="U959" s="340" t="n"/>
      <c r="V959" s="340" t="n"/>
      <c r="W959" s="340" t="n"/>
      <c r="X959" s="340" t="n"/>
      <c r="Y959" s="340" t="n"/>
      <c r="Z959" s="340" t="n"/>
      <c r="AA959" s="340" t="n"/>
      <c r="AB959" s="340" t="n"/>
      <c r="AC959" s="340" t="n"/>
      <c r="AD959" s="340" t="n"/>
      <c r="AE959" s="340" t="n"/>
      <c r="AF959" s="340" t="n"/>
      <c r="AG959" s="340" t="n"/>
      <c r="AH959" s="340" t="n"/>
      <c r="AI959" s="340" t="n"/>
      <c r="AJ959" s="340" t="n"/>
      <c r="AK959" s="340" t="n"/>
      <c r="AL959" s="340" t="n"/>
    </row>
    <row r="960" ht="12.75" customHeight="1">
      <c r="K960" s="340" t="n"/>
      <c r="L960" s="340" t="n"/>
      <c r="M960" s="340" t="n"/>
      <c r="N960" s="340" t="n"/>
      <c r="O960" s="340" t="n"/>
      <c r="P960" s="340" t="n"/>
      <c r="Q960" s="340" t="n"/>
      <c r="R960" s="340" t="n"/>
      <c r="S960" s="340" t="n"/>
      <c r="T960" s="340" t="n"/>
      <c r="U960" s="340" t="n"/>
      <c r="V960" s="340" t="n"/>
      <c r="W960" s="340" t="n"/>
      <c r="X960" s="340" t="n"/>
      <c r="Y960" s="340" t="n"/>
      <c r="Z960" s="340" t="n"/>
      <c r="AA960" s="340" t="n"/>
      <c r="AB960" s="340" t="n"/>
      <c r="AC960" s="340" t="n"/>
      <c r="AD960" s="340" t="n"/>
      <c r="AE960" s="340" t="n"/>
      <c r="AF960" s="340" t="n"/>
      <c r="AG960" s="340" t="n"/>
      <c r="AH960" s="340" t="n"/>
      <c r="AI960" s="340" t="n"/>
      <c r="AJ960" s="340" t="n"/>
      <c r="AK960" s="340" t="n"/>
      <c r="AL960" s="340" t="n"/>
    </row>
    <row r="961" ht="12.75" customHeight="1">
      <c r="K961" s="340" t="n"/>
      <c r="L961" s="340" t="n"/>
      <c r="M961" s="340" t="n"/>
      <c r="N961" s="340" t="n"/>
      <c r="O961" s="340" t="n"/>
      <c r="P961" s="340" t="n"/>
      <c r="Q961" s="340" t="n"/>
      <c r="R961" s="340" t="n"/>
      <c r="S961" s="340" t="n"/>
      <c r="T961" s="340" t="n"/>
      <c r="U961" s="340" t="n"/>
      <c r="V961" s="340" t="n"/>
      <c r="W961" s="340" t="n"/>
      <c r="X961" s="340" t="n"/>
      <c r="Y961" s="340" t="n"/>
      <c r="Z961" s="340" t="n"/>
      <c r="AA961" s="340" t="n"/>
      <c r="AB961" s="340" t="n"/>
      <c r="AC961" s="340" t="n"/>
      <c r="AD961" s="340" t="n"/>
      <c r="AE961" s="340" t="n"/>
      <c r="AF961" s="340" t="n"/>
      <c r="AG961" s="340" t="n"/>
      <c r="AH961" s="340" t="n"/>
      <c r="AI961" s="340" t="n"/>
      <c r="AJ961" s="340" t="n"/>
      <c r="AK961" s="340" t="n"/>
      <c r="AL961" s="340" t="n"/>
    </row>
    <row r="962" ht="12.75" customHeight="1">
      <c r="K962" s="340" t="n"/>
      <c r="L962" s="340" t="n"/>
      <c r="M962" s="340" t="n"/>
      <c r="N962" s="340" t="n"/>
      <c r="O962" s="340" t="n"/>
      <c r="P962" s="340" t="n"/>
      <c r="Q962" s="340" t="n"/>
      <c r="R962" s="340" t="n"/>
      <c r="S962" s="340" t="n"/>
      <c r="T962" s="340" t="n"/>
      <c r="U962" s="340" t="n"/>
      <c r="V962" s="340" t="n"/>
      <c r="W962" s="340" t="n"/>
      <c r="X962" s="340" t="n"/>
      <c r="Y962" s="340" t="n"/>
      <c r="Z962" s="340" t="n"/>
      <c r="AA962" s="340" t="n"/>
      <c r="AB962" s="340" t="n"/>
      <c r="AC962" s="340" t="n"/>
      <c r="AD962" s="340" t="n"/>
      <c r="AE962" s="340" t="n"/>
      <c r="AF962" s="340" t="n"/>
      <c r="AG962" s="340" t="n"/>
      <c r="AH962" s="340" t="n"/>
      <c r="AI962" s="340" t="n"/>
      <c r="AJ962" s="340" t="n"/>
      <c r="AK962" s="340" t="n"/>
      <c r="AL962" s="340" t="n"/>
    </row>
    <row r="963" ht="12.75" customHeight="1">
      <c r="K963" s="340" t="n"/>
      <c r="L963" s="340" t="n"/>
      <c r="M963" s="340" t="n"/>
      <c r="N963" s="340" t="n"/>
      <c r="O963" s="340" t="n"/>
      <c r="P963" s="340" t="n"/>
      <c r="Q963" s="340" t="n"/>
      <c r="R963" s="340" t="n"/>
      <c r="S963" s="340" t="n"/>
      <c r="T963" s="340" t="n"/>
      <c r="U963" s="340" t="n"/>
      <c r="V963" s="340" t="n"/>
      <c r="W963" s="340" t="n"/>
      <c r="X963" s="340" t="n"/>
      <c r="Y963" s="340" t="n"/>
      <c r="Z963" s="340" t="n"/>
      <c r="AA963" s="340" t="n"/>
      <c r="AB963" s="340" t="n"/>
      <c r="AC963" s="340" t="n"/>
      <c r="AD963" s="340" t="n"/>
      <c r="AE963" s="340" t="n"/>
      <c r="AF963" s="340" t="n"/>
      <c r="AG963" s="340" t="n"/>
      <c r="AH963" s="340" t="n"/>
      <c r="AI963" s="340" t="n"/>
      <c r="AJ963" s="340" t="n"/>
      <c r="AK963" s="340" t="n"/>
      <c r="AL963" s="340" t="n"/>
    </row>
    <row r="964" ht="12.75" customHeight="1">
      <c r="K964" s="340" t="n"/>
      <c r="L964" s="340" t="n"/>
      <c r="M964" s="340" t="n"/>
      <c r="N964" s="340" t="n"/>
      <c r="O964" s="340" t="n"/>
      <c r="P964" s="340" t="n"/>
      <c r="Q964" s="340" t="n"/>
      <c r="R964" s="340" t="n"/>
      <c r="S964" s="340" t="n"/>
      <c r="T964" s="340" t="n"/>
      <c r="U964" s="340" t="n"/>
      <c r="V964" s="340" t="n"/>
      <c r="W964" s="340" t="n"/>
      <c r="X964" s="340" t="n"/>
      <c r="Y964" s="340" t="n"/>
      <c r="Z964" s="340" t="n"/>
      <c r="AA964" s="340" t="n"/>
      <c r="AB964" s="340" t="n"/>
      <c r="AC964" s="340" t="n"/>
      <c r="AD964" s="340" t="n"/>
      <c r="AE964" s="340" t="n"/>
      <c r="AF964" s="340" t="n"/>
      <c r="AG964" s="340" t="n"/>
      <c r="AH964" s="340" t="n"/>
      <c r="AI964" s="340" t="n"/>
      <c r="AJ964" s="340" t="n"/>
      <c r="AK964" s="340" t="n"/>
      <c r="AL964" s="340" t="n"/>
    </row>
    <row r="965" ht="12.75" customHeight="1">
      <c r="K965" s="340" t="n"/>
      <c r="L965" s="340" t="n"/>
      <c r="M965" s="340" t="n"/>
      <c r="N965" s="340" t="n"/>
      <c r="O965" s="340" t="n"/>
      <c r="P965" s="340" t="n"/>
      <c r="Q965" s="340" t="n"/>
      <c r="R965" s="340" t="n"/>
      <c r="S965" s="340" t="n"/>
      <c r="T965" s="340" t="n"/>
      <c r="U965" s="340" t="n"/>
      <c r="V965" s="340" t="n"/>
      <c r="W965" s="340" t="n"/>
      <c r="X965" s="340" t="n"/>
      <c r="Y965" s="340" t="n"/>
      <c r="Z965" s="340" t="n"/>
      <c r="AA965" s="340" t="n"/>
      <c r="AB965" s="340" t="n"/>
      <c r="AC965" s="340" t="n"/>
      <c r="AD965" s="340" t="n"/>
      <c r="AE965" s="340" t="n"/>
      <c r="AF965" s="340" t="n"/>
      <c r="AG965" s="340" t="n"/>
      <c r="AH965" s="340" t="n"/>
      <c r="AI965" s="340" t="n"/>
      <c r="AJ965" s="340" t="n"/>
      <c r="AK965" s="340" t="n"/>
      <c r="AL965" s="340" t="n"/>
    </row>
    <row r="966" ht="12.75" customHeight="1">
      <c r="K966" s="340" t="n"/>
      <c r="L966" s="340" t="n"/>
      <c r="M966" s="340" t="n"/>
      <c r="N966" s="340" t="n"/>
      <c r="O966" s="340" t="n"/>
      <c r="P966" s="340" t="n"/>
      <c r="Q966" s="340" t="n"/>
      <c r="R966" s="340" t="n"/>
      <c r="S966" s="340" t="n"/>
      <c r="T966" s="340" t="n"/>
      <c r="U966" s="340" t="n"/>
      <c r="V966" s="340" t="n"/>
      <c r="W966" s="340" t="n"/>
      <c r="X966" s="340" t="n"/>
      <c r="Y966" s="340" t="n"/>
      <c r="Z966" s="340" t="n"/>
      <c r="AA966" s="340" t="n"/>
      <c r="AB966" s="340" t="n"/>
      <c r="AC966" s="340" t="n"/>
      <c r="AD966" s="340" t="n"/>
      <c r="AE966" s="340" t="n"/>
      <c r="AF966" s="340" t="n"/>
      <c r="AG966" s="340" t="n"/>
      <c r="AH966" s="340" t="n"/>
      <c r="AI966" s="340" t="n"/>
      <c r="AJ966" s="340" t="n"/>
      <c r="AK966" s="340" t="n"/>
      <c r="AL966" s="340" t="n"/>
    </row>
    <row r="967" ht="12.75" customHeight="1">
      <c r="K967" s="340" t="n"/>
      <c r="L967" s="340" t="n"/>
      <c r="M967" s="340" t="n"/>
      <c r="N967" s="340" t="n"/>
      <c r="O967" s="340" t="n"/>
      <c r="P967" s="340" t="n"/>
      <c r="Q967" s="340" t="n"/>
      <c r="R967" s="340" t="n"/>
      <c r="S967" s="340" t="n"/>
      <c r="T967" s="340" t="n"/>
      <c r="U967" s="340" t="n"/>
      <c r="V967" s="340" t="n"/>
      <c r="W967" s="340" t="n"/>
      <c r="X967" s="340" t="n"/>
      <c r="Y967" s="340" t="n"/>
      <c r="Z967" s="340" t="n"/>
      <c r="AA967" s="340" t="n"/>
      <c r="AB967" s="340" t="n"/>
      <c r="AC967" s="340" t="n"/>
      <c r="AD967" s="340" t="n"/>
      <c r="AE967" s="340" t="n"/>
      <c r="AF967" s="340" t="n"/>
      <c r="AG967" s="340" t="n"/>
      <c r="AH967" s="340" t="n"/>
      <c r="AI967" s="340" t="n"/>
      <c r="AJ967" s="340" t="n"/>
      <c r="AK967" s="340" t="n"/>
      <c r="AL967" s="340" t="n"/>
    </row>
    <row r="968" ht="12.75" customHeight="1">
      <c r="K968" s="340" t="n"/>
      <c r="L968" s="340" t="n"/>
      <c r="M968" s="340" t="n"/>
      <c r="N968" s="340" t="n"/>
      <c r="O968" s="340" t="n"/>
      <c r="P968" s="340" t="n"/>
      <c r="Q968" s="340" t="n"/>
      <c r="R968" s="340" t="n"/>
      <c r="S968" s="340" t="n"/>
      <c r="T968" s="340" t="n"/>
      <c r="U968" s="340" t="n"/>
      <c r="V968" s="340" t="n"/>
      <c r="W968" s="340" t="n"/>
      <c r="X968" s="340" t="n"/>
      <c r="Y968" s="340" t="n"/>
      <c r="Z968" s="340" t="n"/>
      <c r="AA968" s="340" t="n"/>
      <c r="AB968" s="340" t="n"/>
      <c r="AC968" s="340" t="n"/>
      <c r="AD968" s="340" t="n"/>
      <c r="AE968" s="340" t="n"/>
      <c r="AF968" s="340" t="n"/>
      <c r="AG968" s="340" t="n"/>
      <c r="AH968" s="340" t="n"/>
      <c r="AI968" s="340" t="n"/>
      <c r="AJ968" s="340" t="n"/>
      <c r="AK968" s="340" t="n"/>
      <c r="AL968" s="340" t="n"/>
    </row>
    <row r="969" ht="12.75" customHeight="1">
      <c r="K969" s="340" t="n"/>
      <c r="L969" s="340" t="n"/>
      <c r="M969" s="340" t="n"/>
      <c r="N969" s="340" t="n"/>
      <c r="O969" s="340" t="n"/>
      <c r="P969" s="340" t="n"/>
      <c r="Q969" s="340" t="n"/>
      <c r="R969" s="340" t="n"/>
      <c r="S969" s="340" t="n"/>
      <c r="T969" s="340" t="n"/>
      <c r="U969" s="340" t="n"/>
      <c r="V969" s="340" t="n"/>
      <c r="W969" s="340" t="n"/>
      <c r="X969" s="340" t="n"/>
      <c r="Y969" s="340" t="n"/>
      <c r="Z969" s="340" t="n"/>
      <c r="AA969" s="340" t="n"/>
      <c r="AB969" s="340" t="n"/>
      <c r="AC969" s="340" t="n"/>
      <c r="AD969" s="340" t="n"/>
      <c r="AE969" s="340" t="n"/>
      <c r="AF969" s="340" t="n"/>
      <c r="AG969" s="340" t="n"/>
      <c r="AH969" s="340" t="n"/>
      <c r="AI969" s="340" t="n"/>
      <c r="AJ969" s="340" t="n"/>
      <c r="AK969" s="340" t="n"/>
      <c r="AL969" s="340" t="n"/>
    </row>
    <row r="970" ht="12.75" customHeight="1">
      <c r="K970" s="340" t="n"/>
      <c r="L970" s="340" t="n"/>
      <c r="M970" s="340" t="n"/>
      <c r="N970" s="340" t="n"/>
      <c r="O970" s="340" t="n"/>
      <c r="P970" s="340" t="n"/>
      <c r="Q970" s="340" t="n"/>
      <c r="R970" s="340" t="n"/>
      <c r="S970" s="340" t="n"/>
      <c r="T970" s="340" t="n"/>
      <c r="U970" s="340" t="n"/>
      <c r="V970" s="340" t="n"/>
      <c r="W970" s="340" t="n"/>
      <c r="X970" s="340" t="n"/>
      <c r="Y970" s="340" t="n"/>
      <c r="Z970" s="340" t="n"/>
      <c r="AA970" s="340" t="n"/>
      <c r="AB970" s="340" t="n"/>
      <c r="AC970" s="340" t="n"/>
      <c r="AD970" s="340" t="n"/>
      <c r="AE970" s="340" t="n"/>
      <c r="AF970" s="340" t="n"/>
      <c r="AG970" s="340" t="n"/>
      <c r="AH970" s="340" t="n"/>
      <c r="AI970" s="340" t="n"/>
      <c r="AJ970" s="340" t="n"/>
      <c r="AK970" s="340" t="n"/>
      <c r="AL970" s="340" t="n"/>
    </row>
    <row r="971" ht="12.75" customHeight="1">
      <c r="K971" s="340" t="n"/>
      <c r="L971" s="340" t="n"/>
      <c r="M971" s="340" t="n"/>
      <c r="N971" s="340" t="n"/>
      <c r="O971" s="340" t="n"/>
      <c r="P971" s="340" t="n"/>
      <c r="Q971" s="340" t="n"/>
      <c r="R971" s="340" t="n"/>
      <c r="S971" s="340" t="n"/>
      <c r="T971" s="340" t="n"/>
      <c r="U971" s="340" t="n"/>
      <c r="V971" s="340" t="n"/>
      <c r="W971" s="340" t="n"/>
      <c r="X971" s="340" t="n"/>
      <c r="Y971" s="340" t="n"/>
      <c r="Z971" s="340" t="n"/>
      <c r="AA971" s="340" t="n"/>
      <c r="AB971" s="340" t="n"/>
      <c r="AC971" s="340" t="n"/>
      <c r="AD971" s="340" t="n"/>
      <c r="AE971" s="340" t="n"/>
      <c r="AF971" s="340" t="n"/>
      <c r="AG971" s="340" t="n"/>
      <c r="AH971" s="340" t="n"/>
      <c r="AI971" s="340" t="n"/>
      <c r="AJ971" s="340" t="n"/>
      <c r="AK971" s="340" t="n"/>
      <c r="AL971" s="340" t="n"/>
    </row>
    <row r="972" ht="12.75" customHeight="1">
      <c r="K972" s="340" t="n"/>
      <c r="L972" s="340" t="n"/>
      <c r="M972" s="340" t="n"/>
      <c r="N972" s="340" t="n"/>
      <c r="O972" s="340" t="n"/>
      <c r="P972" s="340" t="n"/>
      <c r="Q972" s="340" t="n"/>
      <c r="R972" s="340" t="n"/>
      <c r="S972" s="340" t="n"/>
      <c r="T972" s="340" t="n"/>
      <c r="U972" s="340" t="n"/>
      <c r="V972" s="340" t="n"/>
      <c r="W972" s="340" t="n"/>
      <c r="X972" s="340" t="n"/>
      <c r="Y972" s="340" t="n"/>
      <c r="Z972" s="340" t="n"/>
      <c r="AA972" s="340" t="n"/>
      <c r="AB972" s="340" t="n"/>
      <c r="AC972" s="340" t="n"/>
      <c r="AD972" s="340" t="n"/>
      <c r="AE972" s="340" t="n"/>
      <c r="AF972" s="340" t="n"/>
      <c r="AG972" s="340" t="n"/>
      <c r="AH972" s="340" t="n"/>
      <c r="AI972" s="340" t="n"/>
      <c r="AJ972" s="340" t="n"/>
      <c r="AK972" s="340" t="n"/>
      <c r="AL972" s="340" t="n"/>
    </row>
    <row r="973" ht="12.75" customHeight="1">
      <c r="K973" s="340" t="n"/>
      <c r="L973" s="340" t="n"/>
      <c r="M973" s="340" t="n"/>
      <c r="N973" s="340" t="n"/>
      <c r="O973" s="340" t="n"/>
      <c r="P973" s="340" t="n"/>
      <c r="Q973" s="340" t="n"/>
      <c r="R973" s="340" t="n"/>
      <c r="S973" s="340" t="n"/>
      <c r="T973" s="340" t="n"/>
      <c r="U973" s="340" t="n"/>
      <c r="V973" s="340" t="n"/>
      <c r="W973" s="340" t="n"/>
      <c r="X973" s="340" t="n"/>
      <c r="Y973" s="340" t="n"/>
      <c r="Z973" s="340" t="n"/>
      <c r="AA973" s="340" t="n"/>
      <c r="AB973" s="340" t="n"/>
      <c r="AC973" s="340" t="n"/>
      <c r="AD973" s="340" t="n"/>
      <c r="AE973" s="340" t="n"/>
      <c r="AF973" s="340" t="n"/>
      <c r="AG973" s="340" t="n"/>
      <c r="AH973" s="340" t="n"/>
      <c r="AI973" s="340" t="n"/>
      <c r="AJ973" s="340" t="n"/>
      <c r="AK973" s="340" t="n"/>
      <c r="AL973" s="340" t="n"/>
    </row>
    <row r="974" ht="12.75" customHeight="1">
      <c r="K974" s="340" t="n"/>
      <c r="L974" s="340" t="n"/>
      <c r="M974" s="340" t="n"/>
      <c r="N974" s="340" t="n"/>
      <c r="O974" s="340" t="n"/>
      <c r="P974" s="340" t="n"/>
      <c r="Q974" s="340" t="n"/>
      <c r="R974" s="340" t="n"/>
      <c r="S974" s="340" t="n"/>
      <c r="T974" s="340" t="n"/>
      <c r="U974" s="340" t="n"/>
      <c r="V974" s="340" t="n"/>
      <c r="W974" s="340" t="n"/>
      <c r="X974" s="340" t="n"/>
      <c r="Y974" s="340" t="n"/>
      <c r="Z974" s="340" t="n"/>
      <c r="AA974" s="340" t="n"/>
      <c r="AB974" s="340" t="n"/>
      <c r="AC974" s="340" t="n"/>
      <c r="AD974" s="340" t="n"/>
      <c r="AE974" s="340" t="n"/>
      <c r="AF974" s="340" t="n"/>
      <c r="AG974" s="340" t="n"/>
      <c r="AH974" s="340" t="n"/>
      <c r="AI974" s="340" t="n"/>
      <c r="AJ974" s="340" t="n"/>
      <c r="AK974" s="340" t="n"/>
      <c r="AL974" s="340" t="n"/>
    </row>
    <row r="975" ht="12.75" customHeight="1">
      <c r="K975" s="340" t="n"/>
      <c r="L975" s="340" t="n"/>
      <c r="M975" s="340" t="n"/>
      <c r="N975" s="340" t="n"/>
      <c r="O975" s="340" t="n"/>
      <c r="P975" s="340" t="n"/>
      <c r="Q975" s="340" t="n"/>
      <c r="R975" s="340" t="n"/>
      <c r="S975" s="340" t="n"/>
      <c r="T975" s="340" t="n"/>
      <c r="U975" s="340" t="n"/>
      <c r="V975" s="340" t="n"/>
      <c r="W975" s="340" t="n"/>
      <c r="X975" s="340" t="n"/>
      <c r="Y975" s="340" t="n"/>
      <c r="Z975" s="340" t="n"/>
      <c r="AA975" s="340" t="n"/>
      <c r="AB975" s="340" t="n"/>
      <c r="AC975" s="340" t="n"/>
      <c r="AD975" s="340" t="n"/>
      <c r="AE975" s="340" t="n"/>
      <c r="AF975" s="340" t="n"/>
      <c r="AG975" s="340" t="n"/>
      <c r="AH975" s="340" t="n"/>
      <c r="AI975" s="340" t="n"/>
      <c r="AJ975" s="340" t="n"/>
      <c r="AK975" s="340" t="n"/>
      <c r="AL975" s="340" t="n"/>
    </row>
    <row r="976" ht="12.75" customHeight="1">
      <c r="K976" s="340" t="n"/>
      <c r="L976" s="340" t="n"/>
      <c r="M976" s="340" t="n"/>
      <c r="N976" s="340" t="n"/>
      <c r="O976" s="340" t="n"/>
      <c r="P976" s="340" t="n"/>
      <c r="Q976" s="340" t="n"/>
      <c r="R976" s="340" t="n"/>
      <c r="S976" s="340" t="n"/>
      <c r="T976" s="340" t="n"/>
      <c r="U976" s="340" t="n"/>
      <c r="V976" s="340" t="n"/>
      <c r="W976" s="340" t="n"/>
      <c r="X976" s="340" t="n"/>
      <c r="Y976" s="340" t="n"/>
      <c r="Z976" s="340" t="n"/>
      <c r="AA976" s="340" t="n"/>
      <c r="AB976" s="340" t="n"/>
      <c r="AC976" s="340" t="n"/>
      <c r="AD976" s="340" t="n"/>
      <c r="AE976" s="340" t="n"/>
      <c r="AF976" s="340" t="n"/>
      <c r="AG976" s="340" t="n"/>
      <c r="AH976" s="340" t="n"/>
      <c r="AI976" s="340" t="n"/>
      <c r="AJ976" s="340" t="n"/>
      <c r="AK976" s="340" t="n"/>
      <c r="AL976" s="340" t="n"/>
    </row>
    <row r="977" ht="12.75" customHeight="1">
      <c r="K977" s="340" t="n"/>
      <c r="L977" s="340" t="n"/>
      <c r="M977" s="340" t="n"/>
      <c r="N977" s="340" t="n"/>
      <c r="O977" s="340" t="n"/>
      <c r="P977" s="340" t="n"/>
      <c r="Q977" s="340" t="n"/>
      <c r="R977" s="340" t="n"/>
      <c r="S977" s="340" t="n"/>
      <c r="T977" s="340" t="n"/>
      <c r="U977" s="340" t="n"/>
      <c r="V977" s="340" t="n"/>
      <c r="W977" s="340" t="n"/>
      <c r="X977" s="340" t="n"/>
      <c r="Y977" s="340" t="n"/>
      <c r="Z977" s="340" t="n"/>
      <c r="AA977" s="340" t="n"/>
      <c r="AB977" s="340" t="n"/>
      <c r="AC977" s="340" t="n"/>
      <c r="AD977" s="340" t="n"/>
      <c r="AE977" s="340" t="n"/>
      <c r="AF977" s="340" t="n"/>
      <c r="AG977" s="340" t="n"/>
      <c r="AH977" s="340" t="n"/>
      <c r="AI977" s="340" t="n"/>
      <c r="AJ977" s="340" t="n"/>
      <c r="AK977" s="340" t="n"/>
      <c r="AL977" s="340" t="n"/>
    </row>
    <row r="978" ht="12.75" customHeight="1">
      <c r="K978" s="340" t="n"/>
      <c r="L978" s="340" t="n"/>
      <c r="M978" s="340" t="n"/>
      <c r="N978" s="340" t="n"/>
      <c r="O978" s="340" t="n"/>
      <c r="P978" s="340" t="n"/>
      <c r="Q978" s="340" t="n"/>
      <c r="R978" s="340" t="n"/>
      <c r="S978" s="340" t="n"/>
      <c r="T978" s="340" t="n"/>
      <c r="U978" s="340" t="n"/>
      <c r="V978" s="340" t="n"/>
      <c r="W978" s="340" t="n"/>
      <c r="X978" s="340" t="n"/>
      <c r="Y978" s="340" t="n"/>
      <c r="Z978" s="340" t="n"/>
      <c r="AA978" s="340" t="n"/>
      <c r="AB978" s="340" t="n"/>
      <c r="AC978" s="340" t="n"/>
      <c r="AD978" s="340" t="n"/>
      <c r="AE978" s="340" t="n"/>
      <c r="AF978" s="340" t="n"/>
      <c r="AG978" s="340" t="n"/>
      <c r="AH978" s="340" t="n"/>
      <c r="AI978" s="340" t="n"/>
      <c r="AJ978" s="340" t="n"/>
      <c r="AK978" s="340" t="n"/>
      <c r="AL978" s="340" t="n"/>
    </row>
    <row r="979" ht="12.75" customHeight="1">
      <c r="K979" s="340" t="n"/>
      <c r="L979" s="340" t="n"/>
      <c r="M979" s="340" t="n"/>
      <c r="N979" s="340" t="n"/>
      <c r="O979" s="340" t="n"/>
      <c r="P979" s="340" t="n"/>
      <c r="Q979" s="340" t="n"/>
      <c r="R979" s="340" t="n"/>
      <c r="S979" s="340" t="n"/>
      <c r="T979" s="340" t="n"/>
      <c r="U979" s="340" t="n"/>
      <c r="V979" s="340" t="n"/>
      <c r="W979" s="340" t="n"/>
      <c r="X979" s="340" t="n"/>
      <c r="Y979" s="340" t="n"/>
      <c r="Z979" s="340" t="n"/>
      <c r="AA979" s="340" t="n"/>
      <c r="AB979" s="340" t="n"/>
      <c r="AC979" s="340" t="n"/>
      <c r="AD979" s="340" t="n"/>
      <c r="AE979" s="340" t="n"/>
      <c r="AF979" s="340" t="n"/>
      <c r="AG979" s="340" t="n"/>
      <c r="AH979" s="340" t="n"/>
      <c r="AI979" s="340" t="n"/>
      <c r="AJ979" s="340" t="n"/>
      <c r="AK979" s="340" t="n"/>
      <c r="AL979" s="340" t="n"/>
    </row>
    <row r="980" ht="12.75" customHeight="1">
      <c r="K980" s="340" t="n"/>
      <c r="L980" s="340" t="n"/>
      <c r="M980" s="340" t="n"/>
      <c r="N980" s="340" t="n"/>
      <c r="O980" s="340" t="n"/>
      <c r="P980" s="340" t="n"/>
      <c r="Q980" s="340" t="n"/>
      <c r="R980" s="340" t="n"/>
      <c r="S980" s="340" t="n"/>
      <c r="T980" s="340" t="n"/>
      <c r="U980" s="340" t="n"/>
      <c r="V980" s="340" t="n"/>
      <c r="W980" s="340" t="n"/>
      <c r="X980" s="340" t="n"/>
      <c r="Y980" s="340" t="n"/>
      <c r="Z980" s="340" t="n"/>
      <c r="AA980" s="340" t="n"/>
      <c r="AB980" s="340" t="n"/>
      <c r="AC980" s="340" t="n"/>
      <c r="AD980" s="340" t="n"/>
      <c r="AE980" s="340" t="n"/>
      <c r="AF980" s="340" t="n"/>
      <c r="AG980" s="340" t="n"/>
      <c r="AH980" s="340" t="n"/>
      <c r="AI980" s="340" t="n"/>
      <c r="AJ980" s="340" t="n"/>
      <c r="AK980" s="340" t="n"/>
      <c r="AL980" s="340" t="n"/>
    </row>
    <row r="981" ht="12.75" customHeight="1">
      <c r="K981" s="340" t="n"/>
      <c r="L981" s="340" t="n"/>
      <c r="M981" s="340" t="n"/>
      <c r="N981" s="340" t="n"/>
      <c r="O981" s="340" t="n"/>
      <c r="P981" s="340" t="n"/>
      <c r="Q981" s="340" t="n"/>
      <c r="R981" s="340" t="n"/>
      <c r="S981" s="340" t="n"/>
      <c r="T981" s="340" t="n"/>
      <c r="U981" s="340" t="n"/>
      <c r="V981" s="340" t="n"/>
      <c r="W981" s="340" t="n"/>
      <c r="X981" s="340" t="n"/>
      <c r="Y981" s="340" t="n"/>
      <c r="Z981" s="340" t="n"/>
      <c r="AA981" s="340" t="n"/>
      <c r="AB981" s="340" t="n"/>
      <c r="AC981" s="340" t="n"/>
      <c r="AD981" s="340" t="n"/>
      <c r="AE981" s="340" t="n"/>
      <c r="AF981" s="340" t="n"/>
      <c r="AG981" s="340" t="n"/>
      <c r="AH981" s="340" t="n"/>
      <c r="AI981" s="340" t="n"/>
      <c r="AJ981" s="340" t="n"/>
      <c r="AK981" s="340" t="n"/>
      <c r="AL981" s="340" t="n"/>
    </row>
    <row r="982" ht="12.75" customHeight="1">
      <c r="K982" s="340" t="n"/>
      <c r="L982" s="340" t="n"/>
      <c r="M982" s="340" t="n"/>
      <c r="N982" s="340" t="n"/>
      <c r="O982" s="340" t="n"/>
      <c r="P982" s="340" t="n"/>
      <c r="Q982" s="340" t="n"/>
      <c r="R982" s="340" t="n"/>
      <c r="S982" s="340" t="n"/>
      <c r="T982" s="340" t="n"/>
      <c r="U982" s="340" t="n"/>
      <c r="V982" s="340" t="n"/>
      <c r="W982" s="340" t="n"/>
      <c r="X982" s="340" t="n"/>
      <c r="Y982" s="340" t="n"/>
      <c r="Z982" s="340" t="n"/>
      <c r="AA982" s="340" t="n"/>
      <c r="AB982" s="340" t="n"/>
      <c r="AC982" s="340" t="n"/>
      <c r="AD982" s="340" t="n"/>
      <c r="AE982" s="340" t="n"/>
      <c r="AF982" s="340" t="n"/>
      <c r="AG982" s="340" t="n"/>
      <c r="AH982" s="340" t="n"/>
      <c r="AI982" s="340" t="n"/>
      <c r="AJ982" s="340" t="n"/>
      <c r="AK982" s="340" t="n"/>
      <c r="AL982" s="340" t="n"/>
    </row>
    <row r="983" ht="12.75" customHeight="1">
      <c r="K983" s="340" t="n"/>
      <c r="L983" s="340" t="n"/>
      <c r="M983" s="340" t="n"/>
      <c r="N983" s="340" t="n"/>
      <c r="O983" s="340" t="n"/>
      <c r="P983" s="340" t="n"/>
      <c r="Q983" s="340" t="n"/>
      <c r="R983" s="340" t="n"/>
      <c r="S983" s="340" t="n"/>
      <c r="T983" s="340" t="n"/>
      <c r="U983" s="340" t="n"/>
      <c r="V983" s="340" t="n"/>
      <c r="W983" s="340" t="n"/>
      <c r="X983" s="340" t="n"/>
      <c r="Y983" s="340" t="n"/>
      <c r="Z983" s="340" t="n"/>
      <c r="AA983" s="340" t="n"/>
      <c r="AB983" s="340" t="n"/>
      <c r="AC983" s="340" t="n"/>
      <c r="AD983" s="340" t="n"/>
      <c r="AE983" s="340" t="n"/>
      <c r="AF983" s="340" t="n"/>
      <c r="AG983" s="340" t="n"/>
      <c r="AH983" s="340" t="n"/>
      <c r="AI983" s="340" t="n"/>
      <c r="AJ983" s="340" t="n"/>
      <c r="AK983" s="340" t="n"/>
      <c r="AL983" s="340" t="n"/>
    </row>
    <row r="984" ht="12.75" customHeight="1">
      <c r="K984" s="340" t="n"/>
      <c r="L984" s="340" t="n"/>
      <c r="M984" s="340" t="n"/>
      <c r="N984" s="340" t="n"/>
      <c r="O984" s="340" t="n"/>
      <c r="P984" s="340" t="n"/>
      <c r="Q984" s="340" t="n"/>
      <c r="R984" s="340" t="n"/>
      <c r="S984" s="340" t="n"/>
      <c r="T984" s="340" t="n"/>
      <c r="U984" s="340" t="n"/>
      <c r="V984" s="340" t="n"/>
      <c r="W984" s="340" t="n"/>
      <c r="X984" s="340" t="n"/>
      <c r="Y984" s="340" t="n"/>
      <c r="Z984" s="340" t="n"/>
      <c r="AA984" s="340" t="n"/>
      <c r="AB984" s="340" t="n"/>
      <c r="AC984" s="340" t="n"/>
      <c r="AD984" s="340" t="n"/>
      <c r="AE984" s="340" t="n"/>
      <c r="AF984" s="340" t="n"/>
      <c r="AG984" s="340" t="n"/>
      <c r="AH984" s="340" t="n"/>
      <c r="AI984" s="340" t="n"/>
      <c r="AJ984" s="340" t="n"/>
      <c r="AK984" s="340" t="n"/>
      <c r="AL984" s="340" t="n"/>
    </row>
    <row r="985" ht="12.75" customHeight="1">
      <c r="K985" s="340" t="n"/>
      <c r="L985" s="340" t="n"/>
      <c r="M985" s="340" t="n"/>
      <c r="N985" s="340" t="n"/>
      <c r="O985" s="340" t="n"/>
      <c r="P985" s="340" t="n"/>
      <c r="Q985" s="340" t="n"/>
      <c r="R985" s="340" t="n"/>
      <c r="S985" s="340" t="n"/>
      <c r="T985" s="340" t="n"/>
      <c r="U985" s="340" t="n"/>
      <c r="V985" s="340" t="n"/>
      <c r="W985" s="340" t="n"/>
      <c r="X985" s="340" t="n"/>
      <c r="Y985" s="340" t="n"/>
      <c r="Z985" s="340" t="n"/>
      <c r="AA985" s="340" t="n"/>
      <c r="AB985" s="340" t="n"/>
      <c r="AC985" s="340" t="n"/>
      <c r="AD985" s="340" t="n"/>
      <c r="AE985" s="340" t="n"/>
      <c r="AF985" s="340" t="n"/>
      <c r="AG985" s="340" t="n"/>
      <c r="AH985" s="340" t="n"/>
      <c r="AI985" s="340" t="n"/>
      <c r="AJ985" s="340" t="n"/>
      <c r="AK985" s="340" t="n"/>
      <c r="AL985" s="340" t="n"/>
    </row>
    <row r="986" ht="12.75" customHeight="1">
      <c r="K986" s="340" t="n"/>
      <c r="L986" s="340" t="n"/>
      <c r="M986" s="340" t="n"/>
      <c r="N986" s="340" t="n"/>
      <c r="O986" s="340" t="n"/>
      <c r="P986" s="340" t="n"/>
      <c r="Q986" s="340" t="n"/>
      <c r="R986" s="340" t="n"/>
      <c r="S986" s="340" t="n"/>
      <c r="T986" s="340" t="n"/>
      <c r="U986" s="340" t="n"/>
      <c r="V986" s="340" t="n"/>
      <c r="W986" s="340" t="n"/>
      <c r="X986" s="340" t="n"/>
      <c r="Y986" s="340" t="n"/>
      <c r="Z986" s="340" t="n"/>
      <c r="AA986" s="340" t="n"/>
      <c r="AB986" s="340" t="n"/>
      <c r="AC986" s="340" t="n"/>
      <c r="AD986" s="340" t="n"/>
      <c r="AE986" s="340" t="n"/>
      <c r="AF986" s="340" t="n"/>
      <c r="AG986" s="340" t="n"/>
      <c r="AH986" s="340" t="n"/>
      <c r="AI986" s="340" t="n"/>
      <c r="AJ986" s="340" t="n"/>
      <c r="AK986" s="340" t="n"/>
      <c r="AL986" s="340" t="n"/>
    </row>
    <row r="987" ht="12.75" customHeight="1">
      <c r="K987" s="340" t="n"/>
      <c r="L987" s="340" t="n"/>
      <c r="M987" s="340" t="n"/>
      <c r="N987" s="340" t="n"/>
      <c r="O987" s="340" t="n"/>
      <c r="P987" s="340" t="n"/>
      <c r="Q987" s="340" t="n"/>
      <c r="R987" s="340" t="n"/>
      <c r="S987" s="340" t="n"/>
      <c r="T987" s="340" t="n"/>
      <c r="U987" s="340" t="n"/>
      <c r="V987" s="340" t="n"/>
      <c r="W987" s="340" t="n"/>
      <c r="X987" s="340" t="n"/>
      <c r="Y987" s="340" t="n"/>
      <c r="Z987" s="340" t="n"/>
      <c r="AA987" s="340" t="n"/>
      <c r="AB987" s="340" t="n"/>
      <c r="AC987" s="340" t="n"/>
      <c r="AD987" s="340" t="n"/>
      <c r="AE987" s="340" t="n"/>
      <c r="AF987" s="340" t="n"/>
      <c r="AG987" s="340" t="n"/>
      <c r="AH987" s="340" t="n"/>
      <c r="AI987" s="340" t="n"/>
      <c r="AJ987" s="340" t="n"/>
      <c r="AK987" s="340" t="n"/>
      <c r="AL987" s="340" t="n"/>
    </row>
    <row r="988" ht="12.75" customHeight="1">
      <c r="K988" s="340" t="n"/>
      <c r="L988" s="340" t="n"/>
      <c r="M988" s="340" t="n"/>
      <c r="N988" s="340" t="n"/>
      <c r="O988" s="340" t="n"/>
      <c r="P988" s="340" t="n"/>
      <c r="Q988" s="340" t="n"/>
      <c r="R988" s="340" t="n"/>
      <c r="S988" s="340" t="n"/>
      <c r="T988" s="340" t="n"/>
      <c r="U988" s="340" t="n"/>
      <c r="V988" s="340" t="n"/>
      <c r="W988" s="340" t="n"/>
      <c r="X988" s="340" t="n"/>
      <c r="Y988" s="340" t="n"/>
      <c r="Z988" s="340" t="n"/>
      <c r="AA988" s="340" t="n"/>
      <c r="AB988" s="340" t="n"/>
      <c r="AC988" s="340" t="n"/>
      <c r="AD988" s="340" t="n"/>
      <c r="AE988" s="340" t="n"/>
      <c r="AF988" s="340" t="n"/>
      <c r="AG988" s="340" t="n"/>
      <c r="AH988" s="340" t="n"/>
      <c r="AI988" s="340" t="n"/>
      <c r="AJ988" s="340" t="n"/>
      <c r="AK988" s="340" t="n"/>
      <c r="AL988" s="340" t="n"/>
    </row>
    <row r="989" ht="12.75" customHeight="1">
      <c r="K989" s="340" t="n"/>
      <c r="L989" s="340" t="n"/>
      <c r="M989" s="340" t="n"/>
      <c r="N989" s="340" t="n"/>
      <c r="O989" s="340" t="n"/>
      <c r="P989" s="340" t="n"/>
      <c r="Q989" s="340" t="n"/>
      <c r="R989" s="340" t="n"/>
      <c r="S989" s="340" t="n"/>
      <c r="T989" s="340" t="n"/>
      <c r="U989" s="340" t="n"/>
      <c r="V989" s="340" t="n"/>
      <c r="W989" s="340" t="n"/>
      <c r="X989" s="340" t="n"/>
      <c r="Y989" s="340" t="n"/>
      <c r="Z989" s="340" t="n"/>
      <c r="AA989" s="340" t="n"/>
      <c r="AB989" s="340" t="n"/>
      <c r="AC989" s="340" t="n"/>
      <c r="AD989" s="340" t="n"/>
      <c r="AE989" s="340" t="n"/>
      <c r="AF989" s="340" t="n"/>
      <c r="AG989" s="340" t="n"/>
      <c r="AH989" s="340" t="n"/>
      <c r="AI989" s="340" t="n"/>
      <c r="AJ989" s="340" t="n"/>
      <c r="AK989" s="340" t="n"/>
      <c r="AL989" s="340" t="n"/>
    </row>
    <row r="990" ht="12.75" customHeight="1">
      <c r="K990" s="340" t="n"/>
      <c r="L990" s="340" t="n"/>
      <c r="M990" s="340" t="n"/>
      <c r="N990" s="340" t="n"/>
      <c r="O990" s="340" t="n"/>
      <c r="P990" s="340" t="n"/>
      <c r="Q990" s="340" t="n"/>
      <c r="R990" s="340" t="n"/>
      <c r="S990" s="340" t="n"/>
      <c r="T990" s="340" t="n"/>
      <c r="U990" s="340" t="n"/>
      <c r="V990" s="340" t="n"/>
      <c r="W990" s="340" t="n"/>
      <c r="X990" s="340" t="n"/>
      <c r="Y990" s="340" t="n"/>
      <c r="Z990" s="340" t="n"/>
      <c r="AA990" s="340" t="n"/>
      <c r="AB990" s="340" t="n"/>
      <c r="AC990" s="340" t="n"/>
      <c r="AD990" s="340" t="n"/>
      <c r="AE990" s="340" t="n"/>
      <c r="AF990" s="340" t="n"/>
      <c r="AG990" s="340" t="n"/>
      <c r="AH990" s="340" t="n"/>
      <c r="AI990" s="340" t="n"/>
      <c r="AJ990" s="340" t="n"/>
      <c r="AK990" s="340" t="n"/>
      <c r="AL990" s="340" t="n"/>
    </row>
    <row r="991" ht="12.75" customHeight="1">
      <c r="K991" s="340" t="n"/>
      <c r="L991" s="340" t="n"/>
      <c r="M991" s="340" t="n"/>
      <c r="N991" s="340" t="n"/>
      <c r="O991" s="340" t="n"/>
      <c r="P991" s="340" t="n"/>
      <c r="Q991" s="340" t="n"/>
      <c r="R991" s="340" t="n"/>
      <c r="S991" s="340" t="n"/>
      <c r="T991" s="340" t="n"/>
      <c r="U991" s="340" t="n"/>
      <c r="V991" s="340" t="n"/>
      <c r="W991" s="340" t="n"/>
      <c r="X991" s="340" t="n"/>
      <c r="Y991" s="340" t="n"/>
      <c r="Z991" s="340" t="n"/>
      <c r="AA991" s="340" t="n"/>
      <c r="AB991" s="340" t="n"/>
      <c r="AC991" s="340" t="n"/>
      <c r="AD991" s="340" t="n"/>
      <c r="AE991" s="340" t="n"/>
      <c r="AF991" s="340" t="n"/>
      <c r="AG991" s="340" t="n"/>
      <c r="AH991" s="340" t="n"/>
      <c r="AI991" s="340" t="n"/>
      <c r="AJ991" s="340" t="n"/>
      <c r="AK991" s="340" t="n"/>
      <c r="AL991" s="340" t="n"/>
    </row>
    <row r="992" ht="12.75" customHeight="1">
      <c r="K992" s="340" t="n"/>
      <c r="L992" s="340" t="n"/>
      <c r="M992" s="340" t="n"/>
      <c r="N992" s="340" t="n"/>
      <c r="O992" s="340" t="n"/>
      <c r="P992" s="340" t="n"/>
      <c r="Q992" s="340" t="n"/>
      <c r="R992" s="340" t="n"/>
      <c r="S992" s="340" t="n"/>
      <c r="T992" s="340" t="n"/>
      <c r="U992" s="340" t="n"/>
      <c r="V992" s="340" t="n"/>
      <c r="W992" s="340" t="n"/>
      <c r="X992" s="340" t="n"/>
      <c r="Y992" s="340" t="n"/>
      <c r="Z992" s="340" t="n"/>
      <c r="AA992" s="340" t="n"/>
      <c r="AB992" s="340" t="n"/>
      <c r="AC992" s="340" t="n"/>
      <c r="AD992" s="340" t="n"/>
      <c r="AE992" s="340" t="n"/>
      <c r="AF992" s="340" t="n"/>
      <c r="AG992" s="340" t="n"/>
      <c r="AH992" s="340" t="n"/>
      <c r="AI992" s="340" t="n"/>
      <c r="AJ992" s="340" t="n"/>
      <c r="AK992" s="340" t="n"/>
      <c r="AL992" s="340" t="n"/>
    </row>
    <row r="993" ht="12.75" customHeight="1">
      <c r="K993" s="340" t="n"/>
      <c r="L993" s="340" t="n"/>
      <c r="M993" s="340" t="n"/>
      <c r="N993" s="340" t="n"/>
      <c r="O993" s="340" t="n"/>
      <c r="P993" s="340" t="n"/>
      <c r="Q993" s="340" t="n"/>
      <c r="R993" s="340" t="n"/>
      <c r="S993" s="340" t="n"/>
      <c r="T993" s="340" t="n"/>
      <c r="U993" s="340" t="n"/>
      <c r="V993" s="340" t="n"/>
      <c r="W993" s="340" t="n"/>
      <c r="X993" s="340" t="n"/>
      <c r="Y993" s="340" t="n"/>
      <c r="Z993" s="340" t="n"/>
      <c r="AA993" s="340" t="n"/>
      <c r="AB993" s="340" t="n"/>
      <c r="AC993" s="340" t="n"/>
      <c r="AD993" s="340" t="n"/>
      <c r="AE993" s="340" t="n"/>
      <c r="AF993" s="340" t="n"/>
      <c r="AG993" s="340" t="n"/>
      <c r="AH993" s="340" t="n"/>
      <c r="AI993" s="340" t="n"/>
      <c r="AJ993" s="340" t="n"/>
      <c r="AK993" s="340" t="n"/>
      <c r="AL993" s="340" t="n"/>
    </row>
    <row r="994" ht="12.75" customHeight="1">
      <c r="K994" s="340" t="n"/>
      <c r="L994" s="340" t="n"/>
      <c r="M994" s="340" t="n"/>
      <c r="N994" s="340" t="n"/>
      <c r="O994" s="340" t="n"/>
      <c r="P994" s="340" t="n"/>
      <c r="Q994" s="340" t="n"/>
      <c r="R994" s="340" t="n"/>
      <c r="S994" s="340" t="n"/>
      <c r="T994" s="340" t="n"/>
      <c r="U994" s="340" t="n"/>
      <c r="V994" s="340" t="n"/>
      <c r="W994" s="340" t="n"/>
      <c r="X994" s="340" t="n"/>
      <c r="Y994" s="340" t="n"/>
      <c r="Z994" s="340" t="n"/>
      <c r="AA994" s="340" t="n"/>
      <c r="AB994" s="340" t="n"/>
      <c r="AC994" s="340" t="n"/>
      <c r="AD994" s="340" t="n"/>
      <c r="AE994" s="340" t="n"/>
      <c r="AF994" s="340" t="n"/>
      <c r="AG994" s="340" t="n"/>
      <c r="AH994" s="340" t="n"/>
      <c r="AI994" s="340" t="n"/>
      <c r="AJ994" s="340" t="n"/>
      <c r="AK994" s="340" t="n"/>
      <c r="AL994" s="340" t="n"/>
    </row>
    <row r="995" ht="12.75" customHeight="1">
      <c r="K995" s="340" t="n"/>
      <c r="L995" s="340" t="n"/>
      <c r="M995" s="340" t="n"/>
      <c r="N995" s="340" t="n"/>
      <c r="O995" s="340" t="n"/>
      <c r="P995" s="340" t="n"/>
      <c r="Q995" s="340" t="n"/>
      <c r="R995" s="340" t="n"/>
      <c r="S995" s="340" t="n"/>
      <c r="T995" s="340" t="n"/>
      <c r="U995" s="340" t="n"/>
      <c r="V995" s="340" t="n"/>
      <c r="W995" s="340" t="n"/>
      <c r="X995" s="340" t="n"/>
      <c r="Y995" s="340" t="n"/>
      <c r="Z995" s="340" t="n"/>
      <c r="AA995" s="340" t="n"/>
      <c r="AB995" s="340" t="n"/>
      <c r="AC995" s="340" t="n"/>
      <c r="AD995" s="340" t="n"/>
      <c r="AE995" s="340" t="n"/>
      <c r="AF995" s="340" t="n"/>
      <c r="AG995" s="340" t="n"/>
      <c r="AH995" s="340" t="n"/>
      <c r="AI995" s="340" t="n"/>
      <c r="AJ995" s="340" t="n"/>
      <c r="AK995" s="340" t="n"/>
      <c r="AL995" s="340" t="n"/>
    </row>
    <row r="996" ht="12.75" customHeight="1">
      <c r="K996" s="340" t="n"/>
      <c r="L996" s="340" t="n"/>
      <c r="M996" s="340" t="n"/>
      <c r="N996" s="340" t="n"/>
      <c r="O996" s="340" t="n"/>
      <c r="P996" s="340" t="n"/>
      <c r="Q996" s="340" t="n"/>
      <c r="R996" s="340" t="n"/>
      <c r="S996" s="340" t="n"/>
      <c r="T996" s="340" t="n"/>
      <c r="U996" s="340" t="n"/>
      <c r="V996" s="340" t="n"/>
      <c r="W996" s="340" t="n"/>
      <c r="X996" s="340" t="n"/>
      <c r="Y996" s="340" t="n"/>
      <c r="Z996" s="340" t="n"/>
      <c r="AA996" s="340" t="n"/>
      <c r="AB996" s="340" t="n"/>
      <c r="AC996" s="340" t="n"/>
      <c r="AD996" s="340" t="n"/>
      <c r="AE996" s="340" t="n"/>
      <c r="AF996" s="340" t="n"/>
      <c r="AG996" s="340" t="n"/>
      <c r="AH996" s="340" t="n"/>
      <c r="AI996" s="340" t="n"/>
      <c r="AJ996" s="340" t="n"/>
      <c r="AK996" s="340" t="n"/>
      <c r="AL996" s="340" t="n"/>
    </row>
    <row r="997" ht="12.75" customHeight="1">
      <c r="K997" s="340" t="n"/>
      <c r="L997" s="340" t="n"/>
      <c r="M997" s="340" t="n"/>
      <c r="N997" s="340" t="n"/>
      <c r="O997" s="340" t="n"/>
      <c r="P997" s="340" t="n"/>
      <c r="Q997" s="340" t="n"/>
      <c r="R997" s="340" t="n"/>
      <c r="S997" s="340" t="n"/>
      <c r="T997" s="340" t="n"/>
      <c r="U997" s="340" t="n"/>
      <c r="V997" s="340" t="n"/>
      <c r="W997" s="340" t="n"/>
      <c r="X997" s="340" t="n"/>
      <c r="Y997" s="340" t="n"/>
      <c r="Z997" s="340" t="n"/>
      <c r="AA997" s="340" t="n"/>
      <c r="AB997" s="340" t="n"/>
      <c r="AC997" s="340" t="n"/>
      <c r="AD997" s="340" t="n"/>
      <c r="AE997" s="340" t="n"/>
      <c r="AF997" s="340" t="n"/>
      <c r="AG997" s="340" t="n"/>
      <c r="AH997" s="340" t="n"/>
      <c r="AI997" s="340" t="n"/>
      <c r="AJ997" s="340" t="n"/>
      <c r="AK997" s="340" t="n"/>
      <c r="AL997" s="340" t="n"/>
    </row>
    <row r="998" ht="12.75" customHeight="1">
      <c r="K998" s="340" t="n"/>
      <c r="L998" s="340" t="n"/>
      <c r="M998" s="340" t="n"/>
      <c r="N998" s="340" t="n"/>
      <c r="O998" s="340" t="n"/>
      <c r="P998" s="340" t="n"/>
      <c r="Q998" s="340" t="n"/>
      <c r="R998" s="340" t="n"/>
      <c r="S998" s="340" t="n"/>
      <c r="T998" s="340" t="n"/>
      <c r="U998" s="340" t="n"/>
      <c r="V998" s="340" t="n"/>
      <c r="W998" s="340" t="n"/>
      <c r="X998" s="340" t="n"/>
      <c r="Y998" s="340" t="n"/>
      <c r="Z998" s="340" t="n"/>
      <c r="AA998" s="340" t="n"/>
      <c r="AB998" s="340" t="n"/>
      <c r="AC998" s="340" t="n"/>
      <c r="AD998" s="340" t="n"/>
      <c r="AE998" s="340" t="n"/>
      <c r="AF998" s="340" t="n"/>
      <c r="AG998" s="340" t="n"/>
      <c r="AH998" s="340" t="n"/>
      <c r="AI998" s="340" t="n"/>
      <c r="AJ998" s="340" t="n"/>
      <c r="AK998" s="340" t="n"/>
      <c r="AL998" s="340" t="n"/>
    </row>
    <row r="999" ht="12.75" customHeight="1">
      <c r="K999" s="340" t="n"/>
      <c r="L999" s="340" t="n"/>
      <c r="M999" s="340" t="n"/>
      <c r="N999" s="340" t="n"/>
      <c r="O999" s="340" t="n"/>
      <c r="P999" s="340" t="n"/>
      <c r="Q999" s="340" t="n"/>
      <c r="R999" s="340" t="n"/>
      <c r="S999" s="340" t="n"/>
      <c r="T999" s="340" t="n"/>
      <c r="U999" s="340" t="n"/>
      <c r="V999" s="340" t="n"/>
      <c r="W999" s="340" t="n"/>
      <c r="X999" s="340" t="n"/>
      <c r="Y999" s="340" t="n"/>
      <c r="Z999" s="340" t="n"/>
      <c r="AA999" s="340" t="n"/>
      <c r="AB999" s="340" t="n"/>
      <c r="AC999" s="340" t="n"/>
      <c r="AD999" s="340" t="n"/>
      <c r="AE999" s="340" t="n"/>
      <c r="AF999" s="340" t="n"/>
      <c r="AG999" s="340" t="n"/>
      <c r="AH999" s="340" t="n"/>
      <c r="AI999" s="340" t="n"/>
      <c r="AJ999" s="340" t="n"/>
      <c r="AK999" s="340" t="n"/>
      <c r="AL999" s="340" t="n"/>
    </row>
    <row r="1000" ht="12.75" customHeight="1">
      <c r="K1000" s="340" t="n"/>
      <c r="L1000" s="340" t="n"/>
      <c r="M1000" s="340" t="n"/>
      <c r="N1000" s="340" t="n"/>
      <c r="O1000" s="340" t="n"/>
      <c r="P1000" s="340" t="n"/>
      <c r="Q1000" s="340" t="n"/>
      <c r="R1000" s="340" t="n"/>
      <c r="S1000" s="340" t="n"/>
      <c r="T1000" s="340" t="n"/>
      <c r="U1000" s="340" t="n"/>
      <c r="V1000" s="340" t="n"/>
      <c r="W1000" s="340" t="n"/>
      <c r="X1000" s="340" t="n"/>
      <c r="Y1000" s="340" t="n"/>
      <c r="Z1000" s="340" t="n"/>
      <c r="AA1000" s="340" t="n"/>
      <c r="AB1000" s="340" t="n"/>
      <c r="AC1000" s="340" t="n"/>
      <c r="AD1000" s="340" t="n"/>
      <c r="AE1000" s="340" t="n"/>
      <c r="AF1000" s="340" t="n"/>
      <c r="AG1000" s="340" t="n"/>
      <c r="AH1000" s="340" t="n"/>
      <c r="AI1000" s="340" t="n"/>
      <c r="AJ1000" s="340" t="n"/>
      <c r="AK1000" s="340" t="n"/>
      <c r="AL1000" s="340" t="n"/>
    </row>
    <row r="1001" ht="12.75" customHeight="1">
      <c r="K1001" s="340" t="n"/>
      <c r="L1001" s="340" t="n"/>
      <c r="M1001" s="340" t="n"/>
      <c r="N1001" s="340" t="n"/>
      <c r="O1001" s="340" t="n"/>
      <c r="P1001" s="340" t="n"/>
      <c r="Q1001" s="340" t="n"/>
      <c r="R1001" s="340" t="n"/>
      <c r="S1001" s="340" t="n"/>
      <c r="T1001" s="340" t="n"/>
      <c r="U1001" s="340" t="n"/>
      <c r="V1001" s="340" t="n"/>
      <c r="W1001" s="340" t="n"/>
      <c r="X1001" s="340" t="n"/>
      <c r="Y1001" s="340" t="n"/>
      <c r="Z1001" s="340" t="n"/>
      <c r="AA1001" s="340" t="n"/>
      <c r="AB1001" s="340" t="n"/>
      <c r="AC1001" s="340" t="n"/>
      <c r="AD1001" s="340" t="n"/>
      <c r="AE1001" s="340" t="n"/>
      <c r="AF1001" s="340" t="n"/>
      <c r="AG1001" s="340" t="n"/>
      <c r="AH1001" s="340" t="n"/>
      <c r="AI1001" s="340" t="n"/>
      <c r="AJ1001" s="340" t="n"/>
      <c r="AK1001" s="340" t="n"/>
      <c r="AL1001" s="340" t="n"/>
    </row>
    <row r="1002" ht="12.75" customHeight="1">
      <c r="K1002" s="340" t="n"/>
      <c r="L1002" s="340" t="n"/>
      <c r="M1002" s="340" t="n"/>
      <c r="N1002" s="340" t="n"/>
      <c r="O1002" s="340" t="n"/>
      <c r="P1002" s="340" t="n"/>
      <c r="Q1002" s="340" t="n"/>
      <c r="R1002" s="340" t="n"/>
      <c r="S1002" s="340" t="n"/>
      <c r="T1002" s="340" t="n"/>
      <c r="U1002" s="340" t="n"/>
      <c r="V1002" s="340" t="n"/>
      <c r="W1002" s="340" t="n"/>
      <c r="X1002" s="340" t="n"/>
      <c r="Y1002" s="340" t="n"/>
      <c r="Z1002" s="340" t="n"/>
      <c r="AA1002" s="340" t="n"/>
      <c r="AB1002" s="340" t="n"/>
      <c r="AC1002" s="340" t="n"/>
      <c r="AD1002" s="340" t="n"/>
      <c r="AE1002" s="340" t="n"/>
      <c r="AF1002" s="340" t="n"/>
      <c r="AG1002" s="340" t="n"/>
      <c r="AH1002" s="340" t="n"/>
      <c r="AI1002" s="340" t="n"/>
      <c r="AJ1002" s="340" t="n"/>
      <c r="AK1002" s="340" t="n"/>
      <c r="AL1002" s="340" t="n"/>
    </row>
    <row r="1003" ht="12.75" customHeight="1">
      <c r="K1003" s="340" t="n"/>
      <c r="L1003" s="340" t="n"/>
      <c r="M1003" s="340" t="n"/>
      <c r="N1003" s="340" t="n"/>
      <c r="O1003" s="340" t="n"/>
      <c r="P1003" s="340" t="n"/>
      <c r="Q1003" s="340" t="n"/>
      <c r="R1003" s="340" t="n"/>
      <c r="S1003" s="340" t="n"/>
      <c r="T1003" s="340" t="n"/>
      <c r="U1003" s="340" t="n"/>
      <c r="V1003" s="340" t="n"/>
      <c r="W1003" s="340" t="n"/>
      <c r="X1003" s="340" t="n"/>
      <c r="Y1003" s="340" t="n"/>
      <c r="Z1003" s="340" t="n"/>
      <c r="AA1003" s="340" t="n"/>
      <c r="AB1003" s="340" t="n"/>
      <c r="AC1003" s="340" t="n"/>
      <c r="AD1003" s="340" t="n"/>
      <c r="AE1003" s="340" t="n"/>
      <c r="AF1003" s="340" t="n"/>
      <c r="AG1003" s="340" t="n"/>
      <c r="AH1003" s="340" t="n"/>
      <c r="AI1003" s="340" t="n"/>
      <c r="AJ1003" s="340" t="n"/>
      <c r="AK1003" s="340" t="n"/>
      <c r="AL1003" s="340" t="n"/>
    </row>
    <row r="1004" ht="12.75" customHeight="1">
      <c r="K1004" s="340" t="n"/>
      <c r="L1004" s="340" t="n"/>
      <c r="M1004" s="340" t="n"/>
      <c r="N1004" s="340" t="n"/>
      <c r="O1004" s="340" t="n"/>
      <c r="P1004" s="340" t="n"/>
      <c r="Q1004" s="340" t="n"/>
      <c r="R1004" s="340" t="n"/>
      <c r="S1004" s="340" t="n"/>
      <c r="T1004" s="340" t="n"/>
      <c r="U1004" s="340" t="n"/>
      <c r="V1004" s="340" t="n"/>
      <c r="W1004" s="340" t="n"/>
      <c r="X1004" s="340" t="n"/>
      <c r="Y1004" s="340" t="n"/>
      <c r="Z1004" s="340" t="n"/>
      <c r="AA1004" s="340" t="n"/>
      <c r="AB1004" s="340" t="n"/>
      <c r="AC1004" s="340" t="n"/>
      <c r="AD1004" s="340" t="n"/>
      <c r="AE1004" s="340" t="n"/>
      <c r="AF1004" s="340" t="n"/>
      <c r="AG1004" s="340" t="n"/>
      <c r="AH1004" s="340" t="n"/>
      <c r="AI1004" s="340" t="n"/>
      <c r="AJ1004" s="340" t="n"/>
      <c r="AK1004" s="340" t="n"/>
      <c r="AL1004" s="340" t="n"/>
    </row>
    <row r="1005" ht="12.75" customHeight="1">
      <c r="K1005" s="340" t="n"/>
      <c r="L1005" s="340" t="n"/>
      <c r="M1005" s="340" t="n"/>
      <c r="N1005" s="340" t="n"/>
      <c r="O1005" s="340" t="n"/>
      <c r="P1005" s="340" t="n"/>
      <c r="Q1005" s="340" t="n"/>
      <c r="R1005" s="340" t="n"/>
      <c r="S1005" s="340" t="n"/>
      <c r="T1005" s="340" t="n"/>
      <c r="U1005" s="340" t="n"/>
      <c r="V1005" s="340" t="n"/>
      <c r="W1005" s="340" t="n"/>
      <c r="X1005" s="340" t="n"/>
      <c r="Y1005" s="340" t="n"/>
      <c r="Z1005" s="340" t="n"/>
      <c r="AA1005" s="340" t="n"/>
      <c r="AB1005" s="340" t="n"/>
      <c r="AC1005" s="340" t="n"/>
      <c r="AD1005" s="340" t="n"/>
      <c r="AE1005" s="340" t="n"/>
      <c r="AF1005" s="340" t="n"/>
      <c r="AG1005" s="340" t="n"/>
      <c r="AH1005" s="340" t="n"/>
      <c r="AI1005" s="340" t="n"/>
      <c r="AJ1005" s="340" t="n"/>
      <c r="AK1005" s="340" t="n"/>
      <c r="AL1005" s="340" t="n"/>
    </row>
    <row r="1006" ht="12.75" customHeight="1">
      <c r="K1006" s="340" t="n"/>
      <c r="L1006" s="340" t="n"/>
      <c r="M1006" s="340" t="n"/>
      <c r="N1006" s="340" t="n"/>
      <c r="O1006" s="340" t="n"/>
      <c r="P1006" s="340" t="n"/>
      <c r="Q1006" s="340" t="n"/>
      <c r="R1006" s="340" t="n"/>
      <c r="S1006" s="340" t="n"/>
      <c r="T1006" s="340" t="n"/>
      <c r="U1006" s="340" t="n"/>
      <c r="V1006" s="340" t="n"/>
      <c r="W1006" s="340" t="n"/>
      <c r="X1006" s="340" t="n"/>
      <c r="Y1006" s="340" t="n"/>
      <c r="Z1006" s="340" t="n"/>
      <c r="AA1006" s="340" t="n"/>
      <c r="AB1006" s="340" t="n"/>
      <c r="AC1006" s="340" t="n"/>
      <c r="AD1006" s="340" t="n"/>
      <c r="AE1006" s="340" t="n"/>
      <c r="AF1006" s="340" t="n"/>
      <c r="AG1006" s="340" t="n"/>
      <c r="AH1006" s="340" t="n"/>
      <c r="AI1006" s="340" t="n"/>
      <c r="AJ1006" s="340" t="n"/>
      <c r="AK1006" s="340" t="n"/>
      <c r="AL1006" s="340" t="n"/>
    </row>
    <row r="1007" ht="12.75" customHeight="1">
      <c r="K1007" s="340" t="n"/>
      <c r="L1007" s="340" t="n"/>
      <c r="M1007" s="340" t="n"/>
      <c r="N1007" s="340" t="n"/>
      <c r="O1007" s="340" t="n"/>
      <c r="P1007" s="340" t="n"/>
      <c r="Q1007" s="340" t="n"/>
      <c r="R1007" s="340" t="n"/>
      <c r="S1007" s="340" t="n"/>
      <c r="T1007" s="340" t="n"/>
      <c r="U1007" s="340" t="n"/>
      <c r="V1007" s="340" t="n"/>
      <c r="W1007" s="340" t="n"/>
      <c r="X1007" s="340" t="n"/>
      <c r="Y1007" s="340" t="n"/>
      <c r="Z1007" s="340" t="n"/>
      <c r="AA1007" s="340" t="n"/>
      <c r="AB1007" s="340" t="n"/>
      <c r="AC1007" s="340" t="n"/>
      <c r="AD1007" s="340" t="n"/>
      <c r="AE1007" s="340" t="n"/>
      <c r="AF1007" s="340" t="n"/>
      <c r="AG1007" s="340" t="n"/>
      <c r="AH1007" s="340" t="n"/>
      <c r="AI1007" s="340" t="n"/>
      <c r="AJ1007" s="340" t="n"/>
      <c r="AK1007" s="340" t="n"/>
      <c r="AL1007" s="340" t="n"/>
    </row>
    <row r="1008" ht="12.75" customHeight="1">
      <c r="K1008" s="340" t="n"/>
      <c r="L1008" s="340" t="n"/>
      <c r="M1008" s="340" t="n"/>
      <c r="N1008" s="340" t="n"/>
      <c r="O1008" s="340" t="n"/>
      <c r="P1008" s="340" t="n"/>
      <c r="Q1008" s="340" t="n"/>
      <c r="R1008" s="340" t="n"/>
      <c r="S1008" s="340" t="n"/>
      <c r="T1008" s="340" t="n"/>
      <c r="U1008" s="340" t="n"/>
      <c r="V1008" s="340" t="n"/>
      <c r="W1008" s="340" t="n"/>
      <c r="X1008" s="340" t="n"/>
      <c r="Y1008" s="340" t="n"/>
      <c r="Z1008" s="340" t="n"/>
      <c r="AA1008" s="340" t="n"/>
      <c r="AB1008" s="340" t="n"/>
      <c r="AC1008" s="340" t="n"/>
      <c r="AD1008" s="340" t="n"/>
      <c r="AE1008" s="340" t="n"/>
      <c r="AF1008" s="340" t="n"/>
      <c r="AG1008" s="340" t="n"/>
      <c r="AH1008" s="340" t="n"/>
      <c r="AI1008" s="340" t="n"/>
      <c r="AJ1008" s="340" t="n"/>
      <c r="AK1008" s="340" t="n"/>
      <c r="AL1008" s="340" t="n"/>
    </row>
    <row r="1009" ht="12.75" customHeight="1">
      <c r="K1009" s="340" t="n"/>
      <c r="L1009" s="340" t="n"/>
      <c r="M1009" s="340" t="n"/>
      <c r="N1009" s="340" t="n"/>
      <c r="O1009" s="340" t="n"/>
      <c r="P1009" s="340" t="n"/>
      <c r="Q1009" s="340" t="n"/>
      <c r="R1009" s="340" t="n"/>
      <c r="S1009" s="340" t="n"/>
      <c r="T1009" s="340" t="n"/>
      <c r="U1009" s="340" t="n"/>
      <c r="V1009" s="340" t="n"/>
      <c r="W1009" s="340" t="n"/>
      <c r="X1009" s="340" t="n"/>
      <c r="Y1009" s="340" t="n"/>
      <c r="Z1009" s="340" t="n"/>
      <c r="AA1009" s="340" t="n"/>
      <c r="AB1009" s="340" t="n"/>
      <c r="AC1009" s="340" t="n"/>
      <c r="AD1009" s="340" t="n"/>
      <c r="AE1009" s="340" t="n"/>
      <c r="AF1009" s="340" t="n"/>
      <c r="AG1009" s="340" t="n"/>
      <c r="AH1009" s="340" t="n"/>
      <c r="AI1009" s="340" t="n"/>
      <c r="AJ1009" s="340" t="n"/>
      <c r="AK1009" s="340" t="n"/>
      <c r="AL1009" s="340" t="n"/>
    </row>
    <row r="1010" ht="12.75" customHeight="1">
      <c r="K1010" s="340" t="n"/>
      <c r="L1010" s="340" t="n"/>
      <c r="M1010" s="340" t="n"/>
      <c r="N1010" s="340" t="n"/>
      <c r="O1010" s="340" t="n"/>
      <c r="P1010" s="340" t="n"/>
      <c r="Q1010" s="340" t="n"/>
      <c r="R1010" s="340" t="n"/>
      <c r="S1010" s="340" t="n"/>
      <c r="T1010" s="340" t="n"/>
      <c r="U1010" s="340" t="n"/>
      <c r="V1010" s="340" t="n"/>
      <c r="W1010" s="340" t="n"/>
      <c r="X1010" s="340" t="n"/>
      <c r="Y1010" s="340" t="n"/>
      <c r="Z1010" s="340" t="n"/>
      <c r="AA1010" s="340" t="n"/>
      <c r="AB1010" s="340" t="n"/>
      <c r="AC1010" s="340" t="n"/>
      <c r="AD1010" s="340" t="n"/>
      <c r="AE1010" s="340" t="n"/>
      <c r="AF1010" s="340" t="n"/>
      <c r="AG1010" s="340" t="n"/>
      <c r="AH1010" s="340" t="n"/>
      <c r="AI1010" s="340" t="n"/>
      <c r="AJ1010" s="340" t="n"/>
      <c r="AK1010" s="340" t="n"/>
      <c r="AL1010" s="340" t="n"/>
    </row>
    <row r="1011" ht="12.75" customHeight="1">
      <c r="K1011" s="340" t="n"/>
      <c r="L1011" s="340" t="n"/>
      <c r="M1011" s="340" t="n"/>
      <c r="N1011" s="340" t="n"/>
      <c r="O1011" s="340" t="n"/>
      <c r="P1011" s="340" t="n"/>
      <c r="Q1011" s="340" t="n"/>
      <c r="R1011" s="340" t="n"/>
      <c r="S1011" s="340" t="n"/>
      <c r="T1011" s="340" t="n"/>
      <c r="U1011" s="340" t="n"/>
      <c r="V1011" s="340" t="n"/>
      <c r="W1011" s="340" t="n"/>
      <c r="X1011" s="340" t="n"/>
      <c r="Y1011" s="340" t="n"/>
      <c r="Z1011" s="340" t="n"/>
      <c r="AA1011" s="340" t="n"/>
      <c r="AB1011" s="340" t="n"/>
      <c r="AC1011" s="340" t="n"/>
      <c r="AD1011" s="340" t="n"/>
      <c r="AE1011" s="340" t="n"/>
      <c r="AF1011" s="340" t="n"/>
      <c r="AG1011" s="340" t="n"/>
      <c r="AH1011" s="340" t="n"/>
      <c r="AI1011" s="340" t="n"/>
      <c r="AJ1011" s="340" t="n"/>
      <c r="AK1011" s="340" t="n"/>
      <c r="AL1011" s="340" t="n"/>
    </row>
    <row r="1012" ht="12.75" customHeight="1">
      <c r="K1012" s="340" t="n"/>
      <c r="L1012" s="340" t="n"/>
      <c r="M1012" s="340" t="n"/>
      <c r="N1012" s="340" t="n"/>
      <c r="O1012" s="340" t="n"/>
      <c r="P1012" s="340" t="n"/>
      <c r="Q1012" s="340" t="n"/>
      <c r="R1012" s="340" t="n"/>
      <c r="S1012" s="340" t="n"/>
      <c r="T1012" s="340" t="n"/>
      <c r="U1012" s="340" t="n"/>
      <c r="V1012" s="340" t="n"/>
      <c r="W1012" s="340" t="n"/>
      <c r="X1012" s="340" t="n"/>
      <c r="Y1012" s="340" t="n"/>
      <c r="Z1012" s="340" t="n"/>
      <c r="AA1012" s="340" t="n"/>
      <c r="AB1012" s="340" t="n"/>
      <c r="AC1012" s="340" t="n"/>
      <c r="AD1012" s="340" t="n"/>
      <c r="AE1012" s="340" t="n"/>
      <c r="AF1012" s="340" t="n"/>
      <c r="AG1012" s="340" t="n"/>
      <c r="AH1012" s="340" t="n"/>
      <c r="AI1012" s="340" t="n"/>
      <c r="AJ1012" s="340" t="n"/>
      <c r="AK1012" s="340" t="n"/>
      <c r="AL1012" s="340" t="n"/>
    </row>
    <row r="1013" ht="12.75" customHeight="1">
      <c r="K1013" s="340" t="n"/>
      <c r="L1013" s="340" t="n"/>
      <c r="M1013" s="340" t="n"/>
      <c r="N1013" s="340" t="n"/>
      <c r="O1013" s="340" t="n"/>
      <c r="P1013" s="340" t="n"/>
      <c r="Q1013" s="340" t="n"/>
      <c r="R1013" s="340" t="n"/>
      <c r="S1013" s="340" t="n"/>
      <c r="T1013" s="340" t="n"/>
      <c r="U1013" s="340" t="n"/>
      <c r="V1013" s="340" t="n"/>
      <c r="W1013" s="340" t="n"/>
      <c r="X1013" s="340" t="n"/>
      <c r="Y1013" s="340" t="n"/>
      <c r="Z1013" s="340" t="n"/>
      <c r="AA1013" s="340" t="n"/>
      <c r="AB1013" s="340" t="n"/>
      <c r="AC1013" s="340" t="n"/>
      <c r="AD1013" s="340" t="n"/>
      <c r="AE1013" s="340" t="n"/>
      <c r="AF1013" s="340" t="n"/>
      <c r="AG1013" s="340" t="n"/>
      <c r="AH1013" s="340" t="n"/>
      <c r="AI1013" s="340" t="n"/>
      <c r="AJ1013" s="340" t="n"/>
      <c r="AK1013" s="340" t="n"/>
      <c r="AL1013" s="340" t="n"/>
    </row>
    <row r="1014" ht="12.75" customHeight="1">
      <c r="K1014" s="340" t="n"/>
      <c r="L1014" s="340" t="n"/>
      <c r="M1014" s="340" t="n"/>
      <c r="N1014" s="340" t="n"/>
      <c r="O1014" s="340" t="n"/>
      <c r="P1014" s="340" t="n"/>
      <c r="Q1014" s="340" t="n"/>
      <c r="R1014" s="340" t="n"/>
      <c r="S1014" s="340" t="n"/>
      <c r="T1014" s="340" t="n"/>
      <c r="U1014" s="340" t="n"/>
      <c r="V1014" s="340" t="n"/>
      <c r="W1014" s="340" t="n"/>
      <c r="X1014" s="340" t="n"/>
      <c r="Y1014" s="340" t="n"/>
      <c r="Z1014" s="340" t="n"/>
      <c r="AA1014" s="340" t="n"/>
      <c r="AB1014" s="340" t="n"/>
      <c r="AC1014" s="340" t="n"/>
      <c r="AD1014" s="340" t="n"/>
      <c r="AE1014" s="340" t="n"/>
      <c r="AF1014" s="340" t="n"/>
      <c r="AG1014" s="340" t="n"/>
      <c r="AH1014" s="340" t="n"/>
      <c r="AI1014" s="340" t="n"/>
      <c r="AJ1014" s="340" t="n"/>
      <c r="AK1014" s="340" t="n"/>
      <c r="AL1014" s="340" t="n"/>
    </row>
    <row r="1015" ht="12.75" customHeight="1">
      <c r="K1015" s="340" t="n"/>
      <c r="L1015" s="340" t="n"/>
      <c r="M1015" s="340" t="n"/>
      <c r="N1015" s="340" t="n"/>
      <c r="O1015" s="340" t="n"/>
      <c r="P1015" s="340" t="n"/>
      <c r="Q1015" s="340" t="n"/>
      <c r="R1015" s="340" t="n"/>
      <c r="S1015" s="340" t="n"/>
      <c r="T1015" s="340" t="n"/>
      <c r="U1015" s="340" t="n"/>
      <c r="V1015" s="340" t="n"/>
      <c r="W1015" s="340" t="n"/>
      <c r="X1015" s="340" t="n"/>
      <c r="Y1015" s="340" t="n"/>
      <c r="Z1015" s="340" t="n"/>
      <c r="AA1015" s="340" t="n"/>
      <c r="AB1015" s="340" t="n"/>
      <c r="AC1015" s="340" t="n"/>
      <c r="AD1015" s="340" t="n"/>
      <c r="AE1015" s="340" t="n"/>
      <c r="AF1015" s="340" t="n"/>
      <c r="AG1015" s="340" t="n"/>
      <c r="AH1015" s="340" t="n"/>
      <c r="AI1015" s="340" t="n"/>
      <c r="AJ1015" s="340" t="n"/>
      <c r="AK1015" s="340" t="n"/>
      <c r="AL1015" s="340" t="n"/>
    </row>
    <row r="1016" ht="12.75" customHeight="1">
      <c r="K1016" s="340" t="n"/>
      <c r="L1016" s="340" t="n"/>
      <c r="M1016" s="340" t="n"/>
      <c r="N1016" s="340" t="n"/>
      <c r="O1016" s="340" t="n"/>
      <c r="P1016" s="340" t="n"/>
      <c r="Q1016" s="340" t="n"/>
      <c r="R1016" s="340" t="n"/>
      <c r="S1016" s="340" t="n"/>
      <c r="T1016" s="340" t="n"/>
      <c r="U1016" s="340" t="n"/>
      <c r="V1016" s="340" t="n"/>
      <c r="W1016" s="340" t="n"/>
      <c r="X1016" s="340" t="n"/>
      <c r="Y1016" s="340" t="n"/>
      <c r="Z1016" s="340" t="n"/>
      <c r="AA1016" s="340" t="n"/>
      <c r="AB1016" s="340" t="n"/>
      <c r="AC1016" s="340" t="n"/>
      <c r="AD1016" s="340" t="n"/>
      <c r="AE1016" s="340" t="n"/>
      <c r="AF1016" s="340" t="n"/>
      <c r="AG1016" s="340" t="n"/>
      <c r="AH1016" s="340" t="n"/>
      <c r="AI1016" s="340" t="n"/>
      <c r="AJ1016" s="340" t="n"/>
      <c r="AK1016" s="340" t="n"/>
      <c r="AL1016" s="340" t="n"/>
    </row>
    <row r="1017" ht="12.75" customHeight="1">
      <c r="K1017" s="340" t="n"/>
      <c r="L1017" s="340" t="n"/>
      <c r="M1017" s="340" t="n"/>
      <c r="N1017" s="340" t="n"/>
      <c r="O1017" s="340" t="n"/>
      <c r="P1017" s="340" t="n"/>
      <c r="Q1017" s="340" t="n"/>
      <c r="R1017" s="340" t="n"/>
      <c r="S1017" s="340" t="n"/>
      <c r="T1017" s="340" t="n"/>
      <c r="U1017" s="340" t="n"/>
      <c r="V1017" s="340" t="n"/>
      <c r="W1017" s="340" t="n"/>
      <c r="X1017" s="340" t="n"/>
      <c r="Y1017" s="340" t="n"/>
      <c r="Z1017" s="340" t="n"/>
      <c r="AA1017" s="340" t="n"/>
      <c r="AB1017" s="340" t="n"/>
      <c r="AC1017" s="340" t="n"/>
      <c r="AD1017" s="340" t="n"/>
      <c r="AE1017" s="340" t="n"/>
      <c r="AF1017" s="340" t="n"/>
      <c r="AG1017" s="340" t="n"/>
      <c r="AH1017" s="340" t="n"/>
      <c r="AI1017" s="340" t="n"/>
      <c r="AJ1017" s="340" t="n"/>
      <c r="AK1017" s="340" t="n"/>
      <c r="AL1017" s="340" t="n"/>
    </row>
    <row r="1018" ht="12.75" customHeight="1">
      <c r="K1018" s="340" t="n"/>
      <c r="L1018" s="340" t="n"/>
      <c r="M1018" s="340" t="n"/>
      <c r="N1018" s="340" t="n"/>
      <c r="O1018" s="340" t="n"/>
      <c r="P1018" s="340" t="n"/>
      <c r="Q1018" s="340" t="n"/>
      <c r="R1018" s="340" t="n"/>
      <c r="S1018" s="340" t="n"/>
      <c r="T1018" s="340" t="n"/>
      <c r="U1018" s="340" t="n"/>
      <c r="V1018" s="340" t="n"/>
      <c r="W1018" s="340" t="n"/>
      <c r="X1018" s="340" t="n"/>
      <c r="Y1018" s="340" t="n"/>
      <c r="Z1018" s="340" t="n"/>
      <c r="AA1018" s="340" t="n"/>
      <c r="AB1018" s="340" t="n"/>
      <c r="AC1018" s="340" t="n"/>
      <c r="AD1018" s="340" t="n"/>
      <c r="AE1018" s="340" t="n"/>
      <c r="AF1018" s="340" t="n"/>
      <c r="AG1018" s="340" t="n"/>
      <c r="AH1018" s="340" t="n"/>
      <c r="AI1018" s="340" t="n"/>
      <c r="AJ1018" s="340" t="n"/>
      <c r="AK1018" s="340" t="n"/>
      <c r="AL1018" s="340" t="n"/>
    </row>
    <row r="1019" ht="12.75" customHeight="1">
      <c r="K1019" s="340" t="n"/>
      <c r="L1019" s="340" t="n"/>
      <c r="M1019" s="340" t="n"/>
      <c r="N1019" s="340" t="n"/>
      <c r="O1019" s="340" t="n"/>
      <c r="P1019" s="340" t="n"/>
      <c r="Q1019" s="340" t="n"/>
      <c r="R1019" s="340" t="n"/>
      <c r="S1019" s="340" t="n"/>
      <c r="T1019" s="340" t="n"/>
      <c r="U1019" s="340" t="n"/>
      <c r="V1019" s="340" t="n"/>
      <c r="W1019" s="340" t="n"/>
      <c r="X1019" s="340" t="n"/>
      <c r="Y1019" s="340" t="n"/>
      <c r="Z1019" s="340" t="n"/>
      <c r="AA1019" s="340" t="n"/>
      <c r="AB1019" s="340" t="n"/>
      <c r="AC1019" s="340" t="n"/>
      <c r="AD1019" s="340" t="n"/>
      <c r="AE1019" s="340" t="n"/>
      <c r="AF1019" s="340" t="n"/>
      <c r="AG1019" s="340" t="n"/>
      <c r="AH1019" s="340" t="n"/>
      <c r="AI1019" s="340" t="n"/>
      <c r="AJ1019" s="340" t="n"/>
      <c r="AK1019" s="340" t="n"/>
      <c r="AL1019" s="340" t="n"/>
    </row>
    <row r="1020" ht="12.75" customHeight="1">
      <c r="K1020" s="340" t="n"/>
      <c r="L1020" s="340" t="n"/>
      <c r="M1020" s="340" t="n"/>
      <c r="N1020" s="340" t="n"/>
      <c r="O1020" s="340" t="n"/>
      <c r="P1020" s="340" t="n"/>
      <c r="Q1020" s="340" t="n"/>
      <c r="R1020" s="340" t="n"/>
      <c r="S1020" s="340" t="n"/>
      <c r="T1020" s="340" t="n"/>
      <c r="U1020" s="340" t="n"/>
      <c r="V1020" s="340" t="n"/>
      <c r="W1020" s="340" t="n"/>
      <c r="X1020" s="340" t="n"/>
      <c r="Y1020" s="340" t="n"/>
      <c r="Z1020" s="340" t="n"/>
      <c r="AA1020" s="340" t="n"/>
      <c r="AB1020" s="340" t="n"/>
      <c r="AC1020" s="340" t="n"/>
      <c r="AD1020" s="340" t="n"/>
      <c r="AE1020" s="340" t="n"/>
      <c r="AF1020" s="340" t="n"/>
      <c r="AG1020" s="340" t="n"/>
      <c r="AH1020" s="340" t="n"/>
      <c r="AI1020" s="340" t="n"/>
      <c r="AJ1020" s="340" t="n"/>
      <c r="AK1020" s="340" t="n"/>
      <c r="AL1020" s="340" t="n"/>
    </row>
    <row r="1021" ht="12.75" customHeight="1">
      <c r="K1021" s="340" t="n"/>
      <c r="L1021" s="340" t="n"/>
      <c r="M1021" s="340" t="n"/>
      <c r="N1021" s="340" t="n"/>
      <c r="O1021" s="340" t="n"/>
      <c r="P1021" s="340" t="n"/>
      <c r="Q1021" s="340" t="n"/>
      <c r="R1021" s="340" t="n"/>
      <c r="S1021" s="340" t="n"/>
      <c r="T1021" s="340" t="n"/>
      <c r="U1021" s="340" t="n"/>
      <c r="V1021" s="340" t="n"/>
      <c r="W1021" s="340" t="n"/>
      <c r="X1021" s="340" t="n"/>
      <c r="Y1021" s="340" t="n"/>
      <c r="Z1021" s="340" t="n"/>
      <c r="AA1021" s="340" t="n"/>
      <c r="AB1021" s="340" t="n"/>
      <c r="AC1021" s="340" t="n"/>
      <c r="AD1021" s="340" t="n"/>
      <c r="AE1021" s="340" t="n"/>
      <c r="AF1021" s="340" t="n"/>
      <c r="AG1021" s="340" t="n"/>
      <c r="AH1021" s="340" t="n"/>
      <c r="AI1021" s="340" t="n"/>
      <c r="AJ1021" s="340" t="n"/>
      <c r="AK1021" s="340" t="n"/>
      <c r="AL1021" s="340" t="n"/>
    </row>
    <row r="1022" ht="12.75" customHeight="1">
      <c r="K1022" s="340" t="n"/>
      <c r="L1022" s="340" t="n"/>
      <c r="M1022" s="340" t="n"/>
      <c r="N1022" s="340" t="n"/>
      <c r="O1022" s="340" t="n"/>
      <c r="P1022" s="340" t="n"/>
      <c r="Q1022" s="340" t="n"/>
      <c r="R1022" s="340" t="n"/>
      <c r="S1022" s="340" t="n"/>
      <c r="T1022" s="340" t="n"/>
      <c r="U1022" s="340" t="n"/>
      <c r="V1022" s="340" t="n"/>
      <c r="W1022" s="340" t="n"/>
      <c r="X1022" s="340" t="n"/>
      <c r="Y1022" s="340" t="n"/>
      <c r="Z1022" s="340" t="n"/>
      <c r="AA1022" s="340" t="n"/>
      <c r="AB1022" s="340" t="n"/>
      <c r="AC1022" s="340" t="n"/>
      <c r="AD1022" s="340" t="n"/>
      <c r="AE1022" s="340" t="n"/>
      <c r="AF1022" s="340" t="n"/>
      <c r="AG1022" s="340" t="n"/>
      <c r="AH1022" s="340" t="n"/>
      <c r="AI1022" s="340" t="n"/>
      <c r="AJ1022" s="340" t="n"/>
      <c r="AK1022" s="340" t="n"/>
      <c r="AL1022" s="340" t="n"/>
    </row>
    <row r="1023" ht="12.75" customHeight="1">
      <c r="K1023" s="340" t="n"/>
      <c r="L1023" s="340" t="n"/>
      <c r="M1023" s="340" t="n"/>
      <c r="N1023" s="340" t="n"/>
      <c r="O1023" s="340" t="n"/>
      <c r="P1023" s="340" t="n"/>
      <c r="Q1023" s="340" t="n"/>
      <c r="R1023" s="340" t="n"/>
      <c r="S1023" s="340" t="n"/>
      <c r="T1023" s="340" t="n"/>
      <c r="U1023" s="340" t="n"/>
      <c r="V1023" s="340" t="n"/>
      <c r="W1023" s="340" t="n"/>
      <c r="X1023" s="340" t="n"/>
      <c r="Y1023" s="340" t="n"/>
      <c r="Z1023" s="340" t="n"/>
      <c r="AA1023" s="340" t="n"/>
      <c r="AB1023" s="340" t="n"/>
      <c r="AC1023" s="340" t="n"/>
      <c r="AD1023" s="340" t="n"/>
      <c r="AE1023" s="340" t="n"/>
      <c r="AF1023" s="340" t="n"/>
      <c r="AG1023" s="340" t="n"/>
      <c r="AH1023" s="340" t="n"/>
      <c r="AI1023" s="340" t="n"/>
      <c r="AJ1023" s="340" t="n"/>
      <c r="AK1023" s="340" t="n"/>
      <c r="AL1023" s="340" t="n"/>
    </row>
    <row r="1024" ht="12.75" customHeight="1">
      <c r="K1024" s="340" t="n"/>
      <c r="L1024" s="340" t="n"/>
      <c r="M1024" s="340" t="n"/>
      <c r="N1024" s="340" t="n"/>
      <c r="O1024" s="340" t="n"/>
      <c r="P1024" s="340" t="n"/>
      <c r="Q1024" s="340" t="n"/>
      <c r="R1024" s="340" t="n"/>
      <c r="S1024" s="340" t="n"/>
      <c r="T1024" s="340" t="n"/>
      <c r="U1024" s="340" t="n"/>
      <c r="V1024" s="340" t="n"/>
      <c r="W1024" s="340" t="n"/>
      <c r="X1024" s="340" t="n"/>
      <c r="Y1024" s="340" t="n"/>
      <c r="Z1024" s="340" t="n"/>
      <c r="AA1024" s="340" t="n"/>
      <c r="AB1024" s="340" t="n"/>
      <c r="AC1024" s="340" t="n"/>
      <c r="AD1024" s="340" t="n"/>
      <c r="AE1024" s="340" t="n"/>
      <c r="AF1024" s="340" t="n"/>
      <c r="AG1024" s="340" t="n"/>
      <c r="AH1024" s="340" t="n"/>
      <c r="AI1024" s="340" t="n"/>
      <c r="AJ1024" s="340" t="n"/>
      <c r="AK1024" s="340" t="n"/>
      <c r="AL1024" s="340" t="n"/>
    </row>
    <row r="1025" ht="12.75" customHeight="1">
      <c r="K1025" s="340" t="n"/>
      <c r="L1025" s="340" t="n"/>
      <c r="M1025" s="340" t="n"/>
      <c r="N1025" s="340" t="n"/>
      <c r="O1025" s="340" t="n"/>
      <c r="P1025" s="340" t="n"/>
      <c r="Q1025" s="340" t="n"/>
      <c r="R1025" s="340" t="n"/>
      <c r="S1025" s="340" t="n"/>
      <c r="T1025" s="340" t="n"/>
      <c r="U1025" s="340" t="n"/>
      <c r="V1025" s="340" t="n"/>
      <c r="W1025" s="340" t="n"/>
      <c r="X1025" s="340" t="n"/>
      <c r="Y1025" s="340" t="n"/>
      <c r="Z1025" s="340" t="n"/>
      <c r="AA1025" s="340" t="n"/>
      <c r="AB1025" s="340" t="n"/>
      <c r="AC1025" s="340" t="n"/>
      <c r="AD1025" s="340" t="n"/>
      <c r="AE1025" s="340" t="n"/>
      <c r="AF1025" s="340" t="n"/>
      <c r="AG1025" s="340" t="n"/>
      <c r="AH1025" s="340" t="n"/>
      <c r="AI1025" s="340" t="n"/>
      <c r="AJ1025" s="340" t="n"/>
      <c r="AK1025" s="340" t="n"/>
      <c r="AL1025" s="340" t="n"/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Bx6z8sRXKEvXSa+CjzsBxA==" formatRows="1" sort="1" spinCount="100000" hashValue="eKreZkJxepMHPpAu9vzkScz3BkWVi/pUDxohbh7ZV3V/RGvxIQPdXX5lF8h7Dco+6ym7hIEHceFeE2L21d6ilw=="/>
  <mergeCells count="9">
    <mergeCell ref="D1:J4"/>
    <mergeCell ref="K67:R67"/>
    <mergeCell ref="H156:I156"/>
    <mergeCell ref="F156:G156"/>
    <mergeCell ref="C156:D156"/>
    <mergeCell ref="H154:I154"/>
    <mergeCell ref="F154:G154"/>
    <mergeCell ref="U67:AB67"/>
    <mergeCell ref="C154:D154"/>
  </mergeCells>
  <pageMargins left="0.7" right="0.7" top="0.75" bottom="0.75" header="0.3" footer="0.3"/>
  <pageSetup orientation="portrait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0"/>
  <sheetViews>
    <sheetView workbookViewId="0">
      <selection activeCell="F30" sqref="F30"/>
    </sheetView>
  </sheetViews>
  <sheetFormatPr baseColWidth="10" defaultColWidth="12.5546875" defaultRowHeight="13.2"/>
  <cols>
    <col width="3.6640625" customWidth="1" style="950" min="1" max="1"/>
    <col width="10.5546875" customWidth="1" style="950" min="2" max="2"/>
    <col width="14.88671875" customWidth="1" style="950" min="3" max="3"/>
    <col width="10.5546875" customWidth="1" style="950" min="4" max="10"/>
    <col width="5.33203125" customWidth="1" style="950" min="11" max="11"/>
    <col width="10.5546875" customWidth="1" style="950" min="12" max="26"/>
    <col width="12.5546875" customWidth="1" style="950" min="27" max="27"/>
    <col width="12.5546875" customWidth="1" style="950" min="28" max="16384"/>
  </cols>
  <sheetData>
    <row r="1" ht="12.75" customHeight="1">
      <c r="A1" s="340" t="n"/>
      <c r="B1" s="340" t="n"/>
      <c r="C1" s="340" t="n"/>
      <c r="D1" s="340" t="n"/>
      <c r="E1" s="340" t="n"/>
      <c r="F1" s="340" t="n"/>
      <c r="G1" s="340" t="n"/>
      <c r="H1" s="340" t="n"/>
      <c r="I1" s="340" t="n"/>
      <c r="J1" s="340" t="n"/>
      <c r="K1" s="340" t="n"/>
    </row>
    <row r="2" ht="12.75" customHeight="1">
      <c r="A2" s="340" t="n"/>
      <c r="B2" s="962" t="inlineStr">
        <is>
          <t>CALIBRACION DE LA BALANZA</t>
        </is>
      </c>
      <c r="H2" s="340" t="n"/>
      <c r="I2" s="340" t="n"/>
      <c r="J2" s="340" t="n"/>
      <c r="K2" s="340" t="n"/>
      <c r="N2" s="474" t="inlineStr">
        <is>
          <t>CALIBRACION DE LA BALANZA</t>
        </is>
      </c>
      <c r="O2" s="475" t="n"/>
      <c r="P2" s="475" t="n"/>
      <c r="Q2" s="459" t="n"/>
      <c r="R2" s="459" t="n"/>
      <c r="S2" s="459" t="n"/>
    </row>
    <row r="3" ht="12.75" customHeight="1">
      <c r="A3" s="340" t="n"/>
      <c r="B3" s="340" t="n"/>
      <c r="C3" s="340" t="n"/>
      <c r="D3" s="340" t="n"/>
      <c r="E3" s="340" t="n"/>
      <c r="F3" s="340" t="n"/>
      <c r="G3" s="340" t="n"/>
      <c r="H3" s="340" t="n"/>
      <c r="I3" s="340" t="n"/>
      <c r="J3" s="340" t="n"/>
      <c r="K3" s="340" t="n"/>
      <c r="O3" s="459" t="n"/>
      <c r="P3" s="459" t="n"/>
      <c r="Q3" s="459" t="n"/>
      <c r="R3" s="459" t="n"/>
      <c r="S3" s="459" t="n"/>
    </row>
    <row r="4" ht="12.75" customHeight="1">
      <c r="A4" s="340" t="n"/>
      <c r="B4" s="340" t="n"/>
      <c r="C4" s="340" t="n"/>
      <c r="D4" s="340" t="n"/>
      <c r="E4" s="340" t="n"/>
      <c r="F4" s="340" t="n"/>
      <c r="G4" s="340" t="n"/>
      <c r="H4" s="340" t="n"/>
      <c r="I4" s="340" t="n"/>
      <c r="J4" s="340" t="n"/>
      <c r="K4" s="340" t="n"/>
      <c r="O4" s="459" t="n"/>
      <c r="P4" s="459" t="n"/>
      <c r="Q4" s="459" t="n"/>
      <c r="R4" s="459" t="n"/>
      <c r="S4" s="459" t="n"/>
    </row>
    <row r="5" ht="12.75" customHeight="1">
      <c r="A5" s="340" t="n"/>
      <c r="B5" s="340" t="n"/>
      <c r="C5" s="340" t="n"/>
      <c r="D5" s="340" t="n"/>
      <c r="E5" s="340" t="n"/>
      <c r="F5" s="340" t="n"/>
      <c r="G5" s="340" t="n"/>
      <c r="H5" s="340" t="n"/>
      <c r="I5" s="340" t="n"/>
      <c r="J5" s="340" t="n"/>
      <c r="K5" s="340" t="n"/>
      <c r="O5" s="459" t="n"/>
      <c r="P5" s="459" t="n"/>
      <c r="Q5" s="459" t="n"/>
      <c r="R5" s="459" t="n"/>
      <c r="S5" s="459" t="n"/>
    </row>
    <row r="6" ht="12.75" customHeight="1">
      <c r="A6" s="340" t="n"/>
      <c r="B6" s="340" t="n"/>
      <c r="C6" s="340" t="n"/>
      <c r="D6" s="340" t="n"/>
      <c r="E6" s="340" t="n"/>
      <c r="F6" s="340" t="n"/>
      <c r="G6" s="340" t="n"/>
      <c r="H6" s="340" t="n"/>
      <c r="I6" s="965" t="n"/>
      <c r="K6" s="340" t="n"/>
      <c r="O6" s="459" t="n"/>
      <c r="P6" s="459" t="n"/>
      <c r="Q6" s="459" t="n"/>
      <c r="R6" s="459" t="n"/>
      <c r="S6" s="459" t="n"/>
    </row>
    <row r="7" ht="12.75" customHeight="1">
      <c r="A7" s="340" t="n"/>
      <c r="B7" s="352" t="inlineStr">
        <is>
          <t>Correccion</t>
        </is>
      </c>
      <c r="C7" s="682" t="n">
        <v>-2.03e-05</v>
      </c>
      <c r="D7" s="340" t="n"/>
      <c r="E7" s="340" t="n"/>
      <c r="F7" s="340" t="n"/>
      <c r="G7" s="340" t="n"/>
      <c r="H7" s="340" t="n"/>
      <c r="I7" s="965" t="n"/>
      <c r="J7" s="965" t="n"/>
      <c r="K7" s="340" t="n"/>
      <c r="L7" s="793" t="inlineStr">
        <is>
          <t>Corrección</t>
        </is>
      </c>
      <c r="M7" s="461" t="n">
        <v>-3.29e-06</v>
      </c>
      <c r="N7" s="459" t="n"/>
      <c r="O7" s="459" t="n"/>
      <c r="Q7" s="459" t="n"/>
      <c r="R7" s="459" t="n"/>
      <c r="S7" s="459" t="n"/>
    </row>
    <row r="8" ht="12.75" customHeight="1">
      <c r="A8" s="340" t="n"/>
      <c r="B8" s="354" t="inlineStr">
        <is>
          <t>Variables</t>
        </is>
      </c>
      <c r="C8" s="965" t="n">
        <v>1.09</v>
      </c>
      <c r="D8" s="683" t="n">
        <v>3.1e-10</v>
      </c>
      <c r="E8" s="340" t="n"/>
      <c r="F8" s="340" t="n"/>
      <c r="G8" s="340" t="n"/>
      <c r="H8" s="340" t="n"/>
      <c r="I8" s="340" t="n"/>
      <c r="J8" s="340" t="n"/>
      <c r="K8" s="340" t="n"/>
      <c r="L8" s="794" t="inlineStr">
        <is>
          <t>Variables</t>
        </is>
      </c>
      <c r="M8" s="460" t="n">
        <v>0.00416</v>
      </c>
      <c r="N8" s="461" t="n">
        <v>2.43e-10</v>
      </c>
      <c r="O8" s="459" t="n"/>
      <c r="Q8" s="459" t="n"/>
      <c r="R8" s="459" t="n"/>
      <c r="S8" s="459" t="n"/>
    </row>
    <row r="9" ht="12.75" customHeight="1">
      <c r="A9" s="340" t="n"/>
      <c r="B9" s="354" t="inlineStr">
        <is>
          <t>Ecuacion</t>
        </is>
      </c>
      <c r="C9" s="355" t="inlineStr">
        <is>
          <t>2*RAIZ(1.09+0.00000000031*R2)</t>
        </is>
      </c>
      <c r="D9" s="356" t="n"/>
      <c r="E9" s="340" t="n"/>
      <c r="F9" s="965" t="inlineStr">
        <is>
          <t>g</t>
        </is>
      </c>
      <c r="G9" s="340" t="n"/>
      <c r="H9" s="340" t="n"/>
      <c r="I9" s="340" t="n"/>
      <c r="J9" s="340" t="n"/>
      <c r="K9" s="340" t="n"/>
      <c r="L9" s="794" t="inlineStr">
        <is>
          <t>Ecuación</t>
        </is>
      </c>
      <c r="M9" s="462" t="inlineStr">
        <is>
          <t>2*RAIZ(0.00416+0.000000000243*R2)</t>
        </is>
      </c>
      <c r="N9" s="460" t="n"/>
      <c r="O9" s="459" t="n"/>
      <c r="Q9" s="459" t="n"/>
      <c r="R9" s="459" t="n"/>
      <c r="S9" s="459" t="n"/>
    </row>
    <row r="10" ht="12.75" customHeight="1">
      <c r="A10" s="340" t="n"/>
      <c r="B10" s="354" t="inlineStr">
        <is>
          <t>Resolucion</t>
        </is>
      </c>
      <c r="C10" s="356" t="n">
        <v>1</v>
      </c>
      <c r="D10" s="356" t="inlineStr">
        <is>
          <t>g</t>
        </is>
      </c>
      <c r="E10" s="340" t="n"/>
      <c r="F10" s="340" t="n"/>
      <c r="G10" s="340" t="n"/>
      <c r="H10" s="340" t="n"/>
      <c r="I10" s="340" t="n"/>
      <c r="J10" s="340" t="n"/>
      <c r="K10" s="340" t="n"/>
      <c r="L10" s="794" t="inlineStr">
        <is>
          <t>Resolución</t>
        </is>
      </c>
      <c r="M10" s="462" t="n">
        <v>0.1</v>
      </c>
      <c r="N10" s="460" t="inlineStr">
        <is>
          <t>g</t>
        </is>
      </c>
      <c r="Q10" s="459" t="n"/>
      <c r="R10" s="459" t="n"/>
      <c r="S10" s="459" t="n"/>
    </row>
    <row r="11" ht="12.75" customHeight="1">
      <c r="A11" s="340" t="n"/>
      <c r="B11" s="354" t="inlineStr">
        <is>
          <t xml:space="preserve">Codigo </t>
        </is>
      </c>
      <c r="C11" s="356" t="inlineStr">
        <is>
          <t>EQP-0054</t>
        </is>
      </c>
      <c r="D11" s="340" t="n"/>
      <c r="E11" s="340" t="n"/>
      <c r="F11" s="340" t="n"/>
      <c r="G11" s="340" t="n"/>
      <c r="H11" s="340" t="n"/>
      <c r="I11" s="340" t="n"/>
      <c r="J11" s="340" t="n"/>
      <c r="K11" s="340" t="n"/>
      <c r="L11" s="794" t="inlineStr">
        <is>
          <t xml:space="preserve">Código </t>
        </is>
      </c>
      <c r="M11" s="460" t="inlineStr">
        <is>
          <t>EQP-0046</t>
        </is>
      </c>
      <c r="N11" s="459" t="n"/>
      <c r="Q11" s="459" t="n"/>
      <c r="R11" s="459" t="n"/>
      <c r="S11" s="459" t="n"/>
    </row>
    <row r="12" ht="12.75" customHeight="1">
      <c r="A12" s="340" t="n"/>
      <c r="B12" s="470" t="inlineStr">
        <is>
          <t>Fecha de calibración</t>
        </is>
      </c>
      <c r="C12" s="471" t="n"/>
      <c r="D12" s="472" t="n">
        <v>45799</v>
      </c>
      <c r="E12" s="340" t="n"/>
      <c r="F12" s="340" t="n"/>
      <c r="G12" s="340" t="n"/>
      <c r="H12" s="340" t="n"/>
      <c r="I12" s="340" t="n"/>
      <c r="J12" s="340" t="n"/>
      <c r="K12" s="340" t="n"/>
      <c r="L12" s="794" t="inlineStr">
        <is>
          <t>Fecha última calibración</t>
        </is>
      </c>
      <c r="N12" s="795" t="n"/>
      <c r="O12" s="795" t="n">
        <v>46132</v>
      </c>
      <c r="S12" s="459" t="n"/>
    </row>
    <row r="13" ht="12.75" customHeight="1">
      <c r="A13" s="340" t="n"/>
      <c r="B13" s="357" t="inlineStr">
        <is>
          <t>ITEM</t>
        </is>
      </c>
      <c r="C13" s="358" t="inlineStr">
        <is>
          <t>MES</t>
        </is>
      </c>
      <c r="D13" s="464" t="n">
        <v>500</v>
      </c>
      <c r="E13" s="464" t="n">
        <v>1000</v>
      </c>
      <c r="F13" s="464" t="n">
        <v>5000</v>
      </c>
      <c r="G13" s="464" t="n">
        <v>10000</v>
      </c>
      <c r="H13" s="464" t="n">
        <v>15000</v>
      </c>
      <c r="I13" s="359" t="n">
        <v>20000</v>
      </c>
      <c r="J13" s="359" t="n"/>
      <c r="K13" s="340" t="n"/>
      <c r="L13" s="357" t="inlineStr">
        <is>
          <t>ITEM</t>
        </is>
      </c>
      <c r="M13" s="358" t="inlineStr">
        <is>
          <t>MES</t>
        </is>
      </c>
      <c r="N13" s="464" t="n">
        <v>200</v>
      </c>
      <c r="O13" s="464" t="n">
        <v>500</v>
      </c>
      <c r="P13" s="464" t="n">
        <v>1000</v>
      </c>
      <c r="Q13" s="464" t="n">
        <v>5000</v>
      </c>
      <c r="R13" s="464" t="n">
        <v>10000</v>
      </c>
      <c r="S13" s="459" t="n"/>
    </row>
    <row r="14" ht="12.75" customHeight="1">
      <c r="A14" s="340" t="n"/>
      <c r="B14" s="717" t="n"/>
      <c r="C14" s="360" t="n"/>
      <c r="D14" s="361" t="n"/>
      <c r="E14" s="361" t="n"/>
      <c r="F14" s="361" t="n"/>
      <c r="G14" s="361" t="n"/>
      <c r="H14" s="361" t="n"/>
      <c r="I14" s="361" t="n"/>
      <c r="J14" s="362" t="n"/>
      <c r="K14" s="340" t="n"/>
      <c r="L14" s="717" t="n"/>
      <c r="M14" s="360" t="n"/>
      <c r="N14" s="465" t="n"/>
      <c r="O14" s="465" t="n"/>
      <c r="P14" s="465" t="n"/>
      <c r="Q14" s="465" t="n"/>
      <c r="R14" s="465" t="n"/>
      <c r="S14" s="459" t="n"/>
    </row>
    <row r="15" ht="12.75" customHeight="1">
      <c r="A15" s="340" t="n"/>
      <c r="B15" s="717" t="n"/>
      <c r="C15" s="360" t="n"/>
      <c r="D15" s="361" t="n"/>
      <c r="E15" s="361" t="n"/>
      <c r="F15" s="361" t="n"/>
      <c r="G15" s="361" t="n"/>
      <c r="H15" s="361" t="n"/>
      <c r="I15" s="362" t="n"/>
      <c r="J15" s="362" t="n"/>
      <c r="K15" s="340" t="n"/>
      <c r="L15" s="717" t="n"/>
      <c r="M15" s="360" t="n"/>
      <c r="N15" s="465" t="n"/>
      <c r="O15" s="465" t="n"/>
      <c r="P15" s="465" t="n"/>
      <c r="Q15" s="465" t="n"/>
      <c r="R15" s="465" t="n"/>
      <c r="S15" s="459" t="n"/>
    </row>
    <row r="16" ht="12.75" customHeight="1">
      <c r="A16" s="340" t="n"/>
      <c r="B16" s="340" t="n"/>
      <c r="C16" s="340" t="n"/>
      <c r="D16" s="340" t="n"/>
      <c r="E16" s="340" t="n"/>
      <c r="F16" s="340" t="n"/>
      <c r="G16" s="340" t="n"/>
      <c r="H16" s="340" t="n"/>
      <c r="I16" s="340" t="n"/>
      <c r="J16" s="340" t="n"/>
      <c r="K16" s="340" t="n"/>
      <c r="L16" s="459" t="n"/>
      <c r="M16" s="459" t="n"/>
      <c r="N16" s="466" t="n"/>
      <c r="O16" s="466" t="n"/>
      <c r="P16" s="466" t="n"/>
      <c r="Q16" s="466" t="n"/>
      <c r="R16" s="466" t="n"/>
      <c r="S16" s="459" t="n"/>
    </row>
    <row r="17" ht="12.75" customHeight="1">
      <c r="A17" s="340" t="n"/>
      <c r="B17" s="363" t="n"/>
      <c r="C17" s="364" t="inlineStr">
        <is>
          <t>DESV STD</t>
        </is>
      </c>
      <c r="D17" s="365" t="n">
        <v>0</v>
      </c>
      <c r="E17" s="365" t="n">
        <v>0</v>
      </c>
      <c r="F17" s="365" t="n">
        <v>0</v>
      </c>
      <c r="G17" s="365" t="n">
        <v>0</v>
      </c>
      <c r="H17" s="365" t="n">
        <v>0</v>
      </c>
      <c r="I17" s="365" t="n">
        <v>0</v>
      </c>
      <c r="J17" s="365" t="n"/>
      <c r="K17" s="340" t="n"/>
      <c r="L17" s="467" t="n"/>
      <c r="M17" s="463" t="inlineStr">
        <is>
          <t>DESV STD</t>
        </is>
      </c>
      <c r="N17" s="468" t="n">
        <v>0</v>
      </c>
      <c r="O17" s="468" t="n">
        <v>0</v>
      </c>
      <c r="P17" s="468" t="n">
        <v>0</v>
      </c>
      <c r="Q17" s="468" t="n">
        <v>0</v>
      </c>
      <c r="R17" s="468" t="n">
        <v>0</v>
      </c>
      <c r="S17" s="459" t="n"/>
    </row>
    <row r="18" ht="12.75" customHeight="1">
      <c r="A18" s="340" t="n"/>
      <c r="B18" s="965" t="n"/>
      <c r="C18" s="354" t="n"/>
      <c r="D18" s="366" t="n"/>
      <c r="E18" s="366" t="n"/>
      <c r="F18" s="366" t="n"/>
      <c r="G18" s="366" t="n"/>
      <c r="H18" s="366" t="n"/>
      <c r="I18" s="366" t="n"/>
      <c r="J18" s="366" t="n"/>
      <c r="K18" s="340" t="n"/>
      <c r="L18" s="459" t="n"/>
      <c r="M18" s="459" t="n"/>
      <c r="N18" s="459" t="n"/>
      <c r="O18" s="459" t="n"/>
      <c r="P18" s="459" t="n"/>
      <c r="Q18" s="459" t="n"/>
      <c r="R18" s="459" t="n"/>
      <c r="S18" s="459" t="n"/>
    </row>
    <row r="19" ht="12.75" customHeight="1">
      <c r="A19" s="340" t="n"/>
      <c r="B19" s="367" t="inlineStr">
        <is>
          <t>Busqueda de Repetibilidad de la masa</t>
        </is>
      </c>
      <c r="C19" s="367" t="n"/>
      <c r="D19" s="367" t="n"/>
      <c r="E19" s="367" t="n"/>
      <c r="F19" s="340" t="n"/>
      <c r="G19" s="340" t="n"/>
      <c r="H19" s="340" t="n"/>
      <c r="I19" s="340" t="n"/>
      <c r="J19" s="340" t="n"/>
      <c r="K19" s="340" t="n"/>
      <c r="L19" s="475" t="inlineStr">
        <is>
          <t>Busqueda de Repetibilidad de la masa</t>
        </is>
      </c>
      <c r="N19" s="475" t="n"/>
      <c r="O19" s="475" t="n"/>
      <c r="P19" s="475" t="n"/>
      <c r="Q19" s="475" t="n"/>
      <c r="R19" s="475" t="n"/>
      <c r="S19" s="459" t="n"/>
    </row>
    <row r="20" ht="12.75" customHeight="1">
      <c r="A20" s="340" t="n"/>
      <c r="B20" s="340" t="n"/>
      <c r="C20" s="340" t="n"/>
      <c r="D20" s="359">
        <f>+D13</f>
        <v/>
      </c>
      <c r="E20" s="359">
        <f>+E13</f>
        <v/>
      </c>
      <c r="F20" s="359">
        <f>+F13</f>
        <v/>
      </c>
      <c r="G20" s="359">
        <f>+G13</f>
        <v/>
      </c>
      <c r="H20" s="359">
        <f>+H13</f>
        <v/>
      </c>
      <c r="I20" s="359" t="n">
        <v>20000</v>
      </c>
      <c r="J20" s="359" t="n"/>
      <c r="K20" s="340" t="n"/>
      <c r="L20" s="459" t="n"/>
      <c r="M20" s="459" t="n"/>
      <c r="N20" s="459" t="n"/>
      <c r="O20" s="459" t="n"/>
      <c r="P20" s="459" t="n"/>
      <c r="Q20" s="459" t="n"/>
      <c r="R20" s="459" t="n"/>
      <c r="S20" s="459" t="n"/>
    </row>
    <row r="21" ht="12.75" customHeight="1">
      <c r="A21" s="340" t="n"/>
      <c r="B21" s="340" t="n"/>
      <c r="C21" s="340" t="n"/>
      <c r="D21" s="365">
        <f>D17</f>
        <v/>
      </c>
      <c r="E21" s="365">
        <f>E17</f>
        <v/>
      </c>
      <c r="F21" s="365">
        <f>F17</f>
        <v/>
      </c>
      <c r="G21" s="365">
        <f>G17</f>
        <v/>
      </c>
      <c r="H21" s="365">
        <f>H17</f>
        <v/>
      </c>
      <c r="I21" s="365">
        <f>I17</f>
        <v/>
      </c>
      <c r="J21" s="365" t="n"/>
      <c r="K21" s="340" t="n"/>
      <c r="L21" s="459" t="n"/>
      <c r="M21" s="459" t="n"/>
      <c r="N21" s="467">
        <f>+N13</f>
        <v/>
      </c>
      <c r="O21" s="467">
        <f>+O13</f>
        <v/>
      </c>
      <c r="P21" s="467">
        <f>+P13</f>
        <v/>
      </c>
      <c r="Q21" s="467">
        <f>+Q13</f>
        <v/>
      </c>
      <c r="R21" s="467">
        <f>+R13</f>
        <v/>
      </c>
      <c r="S21" s="459" t="n"/>
    </row>
    <row r="22" ht="12.75" customHeight="1">
      <c r="A22" s="340" t="n"/>
      <c r="B22" s="343" t="n"/>
      <c r="C22" s="343" t="n"/>
      <c r="D22" s="340" t="n"/>
      <c r="E22" s="340" t="n"/>
      <c r="F22" s="340" t="n"/>
      <c r="G22" s="340" t="n"/>
      <c r="H22" s="340" t="n"/>
      <c r="I22" s="340" t="n"/>
      <c r="J22" s="340" t="n"/>
      <c r="K22" s="340" t="n"/>
      <c r="L22" s="459" t="n"/>
      <c r="M22" s="459" t="n"/>
      <c r="N22" s="468">
        <f>N17</f>
        <v/>
      </c>
      <c r="O22" s="468">
        <f>O17</f>
        <v/>
      </c>
      <c r="P22" s="468">
        <f>P17</f>
        <v/>
      </c>
      <c r="Q22" s="468">
        <f>Q17</f>
        <v/>
      </c>
      <c r="R22" s="468">
        <f>R17</f>
        <v/>
      </c>
      <c r="S22" s="459" t="n"/>
    </row>
    <row r="23" ht="12.75" customHeight="1">
      <c r="A23" s="340" t="n"/>
      <c r="B23" s="368" t="inlineStr">
        <is>
          <t>ENSAYO DE LA MUESTRA</t>
        </is>
      </c>
      <c r="C23" s="343" t="n"/>
      <c r="D23" s="340" t="n"/>
      <c r="E23" s="340" t="n"/>
      <c r="F23" s="340" t="n"/>
      <c r="G23" s="340" t="n"/>
      <c r="H23" s="340" t="n"/>
      <c r="I23" s="340" t="n"/>
      <c r="J23" s="340" t="n"/>
      <c r="K23" s="340" t="n"/>
      <c r="L23" s="368" t="inlineStr">
        <is>
          <t>ENSAYO DE LA MUESTRA</t>
        </is>
      </c>
      <c r="M23" s="459" t="n"/>
      <c r="N23" s="459" t="n"/>
      <c r="P23" s="459" t="n"/>
      <c r="Q23" s="476" t="n"/>
      <c r="R23" s="459" t="n"/>
      <c r="S23" s="459" t="n"/>
    </row>
    <row r="24" ht="16.5" customHeight="1">
      <c r="A24" s="340" t="n"/>
      <c r="B24" s="963" t="inlineStr">
        <is>
          <t>Masa de molde+suelo moldeado</t>
        </is>
      </c>
      <c r="C24" s="964" t="n"/>
      <c r="D24" s="369">
        <f>+DATOS!$E$18</f>
        <v/>
      </c>
      <c r="E24" s="370">
        <f>IF(D24&lt;=$D$20,$D$21,IF(AND(D24&gt;$D$20,D24&lt;=$E$20),$E$21,IF(AND(D24&gt;$E$20,D24&lt;=$F$20),$F$21,IF(AND(D24&gt;$F$20,D24&lt;=$G$20),$G$21,IF(AND(D24&gt;$G$20,D24&lt;=$H$20),$H$21,$H$21)))))</f>
        <v/>
      </c>
      <c r="F24" s="340" t="n"/>
      <c r="G24" s="340" t="n"/>
      <c r="H24" s="340" t="n"/>
      <c r="I24" s="340" t="n"/>
      <c r="J24" s="340" t="n"/>
      <c r="K24" s="340" t="n"/>
      <c r="L24" s="477" t="n"/>
      <c r="M24" s="478" t="inlineStr">
        <is>
          <t>Tara + suelo húmedo</t>
        </is>
      </c>
      <c r="N24" s="479" t="n"/>
      <c r="O24" s="481">
        <f>+INCERT!M96</f>
        <v/>
      </c>
      <c r="P24" s="482">
        <f>IF(AND(O24&lt;=$R$21,O24&gt;$Q$21),$R$22,IF(AND(O24&lt;=$Q$21,O24&gt;$P$21),$Q$22,IF(AND(O24&lt;=$P$21,O24&gt;$O$21),$P$22,IF(AND(O24&lt;=$O$21,O24&gt;$N$21),$O$22,IF(O24&lt;=$N$21,$N$22)))))</f>
        <v/>
      </c>
      <c r="R24" s="459" t="n"/>
      <c r="S24" s="459" t="n"/>
    </row>
    <row r="25" ht="16.5" customHeight="1">
      <c r="B25" s="966" t="inlineStr">
        <is>
          <t>Masa de molde</t>
        </is>
      </c>
      <c r="C25" s="964" t="n"/>
      <c r="D25" s="473">
        <f>+DATOS!$E$19</f>
        <v/>
      </c>
      <c r="E25" s="370">
        <f>IF(D25&lt;=$D$20,$D$21,IF(AND(D25&gt;$D$20,D25&lt;=$E$20),$E$21,IF(AND(D25&gt;$E$20,D25&lt;=$F$20),$F$21,IF(AND(D25&gt;$F$20,D25&lt;=$G$20),$G$21,IF(AND(D25&gt;$G$20,D25&lt;=$H$20),$H$21,$H$21)))))</f>
        <v/>
      </c>
      <c r="F25" s="340" t="n"/>
      <c r="G25" s="340" t="n"/>
      <c r="H25" s="340" t="n"/>
      <c r="I25" s="340" t="n"/>
      <c r="J25" s="340" t="n"/>
      <c r="K25" s="340" t="n"/>
      <c r="L25" s="469" t="n"/>
      <c r="M25" s="478" t="inlineStr">
        <is>
          <t>Tara + suelo seco 2</t>
        </is>
      </c>
      <c r="N25" s="479" t="n"/>
      <c r="O25" s="481">
        <f>+INCERT!M100</f>
        <v/>
      </c>
      <c r="P25" s="482">
        <f>IF(AND(O25&lt;=$R$21,O25&gt;$Q$21),$R$22,IF(AND(O25&lt;=$Q$21,O25&gt;$P$21),$Q$22,IF(AND(O25&lt;=$P$21,O25&gt;$O$21),$P$22,IF(AND(O25&lt;=$O$21,O25&gt;$N$21),$O$22,IF(O25&lt;=$N$21,$N$22)))))</f>
        <v/>
      </c>
      <c r="R25" s="459" t="n"/>
      <c r="S25" s="459" t="n"/>
    </row>
    <row r="26" ht="16.5" customHeight="1">
      <c r="F26" s="340" t="n"/>
      <c r="G26" s="340" t="n"/>
      <c r="H26" s="340" t="n"/>
      <c r="I26" s="340" t="n"/>
      <c r="J26" s="340" t="n"/>
      <c r="K26" s="340" t="n"/>
      <c r="L26" s="469" t="n"/>
      <c r="M26" s="480" t="inlineStr">
        <is>
          <t>Peso de tara</t>
        </is>
      </c>
      <c r="N26" s="479" t="n"/>
      <c r="O26" s="481">
        <f>+INCERT!M104</f>
        <v/>
      </c>
      <c r="P26" s="482">
        <f>IF(AND(O26&lt;=$R$21,O26&gt;$Q$21),$R$22,IF(AND(O26&lt;=$Q$21,O26&gt;$P$21),$Q$22,IF(AND(O26&lt;=$P$21,O26&gt;$O$21),$P$22,IF(AND(O26&lt;=$O$21,O26&gt;$N$21),$O$22,IF(O26&lt;=$N$21,$N$22)))))</f>
        <v/>
      </c>
      <c r="R26" s="459" t="n"/>
      <c r="S26" s="459" t="n"/>
    </row>
    <row r="27" ht="16.5" customHeight="1">
      <c r="B27" s="963" t="inlineStr">
        <is>
          <t>Masa de molde+suelo moldeado</t>
        </is>
      </c>
      <c r="C27" s="964" t="n"/>
      <c r="D27" s="369">
        <f>+DATOS!$I$18</f>
        <v/>
      </c>
      <c r="E27" s="370">
        <f>IF(D27&lt;=$D$20,$D$21,IF(AND(D27&gt;$D$20,D27&lt;=$E$20),$E$21,IF(AND(D27&gt;$E$20,D27&lt;=$F$20),$F$21,IF(AND(D27&gt;$F$20,D27&lt;=$G$20),$G$21,IF(AND(D27&gt;$G$20,D27&lt;=$H$20),$H$21,$H$21)))))</f>
        <v/>
      </c>
      <c r="L27" s="459" t="n"/>
      <c r="N27" s="459" t="n"/>
      <c r="O27" s="459" t="n"/>
      <c r="P27" s="459" t="n"/>
      <c r="Q27" s="459" t="n"/>
      <c r="R27" s="459" t="n"/>
      <c r="S27" s="459" t="n"/>
    </row>
    <row r="28" ht="16.5" customHeight="1">
      <c r="B28" s="966" t="inlineStr">
        <is>
          <t>Masa de molde</t>
        </is>
      </c>
      <c r="C28" s="964" t="n"/>
      <c r="D28" s="473">
        <f>+DATOS!$I$19</f>
        <v/>
      </c>
      <c r="E28" s="370">
        <f>IF(D28&lt;=$D$20,$D$21,IF(AND(D28&gt;$D$20,D28&lt;=$E$20),$E$21,IF(AND(D28&gt;$E$20,D28&lt;=$F$20),$F$21,IF(AND(D28&gt;$F$20,D28&lt;=$G$20),$G$21,IF(AND(D28&gt;$G$20,D28&lt;=$H$20),$H$21,$H$21)))))</f>
        <v/>
      </c>
      <c r="L28" s="477" t="n"/>
      <c r="M28" s="478" t="inlineStr">
        <is>
          <t>Tara + suelo húmedo</t>
        </is>
      </c>
      <c r="N28" s="479" t="n"/>
      <c r="O28" s="481">
        <f>+INCERT!W96</f>
        <v/>
      </c>
      <c r="P28" s="482">
        <f>IF(AND(O28&lt;=$R$21,O28&gt;$Q$21),$R$22,IF(AND(O28&lt;=$Q$21,O28&gt;$P$21),$Q$22,IF(AND(O28&lt;=$P$21,O28&gt;$O$21),$P$22,IF(AND(O28&lt;=$O$21,O28&gt;$N$21),$O$22,IF(O28&lt;=$N$21,$N$22)))))</f>
        <v/>
      </c>
    </row>
    <row r="29" ht="16.5" customHeight="1">
      <c r="L29" s="469" t="n"/>
      <c r="M29" s="478" t="inlineStr">
        <is>
          <t>Tara + suelo seco 2</t>
        </is>
      </c>
      <c r="N29" s="479" t="n"/>
      <c r="O29" s="481">
        <f>+INCERT!W100</f>
        <v/>
      </c>
      <c r="P29" s="482">
        <f>IF(AND(O29&lt;=$R$21,O29&gt;$Q$21),$R$22,IF(AND(O29&lt;=$Q$21,O29&gt;$P$21),$Q$22,IF(AND(O29&lt;=$P$21,O29&gt;$O$21),$P$22,IF(AND(O29&lt;=$O$21,O29&gt;$N$21),$O$22,IF(O29&lt;=$N$21,$N$22)))))</f>
        <v/>
      </c>
    </row>
    <row r="30" ht="16.5" customHeight="1">
      <c r="L30" s="469" t="n"/>
      <c r="M30" s="480" t="inlineStr">
        <is>
          <t>Peso de tara</t>
        </is>
      </c>
      <c r="N30" s="479" t="n"/>
      <c r="O30" s="481">
        <f>+INCERT!W104</f>
        <v/>
      </c>
      <c r="P30" s="482">
        <f>IF(AND(O30&lt;=$R$21,O30&gt;$Q$21),$R$22,IF(AND(O30&lt;=$Q$21,O30&gt;$P$21),$Q$22,IF(AND(O30&lt;=$P$21,O30&gt;$O$21),$P$22,IF(AND(O30&lt;=$O$21,O30&gt;$N$21),$O$22,IF(O30&lt;=$N$21,$N$22)))))</f>
        <v/>
      </c>
    </row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sm7BiAw9jgtCMHj4Kpd++w==" formatRows="1" sort="1" spinCount="100000" hashValue="YkEpb+SQ6Ls0aUvf1ZEXH3frhgr0ZbAYcEy5eAhSttngZOAFsPG2YuAzCCFk4rg82AHb9lzMeHsqSmFYa8iEbg=="/>
  <mergeCells count="6">
    <mergeCell ref="B2:G2"/>
    <mergeCell ref="B24:C24"/>
    <mergeCell ref="I6:J6"/>
    <mergeCell ref="B25:C25"/>
    <mergeCell ref="B28:C28"/>
    <mergeCell ref="B27:C27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C5" sqref="C5"/>
    </sheetView>
  </sheetViews>
  <sheetFormatPr baseColWidth="10" defaultColWidth="12.5546875" defaultRowHeight="13.2"/>
  <cols>
    <col width="8.109375" customWidth="1" style="708" min="1" max="1"/>
    <col width="23.88671875" customWidth="1" style="708" min="2" max="2"/>
    <col width="12" customWidth="1" style="708" min="3" max="8"/>
    <col width="36" customWidth="1" style="708" min="9" max="9"/>
    <col width="10.5546875" customWidth="1" style="708" min="10" max="12"/>
    <col width="11" customWidth="1" style="708" min="13" max="13"/>
    <col width="10.5546875" customWidth="1" style="708" min="14" max="15"/>
    <col width="12.5546875" customWidth="1" style="708" min="16" max="16"/>
    <col width="12.5546875" customWidth="1" style="708" min="17" max="16384"/>
  </cols>
  <sheetData>
    <row r="1" ht="12.75" customHeight="1">
      <c r="A1" s="707" t="n"/>
      <c r="B1" s="707" t="n"/>
      <c r="C1" s="707" t="n"/>
      <c r="D1" s="707" t="n"/>
      <c r="E1" s="707" t="n"/>
      <c r="F1" s="707" t="n"/>
      <c r="G1" s="707" t="n"/>
    </row>
    <row r="2" ht="12.75" customHeight="1">
      <c r="A2" s="707" t="n"/>
      <c r="B2" s="709" t="n"/>
      <c r="G2" s="707" t="n"/>
      <c r="I2" s="709" t="n"/>
    </row>
    <row r="3" ht="12.75" customHeight="1">
      <c r="A3" s="707" t="n"/>
      <c r="B3" s="198" t="inlineStr">
        <is>
          <t>Factor de precision CBR</t>
        </is>
      </c>
      <c r="G3" s="707" t="n"/>
      <c r="I3" s="198" t="inlineStr">
        <is>
          <t>Factor de precision CONTENIDO HUMEDAD</t>
        </is>
      </c>
    </row>
    <row r="4" ht="12.75" customHeight="1">
      <c r="A4" s="707" t="n"/>
      <c r="B4" s="198" t="inlineStr">
        <is>
          <t>Fecha de evaluacion:</t>
        </is>
      </c>
      <c r="C4" s="710" t="n">
        <v>45789</v>
      </c>
      <c r="G4" s="707" t="n"/>
      <c r="I4" s="198" t="inlineStr">
        <is>
          <t>Fecha de evaluacion:</t>
        </is>
      </c>
      <c r="J4" s="710" t="n">
        <v>46064</v>
      </c>
    </row>
    <row r="5" ht="12.75" customHeight="1">
      <c r="A5" s="707" t="n"/>
      <c r="B5" s="198" t="n"/>
      <c r="C5" s="711" t="n"/>
      <c r="G5" s="707" t="n"/>
      <c r="I5" s="198" t="n"/>
      <c r="J5" s="711" t="n"/>
    </row>
    <row r="6" ht="12.75" customHeight="1">
      <c r="B6" s="713" t="inlineStr">
        <is>
          <t>Desviacion Estándar Repetibilidad (Sr)</t>
        </is>
      </c>
      <c r="C6" s="967" t="n">
        <v>2.025750889588024</v>
      </c>
      <c r="D6" s="810" t="n"/>
      <c r="E6" s="811" t="n"/>
      <c r="F6" s="712" t="n"/>
      <c r="I6" s="713" t="inlineStr">
        <is>
          <t>Desviacion Estándar Repetibilidad (Sr)</t>
        </is>
      </c>
      <c r="J6" s="967" t="n">
        <v>0.1103026140518291</v>
      </c>
      <c r="K6" s="810" t="n"/>
      <c r="L6" s="811" t="n"/>
      <c r="M6" s="712" t="n"/>
    </row>
    <row r="7" ht="12.75" customHeight="1">
      <c r="B7" s="713" t="inlineStr">
        <is>
          <t>Desviacion Estándar Reproducibilidad (SR)</t>
        </is>
      </c>
      <c r="C7" s="967" t="n">
        <v>2.177753684674014</v>
      </c>
      <c r="D7" s="810" t="n"/>
      <c r="E7" s="811" t="n"/>
      <c r="F7" s="712" t="n"/>
      <c r="I7" s="713" t="inlineStr">
        <is>
          <t>Desviacion Estándar Reproducibilidad (SR)</t>
        </is>
      </c>
      <c r="J7" s="967" t="n">
        <v>0.1137736544392761</v>
      </c>
      <c r="K7" s="810" t="n"/>
      <c r="L7" s="811" t="n"/>
      <c r="M7" s="712" t="n"/>
    </row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xRw421jdjQkreVB8k6HPGw==" formatRows="1" sort="1" spinCount="100000" hashValue="2hVJLd3EcCK1eTh08Bsg8qjn0UdXDpLQfMtay5+xIPdL8vpGardeCiFPJfXYR2wm7sWFecS0MOYG4Ztss/+4jw=="/>
  <mergeCells count="4">
    <mergeCell ref="J7:L7"/>
    <mergeCell ref="J6:L6"/>
    <mergeCell ref="C7:E7"/>
    <mergeCell ref="C6:E6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37"/>
  <sheetViews>
    <sheetView workbookViewId="0">
      <selection activeCell="G3" sqref="G3"/>
    </sheetView>
  </sheetViews>
  <sheetFormatPr baseColWidth="10" defaultColWidth="12.5546875" defaultRowHeight="13.2"/>
  <cols>
    <col width="8.109375" customWidth="1" style="950" min="1" max="1"/>
    <col width="23.88671875" customWidth="1" style="950" min="2" max="2"/>
    <col width="12" customWidth="1" style="950" min="3" max="8"/>
    <col width="36" customWidth="1" style="950" min="9" max="9"/>
    <col width="10.5546875" customWidth="1" style="950" min="10" max="12"/>
    <col width="11" customWidth="1" style="950" min="13" max="13"/>
    <col width="10.5546875" customWidth="1" style="950" min="14" max="15"/>
    <col width="12.5546875" customWidth="1" style="950" min="16" max="16"/>
    <col width="12.5546875" customWidth="1" style="950" min="17" max="16384"/>
  </cols>
  <sheetData>
    <row r="1" ht="12.75" customHeight="1">
      <c r="A1" s="340" t="n"/>
      <c r="B1" s="340" t="n"/>
      <c r="C1" s="340" t="n"/>
      <c r="D1" s="340" t="n"/>
      <c r="E1" s="340" t="n"/>
      <c r="F1" s="340" t="n"/>
      <c r="G1" s="340" t="n"/>
    </row>
    <row r="2" ht="12.75" customHeight="1">
      <c r="A2" s="340" t="n"/>
      <c r="B2" s="645" t="inlineStr">
        <is>
          <t>INCERTIDUMBRE ESTANDAR -TIPO A</t>
        </is>
      </c>
      <c r="C2" s="351" t="n"/>
      <c r="D2" s="351" t="n"/>
      <c r="E2" s="351" t="n"/>
      <c r="F2" s="351" t="n"/>
      <c r="G2" s="340" t="n"/>
      <c r="I2" s="645" t="inlineStr">
        <is>
          <t>INCERTIDUMBRE ESTANDAR -TIPO A</t>
        </is>
      </c>
      <c r="J2" s="351" t="n"/>
      <c r="K2" s="351" t="n"/>
      <c r="L2" s="351" t="n"/>
      <c r="M2" s="351" t="n"/>
    </row>
    <row r="3" ht="12.75" customHeight="1">
      <c r="A3" s="340" t="n"/>
      <c r="B3" s="646" t="inlineStr">
        <is>
          <t>TALLER DE INCERTIDUMBRE ESTANDAR -TIPO A</t>
        </is>
      </c>
      <c r="C3" s="351" t="n"/>
      <c r="D3" s="351" t="n"/>
      <c r="E3" s="351" t="n"/>
      <c r="F3" s="351" t="n"/>
      <c r="G3" s="340" t="n"/>
      <c r="I3" s="646" t="inlineStr">
        <is>
          <t>TALLER DE INCERTIDUMBRE ESTANDAR -TIPO A</t>
        </is>
      </c>
      <c r="J3" s="351" t="n"/>
      <c r="K3" s="351" t="n"/>
      <c r="L3" s="351" t="n"/>
      <c r="M3" s="351" t="n"/>
    </row>
    <row r="4" ht="12.75" customHeight="1">
      <c r="A4" s="340" t="n"/>
      <c r="B4" s="646" t="inlineStr">
        <is>
          <t>Fecha de evaluacion:</t>
        </is>
      </c>
      <c r="C4" s="647" t="n">
        <v>45625</v>
      </c>
      <c r="D4" s="351" t="n"/>
      <c r="E4" s="351" t="n"/>
      <c r="F4" s="351" t="n"/>
      <c r="G4" s="340" t="n"/>
      <c r="I4" s="646" t="inlineStr">
        <is>
          <t>Fecha de evaluacion:</t>
        </is>
      </c>
      <c r="J4" s="647" t="n">
        <v>45625</v>
      </c>
      <c r="K4" s="351" t="n"/>
      <c r="L4" s="351" t="n"/>
      <c r="M4" s="351" t="n"/>
    </row>
    <row r="5" ht="12.75" customHeight="1">
      <c r="A5" s="340" t="n"/>
      <c r="B5" s="646" t="n"/>
      <c r="C5" s="483" t="n"/>
      <c r="D5" s="351" t="n"/>
      <c r="E5" s="351" t="n"/>
      <c r="F5" s="351" t="n"/>
      <c r="G5" s="340" t="n"/>
      <c r="I5" s="646" t="n"/>
      <c r="J5" s="483" t="n"/>
      <c r="K5" s="351" t="n"/>
      <c r="L5" s="351" t="n"/>
      <c r="M5" s="351" t="n"/>
    </row>
    <row r="6" ht="12.75" customHeight="1">
      <c r="A6" s="340" t="n"/>
      <c r="B6" s="645" t="inlineStr">
        <is>
          <t>1-Calcular la Incertidumbre estandar CONTENIDO HUMEDAD</t>
        </is>
      </c>
      <c r="C6" s="351" t="n"/>
      <c r="D6" s="351" t="n"/>
      <c r="E6" s="645" t="n"/>
      <c r="F6" s="351" t="n"/>
      <c r="G6" s="340" t="n"/>
      <c r="I6" s="645" t="inlineStr">
        <is>
          <t>1-Calcular la Incertidumbre estandar CONTENIDO HUMEDAD</t>
        </is>
      </c>
      <c r="J6" s="351" t="n"/>
      <c r="K6" s="351" t="n"/>
      <c r="L6" s="645" t="n"/>
      <c r="M6" s="351" t="n"/>
    </row>
    <row r="7" ht="12.75" customHeight="1">
      <c r="B7" s="648" t="inlineStr">
        <is>
          <t>analista(p=2)</t>
        </is>
      </c>
      <c r="C7" s="649" t="inlineStr">
        <is>
          <t>DEY-G</t>
        </is>
      </c>
      <c r="D7" s="449" t="n"/>
      <c r="E7" s="449" t="inlineStr">
        <is>
          <t>DEY-F</t>
        </is>
      </c>
      <c r="F7" s="449" t="n"/>
      <c r="I7" s="648" t="inlineStr">
        <is>
          <t>analista(p=2)</t>
        </is>
      </c>
      <c r="J7" s="649" t="inlineStr">
        <is>
          <t>DEY-CH</t>
        </is>
      </c>
      <c r="K7" s="449" t="n"/>
      <c r="L7" s="449" t="inlineStr">
        <is>
          <t>DEY-SC</t>
        </is>
      </c>
      <c r="M7" s="449" t="n"/>
    </row>
    <row r="8" ht="12.75" customHeight="1">
      <c r="B8" s="973" t="inlineStr">
        <is>
          <t>Réplicas de medición (n=9)</t>
        </is>
      </c>
      <c r="C8" s="371" t="n">
        <v>40.95</v>
      </c>
      <c r="D8" s="371" t="n"/>
      <c r="E8" s="371" t="n">
        <v>12.92</v>
      </c>
      <c r="F8" s="371" t="n"/>
      <c r="I8" s="973" t="inlineStr">
        <is>
          <t>Réplicas de medición (n=9)</t>
        </is>
      </c>
      <c r="J8" s="371" t="n">
        <v>22.3</v>
      </c>
      <c r="K8" s="371" t="n"/>
      <c r="L8" s="371" t="n">
        <v>7.6</v>
      </c>
      <c r="M8" s="371" t="n"/>
    </row>
    <row r="9" ht="12.75" customHeight="1">
      <c r="B9" s="850" t="n"/>
      <c r="C9" s="371" t="n">
        <v>41.17</v>
      </c>
      <c r="D9" s="371" t="n"/>
      <c r="E9" s="371" t="n">
        <v>13.74</v>
      </c>
      <c r="F9" s="371" t="n"/>
      <c r="I9" s="850" t="n"/>
      <c r="J9" s="371" t="n">
        <v>22.3</v>
      </c>
      <c r="K9" s="371" t="n"/>
      <c r="L9" s="371" t="n">
        <v>7.8</v>
      </c>
      <c r="M9" s="371" t="n"/>
    </row>
    <row r="10" ht="12.75" customHeight="1">
      <c r="B10" s="850" t="n"/>
      <c r="C10" s="371" t="n">
        <v>39.67</v>
      </c>
      <c r="D10" s="371" t="n"/>
      <c r="E10" s="371" t="n">
        <v>13.68</v>
      </c>
      <c r="F10" s="371" t="n"/>
      <c r="I10" s="850" t="n"/>
      <c r="J10" s="371" t="n">
        <v>22.9</v>
      </c>
      <c r="K10" s="371" t="n"/>
      <c r="L10" s="371" t="n">
        <v>7.7</v>
      </c>
      <c r="M10" s="371" t="n"/>
    </row>
    <row r="11" ht="12.75" customHeight="1">
      <c r="B11" s="850" t="n"/>
      <c r="C11" s="484" t="n">
        <v>38.6</v>
      </c>
      <c r="D11" s="484" t="n"/>
      <c r="E11" s="484" t="n">
        <v>12.95</v>
      </c>
      <c r="F11" s="484" t="n"/>
      <c r="I11" s="850" t="n"/>
      <c r="J11" s="484" t="n">
        <v>22.2</v>
      </c>
      <c r="K11" s="484" t="n"/>
      <c r="L11" s="484" t="n">
        <v>7.6</v>
      </c>
      <c r="M11" s="484" t="n"/>
    </row>
    <row r="12" ht="12.75" customHeight="1">
      <c r="B12" s="850" t="n"/>
      <c r="C12" s="484" t="n">
        <v>38.9</v>
      </c>
      <c r="D12" s="484" t="n"/>
      <c r="E12" s="484" t="n">
        <v>12.73</v>
      </c>
      <c r="F12" s="484" t="n"/>
      <c r="I12" s="850" t="n"/>
      <c r="J12" s="484" t="n">
        <v>22.6</v>
      </c>
      <c r="K12" s="484" t="n"/>
      <c r="L12" s="484" t="n">
        <v>7.5</v>
      </c>
      <c r="M12" s="484" t="n"/>
    </row>
    <row r="13" ht="12.75" customHeight="1">
      <c r="B13" s="850" t="n"/>
      <c r="C13" s="484" t="n">
        <v>38.91</v>
      </c>
      <c r="D13" s="484" t="n"/>
      <c r="E13" s="484" t="n">
        <v>13.52</v>
      </c>
      <c r="F13" s="484" t="n"/>
      <c r="I13" s="850" t="n"/>
      <c r="J13" s="484" t="n">
        <v>22.4</v>
      </c>
      <c r="K13" s="484" t="n"/>
      <c r="L13" s="484" t="n">
        <v>7.8</v>
      </c>
      <c r="M13" s="484" t="n"/>
    </row>
    <row r="14" ht="12.75" customHeight="1">
      <c r="B14" s="850" t="n"/>
      <c r="C14" s="649" t="n"/>
      <c r="D14" s="649" t="n"/>
      <c r="E14" s="650" t="n"/>
      <c r="F14" s="650" t="n"/>
      <c r="I14" s="850" t="n"/>
      <c r="J14" s="649" t="n"/>
      <c r="K14" s="649" t="n"/>
      <c r="L14" s="650" t="n"/>
      <c r="M14" s="650" t="n"/>
    </row>
    <row r="15" ht="12.75" customHeight="1">
      <c r="B15" s="850" t="n"/>
      <c r="C15" s="649" t="n"/>
      <c r="D15" s="649" t="n"/>
      <c r="E15" s="650" t="n"/>
      <c r="F15" s="650" t="n"/>
      <c r="I15" s="850" t="n"/>
      <c r="J15" s="649" t="n"/>
      <c r="K15" s="649" t="n"/>
      <c r="L15" s="650" t="n"/>
      <c r="M15" s="650" t="n"/>
    </row>
    <row r="16" ht="12.75" customHeight="1">
      <c r="B16" s="850" t="n"/>
      <c r="C16" s="649" t="n"/>
      <c r="D16" s="649" t="n"/>
      <c r="E16" s="650" t="n"/>
      <c r="F16" s="650" t="n"/>
      <c r="I16" s="850" t="n"/>
      <c r="J16" s="649" t="n"/>
      <c r="K16" s="649" t="n"/>
      <c r="L16" s="650" t="n"/>
      <c r="M16" s="650" t="n"/>
    </row>
    <row r="17" ht="12.75" customHeight="1">
      <c r="B17" s="850" t="n"/>
      <c r="C17" s="651" t="n"/>
      <c r="D17" s="649" t="n"/>
      <c r="E17" s="650" t="n"/>
      <c r="F17" s="650" t="n"/>
      <c r="I17" s="850" t="n"/>
      <c r="J17" s="651" t="n"/>
      <c r="K17" s="649" t="n"/>
      <c r="L17" s="650" t="n"/>
      <c r="M17" s="650" t="n"/>
    </row>
    <row r="18" ht="12.75" customHeight="1">
      <c r="B18" s="850" t="n"/>
      <c r="C18" s="651" t="n"/>
      <c r="D18" s="649" t="n"/>
      <c r="E18" s="650" t="n"/>
      <c r="F18" s="650" t="n"/>
      <c r="I18" s="850" t="n"/>
      <c r="J18" s="651" t="n"/>
      <c r="K18" s="649" t="n"/>
      <c r="L18" s="650" t="n"/>
      <c r="M18" s="650" t="n"/>
    </row>
    <row r="19" ht="12.75" customHeight="1">
      <c r="B19" s="843" t="n"/>
      <c r="C19" s="651" t="n"/>
      <c r="D19" s="649" t="n"/>
      <c r="E19" s="650" t="n"/>
      <c r="F19" s="650" t="n"/>
      <c r="I19" s="843" t="n"/>
      <c r="J19" s="651" t="n"/>
      <c r="K19" s="649" t="n"/>
      <c r="L19" s="650" t="n"/>
      <c r="M19" s="650" t="n"/>
    </row>
    <row r="20" ht="21.75" customHeight="1">
      <c r="B20" s="485" t="inlineStr">
        <is>
          <t>n</t>
        </is>
      </c>
      <c r="C20" s="486">
        <f>COUNT(C8:C19)</f>
        <v/>
      </c>
      <c r="D20" s="652" t="n"/>
      <c r="E20" s="653" t="n"/>
      <c r="F20" s="654" t="n"/>
      <c r="I20" s="485" t="inlineStr">
        <is>
          <t>n</t>
        </is>
      </c>
      <c r="J20" s="486">
        <f>COUNT(J8:J19)</f>
        <v/>
      </c>
      <c r="K20" s="652" t="n"/>
      <c r="L20" s="653" t="n"/>
      <c r="M20" s="654" t="n"/>
    </row>
    <row r="21" ht="21.75" customHeight="1">
      <c r="B21" s="485" t="inlineStr">
        <is>
          <t>p</t>
        </is>
      </c>
      <c r="C21" s="485">
        <f>COUNTA(C7:F7)</f>
        <v/>
      </c>
      <c r="D21" s="652" t="n"/>
      <c r="E21" s="653" t="n"/>
      <c r="F21" s="654" t="n"/>
      <c r="I21" s="485" t="inlineStr">
        <is>
          <t>p</t>
        </is>
      </c>
      <c r="J21" s="485">
        <f>COUNTA(J7:M7)</f>
        <v/>
      </c>
      <c r="K21" s="652" t="n"/>
      <c r="L21" s="653" t="n"/>
      <c r="M21" s="654" t="n"/>
    </row>
    <row r="22" ht="21.75" customHeight="1">
      <c r="B22" s="487" t="n"/>
      <c r="C22" s="425" t="n"/>
      <c r="D22" s="425" t="n"/>
      <c r="E22" s="488" t="n"/>
      <c r="F22" s="654" t="n"/>
      <c r="I22" s="487" t="n"/>
      <c r="J22" s="425" t="n"/>
      <c r="K22" s="425" t="n"/>
      <c r="L22" s="488" t="n"/>
      <c r="M22" s="654" t="n"/>
    </row>
    <row r="23" ht="12.75" customHeight="1">
      <c r="B23" s="489" t="inlineStr">
        <is>
          <t>No Datos</t>
        </is>
      </c>
      <c r="C23" s="458">
        <f>COUNT(C8:C19)</f>
        <v/>
      </c>
      <c r="D23" s="458">
        <f>COUNT(D8:D19)</f>
        <v/>
      </c>
      <c r="E23" s="458">
        <f>COUNT(E8:E19)</f>
        <v/>
      </c>
      <c r="F23" s="458">
        <f>COUNT(F8:F19)</f>
        <v/>
      </c>
      <c r="I23" s="489" t="inlineStr">
        <is>
          <t>No Datos</t>
        </is>
      </c>
      <c r="J23" s="458">
        <f>COUNT(J8:J19)</f>
        <v/>
      </c>
      <c r="K23" s="458">
        <f>COUNT(K8:K19)</f>
        <v/>
      </c>
      <c r="L23" s="458">
        <f>COUNT(L8:L19)</f>
        <v/>
      </c>
      <c r="M23" s="458">
        <f>COUNT(M8:M19)</f>
        <v/>
      </c>
    </row>
    <row r="24" ht="12.75" customHeight="1">
      <c r="B24" s="489" t="inlineStr">
        <is>
          <t>Promedio (xi)</t>
        </is>
      </c>
      <c r="C24" s="490">
        <f>AVERAGE(C8:C19)</f>
        <v/>
      </c>
      <c r="D24" s="490" t="n"/>
      <c r="E24" s="490">
        <f>AVERAGE(E8:E19)</f>
        <v/>
      </c>
      <c r="F24" s="490" t="n"/>
      <c r="I24" s="489" t="inlineStr">
        <is>
          <t>Promedio (xi)</t>
        </is>
      </c>
      <c r="J24" s="490">
        <f>AVERAGE(J8:J19)</f>
        <v/>
      </c>
      <c r="K24" s="490" t="n"/>
      <c r="L24" s="490">
        <f>AVERAGE(L8:L19)</f>
        <v/>
      </c>
      <c r="M24" s="490" t="n"/>
    </row>
    <row r="25" ht="12.75" customHeight="1">
      <c r="B25" s="489" t="inlineStr">
        <is>
          <t>Desviación Estándar (si)</t>
        </is>
      </c>
      <c r="C25" s="490">
        <f>STDEV(C8:C19)</f>
        <v/>
      </c>
      <c r="D25" s="490" t="n"/>
      <c r="E25" s="490">
        <f>STDEV(E8:E19)</f>
        <v/>
      </c>
      <c r="F25" s="490" t="n"/>
      <c r="I25" s="489" t="inlineStr">
        <is>
          <t>Desviación Estándar (si)</t>
        </is>
      </c>
      <c r="J25" s="490">
        <f>STDEV(J8:J19)</f>
        <v/>
      </c>
      <c r="K25" s="490" t="n"/>
      <c r="L25" s="490">
        <f>STDEV(L8:L19)</f>
        <v/>
      </c>
      <c r="M25" s="490" t="n"/>
    </row>
    <row r="26" ht="12.75" customHeight="1">
      <c r="B26" s="489" t="inlineStr">
        <is>
          <t>Varianza (s2i)</t>
        </is>
      </c>
      <c r="C26" s="490">
        <f>VAR(C8:C19)</f>
        <v/>
      </c>
      <c r="D26" s="490" t="n"/>
      <c r="E26" s="490">
        <f>VAR(E8:E19)</f>
        <v/>
      </c>
      <c r="F26" s="490" t="n"/>
      <c r="I26" s="489" t="inlineStr">
        <is>
          <t>Varianza (s2i)</t>
        </is>
      </c>
      <c r="J26" s="490">
        <f>VAR(J8:J19)</f>
        <v/>
      </c>
      <c r="K26" s="490" t="n"/>
      <c r="L26" s="490">
        <f>VAR(L8:L19)</f>
        <v/>
      </c>
      <c r="M26" s="490" t="n"/>
    </row>
    <row r="27" ht="12.75" customHeight="1">
      <c r="B27" s="655" t="n"/>
      <c r="C27" s="655" t="n"/>
      <c r="D27" s="655" t="n"/>
      <c r="E27" s="655" t="n"/>
      <c r="F27" s="654" t="n"/>
      <c r="I27" s="655" t="n"/>
      <c r="J27" s="655" t="n"/>
      <c r="K27" s="655" t="n"/>
      <c r="L27" s="655" t="n"/>
      <c r="M27" s="654" t="n"/>
    </row>
    <row r="28" ht="12.75" customHeight="1">
      <c r="B28" s="656" t="inlineStr">
        <is>
          <t>T1</t>
        </is>
      </c>
      <c r="C28" s="971">
        <f>+C23*C24+D23*D24+E23*E24+F23*F24</f>
        <v/>
      </c>
      <c r="D28" s="810" t="n"/>
      <c r="E28" s="811" t="n"/>
      <c r="F28" s="654" t="n"/>
      <c r="I28" s="656" t="inlineStr">
        <is>
          <t>T1</t>
        </is>
      </c>
      <c r="J28" s="971">
        <f>+J23*J24+K23*K24+L23*L24+M23*M24</f>
        <v/>
      </c>
      <c r="K28" s="810" t="n"/>
      <c r="L28" s="811" t="n"/>
      <c r="M28" s="654" t="n"/>
    </row>
    <row r="29" ht="12.75" customHeight="1">
      <c r="B29" s="656" t="inlineStr">
        <is>
          <t>T2</t>
        </is>
      </c>
      <c r="C29" s="968">
        <f>+C23*POWER(C24,2)+D23*POWER(D24,2)+E23*POWER(E24,2)+F23*POWER(F24,2)</f>
        <v/>
      </c>
      <c r="D29" s="810" t="n"/>
      <c r="E29" s="811" t="n"/>
      <c r="F29" s="654" t="n"/>
      <c r="I29" s="656" t="inlineStr">
        <is>
          <t>T2</t>
        </is>
      </c>
      <c r="J29" s="968">
        <f>+J23*POWER(J24,2)+K23*POWER(K24,2)+L23*POWER(L24,2)+M23*POWER(M24,2)</f>
        <v/>
      </c>
      <c r="K29" s="810" t="n"/>
      <c r="L29" s="811" t="n"/>
      <c r="M29" s="654" t="n"/>
    </row>
    <row r="30" ht="12.75" customHeight="1">
      <c r="B30" s="656" t="inlineStr">
        <is>
          <t>T3</t>
        </is>
      </c>
      <c r="C30" s="968">
        <f>+SUM(C23:F23)</f>
        <v/>
      </c>
      <c r="D30" s="810" t="n"/>
      <c r="E30" s="811" t="n"/>
      <c r="F30" s="654" t="n"/>
      <c r="I30" s="656" t="inlineStr">
        <is>
          <t>T3</t>
        </is>
      </c>
      <c r="J30" s="968">
        <f>+SUM(J23:M23)</f>
        <v/>
      </c>
      <c r="K30" s="810" t="n"/>
      <c r="L30" s="811" t="n"/>
      <c r="M30" s="654" t="n"/>
    </row>
    <row r="31" ht="12.75" customHeight="1">
      <c r="B31" s="656" t="inlineStr">
        <is>
          <t>T4</t>
        </is>
      </c>
      <c r="C31" s="968">
        <f>+POWER(C23,2)+POWER(D23,2)+POWER(E23,2)+POWER(F23,2)</f>
        <v/>
      </c>
      <c r="D31" s="810" t="n"/>
      <c r="E31" s="811" t="n"/>
      <c r="F31" s="654" t="n"/>
      <c r="I31" s="656" t="inlineStr">
        <is>
          <t>T4</t>
        </is>
      </c>
      <c r="J31" s="968">
        <f>+POWER(J23,2)+POWER(K23,2)+POWER(L23,2)+POWER(M23,2)</f>
        <v/>
      </c>
      <c r="K31" s="810" t="n"/>
      <c r="L31" s="811" t="n"/>
      <c r="M31" s="654" t="n"/>
    </row>
    <row r="32" ht="12.75" customHeight="1">
      <c r="B32" s="656" t="inlineStr">
        <is>
          <t>T5</t>
        </is>
      </c>
      <c r="C32" s="970">
        <f>(C20-1)*SUM(C26:F26)</f>
        <v/>
      </c>
      <c r="D32" s="810" t="n"/>
      <c r="E32" s="811" t="n"/>
      <c r="F32" s="654" t="n"/>
      <c r="I32" s="656" t="inlineStr">
        <is>
          <t>T5</t>
        </is>
      </c>
      <c r="J32" s="970">
        <f>(J20-1)*SUM(J26:M26)</f>
        <v/>
      </c>
      <c r="K32" s="810" t="n"/>
      <c r="L32" s="811" t="n"/>
      <c r="M32" s="654" t="n"/>
    </row>
    <row r="33" ht="12.75" customHeight="1">
      <c r="B33" s="489" t="inlineStr">
        <is>
          <t>Varianza Repetibilidad (Sr2 )</t>
        </is>
      </c>
      <c r="C33" s="972">
        <f>ABS((C32/(C30-C21)))</f>
        <v/>
      </c>
      <c r="D33" s="810" t="n"/>
      <c r="E33" s="811" t="n"/>
      <c r="F33" s="654" t="n"/>
      <c r="I33" s="489" t="inlineStr">
        <is>
          <t>Varianza Repetibilidad (Sr2 )</t>
        </is>
      </c>
      <c r="J33" s="972">
        <f>ABS((J32/(J30-J21)))</f>
        <v/>
      </c>
      <c r="K33" s="810" t="n"/>
      <c r="L33" s="811" t="n"/>
      <c r="M33" s="654" t="n"/>
    </row>
    <row r="34" ht="12.75" customHeight="1">
      <c r="B34" s="489" t="inlineStr">
        <is>
          <t>Varianza entre Laboratorios (SL2)</t>
        </is>
      </c>
      <c r="C34" s="974">
        <f>ABS((((C29*C30-(C28^2))/(C30*(C21-1)))-(C33))*((C30*(C21-1))/((C30^2)-C31)))</f>
        <v/>
      </c>
      <c r="D34" s="810" t="n"/>
      <c r="E34" s="811" t="n"/>
      <c r="F34" s="654" t="n"/>
      <c r="I34" s="489" t="inlineStr">
        <is>
          <t>Varianza entre Laboratorios (SL2)</t>
        </is>
      </c>
      <c r="J34" s="974">
        <f>ABS((((J29*J30-(J28^2))/(J30*(J21-1)))-(J33))*((J30*(J21-1))/((J30^2)-J31)))</f>
        <v/>
      </c>
      <c r="K34" s="810" t="n"/>
      <c r="L34" s="811" t="n"/>
      <c r="M34" s="654" t="n"/>
    </row>
    <row r="35" ht="12.75" customHeight="1">
      <c r="B35" s="489" t="inlineStr">
        <is>
          <t>Varianza Reproducibilidad (SR2)</t>
        </is>
      </c>
      <c r="C35" s="969">
        <f>(C33+C34)/1000000</f>
        <v/>
      </c>
      <c r="D35" s="810" t="n"/>
      <c r="E35" s="811" t="n"/>
      <c r="F35" s="654" t="n"/>
      <c r="I35" s="489" t="inlineStr">
        <is>
          <t>Varianza Reproducibilidad (SR2)</t>
        </is>
      </c>
      <c r="J35" s="969">
        <f>(J33+J34)/1000000</f>
        <v/>
      </c>
      <c r="K35" s="810" t="n"/>
      <c r="L35" s="811" t="n"/>
      <c r="M35" s="654" t="n"/>
    </row>
    <row r="36" ht="12.75" customHeight="1">
      <c r="B36" s="489" t="inlineStr">
        <is>
          <t>Desviacion Estándar Repetibilidad (Sr)</t>
        </is>
      </c>
      <c r="C36" s="969">
        <f>SQRT(C33)</f>
        <v/>
      </c>
      <c r="D36" s="810" t="n"/>
      <c r="E36" s="811" t="n"/>
      <c r="F36" s="654" t="n"/>
      <c r="I36" s="489" t="inlineStr">
        <is>
          <t>Desviacion Estándar Repetibilidad (Sr)</t>
        </is>
      </c>
      <c r="J36" s="969">
        <f>SQRT(J33)</f>
        <v/>
      </c>
      <c r="K36" s="810" t="n"/>
      <c r="L36" s="811" t="n"/>
      <c r="M36" s="654" t="n"/>
    </row>
    <row r="37" ht="12.75" customHeight="1">
      <c r="B37" s="489" t="inlineStr">
        <is>
          <t>Desviacion Estándar Reproducibilidad (SR)</t>
        </is>
      </c>
      <c r="C37" s="969">
        <f>+SQRT(C33+C34)</f>
        <v/>
      </c>
      <c r="D37" s="810" t="n"/>
      <c r="E37" s="811" t="n"/>
      <c r="F37" s="654" t="n"/>
      <c r="I37" s="489" t="inlineStr">
        <is>
          <t>Desviacion Estándar Reproducibilidad (SR)</t>
        </is>
      </c>
      <c r="J37" s="969">
        <f>+SQRT(J33+J34)</f>
        <v/>
      </c>
      <c r="K37" s="810" t="n"/>
      <c r="L37" s="811" t="n"/>
      <c r="M37" s="654" t="n"/>
    </row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YXD9G6D2O3dlstjdnZIH9g==" formatRows="1" sort="1" spinCount="100000" hashValue="Umv8UEqzAZgK0xxb86rngF0vAVMs4IOyZjIF8AllMquYYUpeJEroDCbfiBdq6wTDMu9ghALiNaicaOW9dKcmhA=="/>
  <mergeCells count="22">
    <mergeCell ref="C29:E29"/>
    <mergeCell ref="C31:E31"/>
    <mergeCell ref="J36:L36"/>
    <mergeCell ref="J35:L35"/>
    <mergeCell ref="C36:E36"/>
    <mergeCell ref="J32:L32"/>
    <mergeCell ref="J31:L31"/>
    <mergeCell ref="C32:E32"/>
    <mergeCell ref="J33:L33"/>
    <mergeCell ref="C28:E28"/>
    <mergeCell ref="C37:E37"/>
    <mergeCell ref="B8:B19"/>
    <mergeCell ref="C30:E30"/>
    <mergeCell ref="C34:E34"/>
    <mergeCell ref="J29:L29"/>
    <mergeCell ref="C33:E33"/>
    <mergeCell ref="J28:L28"/>
    <mergeCell ref="J37:L37"/>
    <mergeCell ref="I8:I19"/>
    <mergeCell ref="J34:L34"/>
    <mergeCell ref="C35:E35"/>
    <mergeCell ref="J30:L30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A46"/>
  <sheetViews>
    <sheetView workbookViewId="0">
      <selection activeCell="A1" sqref="A1"/>
    </sheetView>
  </sheetViews>
  <sheetFormatPr baseColWidth="10" defaultColWidth="8.88671875" defaultRowHeight="13.2"/>
  <sheetData>
    <row r="1">
      <c r="A1" t="n">
        <v>1</v>
      </c>
    </row>
    <row r="2">
      <c r="A2" t="n">
        <v>1</v>
      </c>
    </row>
    <row r="29">
      <c r="S29" t="n">
        <v>3.057248501192761</v>
      </c>
      <c r="T29" t="n">
        <v>0</v>
      </c>
      <c r="V29" t="n">
        <v>4.491060450807121</v>
      </c>
      <c r="W29" t="n">
        <v>0</v>
      </c>
      <c r="Z29" t="n">
        <v>0</v>
      </c>
      <c r="AA29" t="n">
        <v>4.491060450807121</v>
      </c>
    </row>
    <row r="30">
      <c r="S30" t="n">
        <v>3.057248501192761</v>
      </c>
      <c r="T30" t="n">
        <v>1.932</v>
      </c>
      <c r="V30" t="n">
        <v>4.491060450807121</v>
      </c>
      <c r="W30" t="n">
        <v>1.932</v>
      </c>
      <c r="Z30" t="n">
        <v>1.932</v>
      </c>
      <c r="AA30" t="n">
        <v>1.932</v>
      </c>
    </row>
    <row r="32">
      <c r="S32" t="n">
        <v>2.983590648201544</v>
      </c>
      <c r="T32" t="n">
        <v>0</v>
      </c>
      <c r="V32" t="n">
        <v>4.098210067927551</v>
      </c>
      <c r="W32" t="n">
        <v>0</v>
      </c>
      <c r="Z32" t="n">
        <v>0</v>
      </c>
      <c r="AA32" t="n">
        <v>4.098210067927551</v>
      </c>
    </row>
    <row r="33">
      <c r="S33" t="n">
        <v>2.983590648201544</v>
      </c>
      <c r="T33" t="n">
        <v>1.8354</v>
      </c>
      <c r="V33" t="n">
        <v>4.098210067927551</v>
      </c>
      <c r="W33" t="n">
        <v>1.8354</v>
      </c>
      <c r="Z33" t="n">
        <v>1.8354</v>
      </c>
      <c r="AA33" t="n">
        <v>1.8354</v>
      </c>
    </row>
    <row r="41">
      <c r="J41" t="n">
        <v>0</v>
      </c>
      <c r="K41" t="n">
        <v>2.983590648201544</v>
      </c>
    </row>
    <row r="43">
      <c r="J43" t="n">
        <v>1.8354</v>
      </c>
      <c r="K43" t="n">
        <v>1.8354</v>
      </c>
    </row>
    <row r="44">
      <c r="J44" t="n">
        <v>0</v>
      </c>
      <c r="K44" t="n">
        <v>0</v>
      </c>
    </row>
    <row r="46">
      <c r="J46" t="n">
        <v>1.7388</v>
      </c>
      <c r="K46" t="n">
        <v>1.7388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FABIAN</dc:creator>
  <dcterms:created xmlns:dcterms="http://purl.org/dc/terms/" xmlns:xsi="http://www.w3.org/2001/XMLSchema-instance" xsi:type="dcterms:W3CDTF">2001-07-17T22:05:44Z</dcterms:created>
  <dcterms:modified xmlns:dcterms="http://purl.org/dc/terms/" xmlns:xsi="http://www.w3.org/2001/XMLSchema-instance" xsi:type="dcterms:W3CDTF">2026-05-25T13:50:19Z</dcterms:modified>
  <cp:lastModifiedBy>kevin skibidi</cp:lastModifiedBy>
  <cp:lastPrinted>2026-05-12T20:20:41Z</cp:lastPrinted>
</cp:coreProperties>
</file>