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1.bin" ContentType="application/vnd.openxmlformats-officedocument.oleObject"/>
  <Override PartName="/xl/drawings/drawing11.xml" ContentType="application/vnd.openxmlformats-officedocument.drawing+xml"/>
  <Override PartName="/xl/embeddings/oleObject2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922821DD-BFD2-4522-9A4C-11626B890DFC}" xr6:coauthVersionLast="47" xr6:coauthVersionMax="47" xr10:uidLastSave="{00000000-0000-0000-0000-000000000000}"/>
  <bookViews>
    <workbookView xWindow="-108" yWindow="-108" windowWidth="23256" windowHeight="12456" tabRatio="635" firstSheet="15" activeTab="15" xr2:uid="{84B08A21-E3E9-471E-BCEE-1FBDE82AB453}"/>
  </bookViews>
  <sheets>
    <sheet name="-------" sheetId="1" state="veryHidden" r:id="rId1"/>
    <sheet name="Gran-LLyLP" sheetId="8" state="hidden" r:id="rId2"/>
    <sheet name="Proctor" sheetId="5" state="hidden" r:id="rId3"/>
    <sheet name="Datos" sheetId="2" state="hidden" r:id="rId4"/>
    <sheet name="Grafico CBR" sheetId="4" state="hidden" r:id="rId5"/>
    <sheet name="Apoyo" sheetId="3" state="hidden" r:id="rId6"/>
    <sheet name="E_A" sheetId="23" state="hidden" r:id="rId7"/>
    <sheet name="ABRASION" sheetId="24" state="hidden" r:id="rId8"/>
    <sheet name="G_E" sheetId="20" state="hidden" r:id="rId9"/>
    <sheet name="Sucs" sheetId="6" state="hidden" r:id="rId10"/>
    <sheet name="Aashto" sheetId="7" state="hidden" r:id="rId11"/>
    <sheet name="Apoyo 2" sheetId="9" state="hidden" r:id="rId12"/>
    <sheet name="Sedimentación" sheetId="19" state="hidden" r:id="rId13"/>
    <sheet name="H.N" sheetId="16" state="hidden" r:id="rId14"/>
    <sheet name="Chatas y Alarga." sheetId="14" state="hidden" r:id="rId15"/>
    <sheet name="Caras Fracturadas" sheetId="13" r:id="rId16"/>
    <sheet name="% que pasa # 200" sheetId="15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CC2">[1]Sucs!$L$6</definedName>
    <definedName name="_xlnm.Print_Area" localSheetId="16">'% que pasa # 200'!$A$1:$H$60</definedName>
    <definedName name="_xlnm.Print_Area" localSheetId="10">Aashto!$A$1:$O$47</definedName>
    <definedName name="_xlnm.Print_Area" localSheetId="7">ABRASION!$A$1:$H$45</definedName>
    <definedName name="_xlnm.Print_Area" localSheetId="15">'Caras Fracturadas'!$A$1:$H$68</definedName>
    <definedName name="_xlnm.Print_Area" localSheetId="14">'Chatas y Alarga.'!$B$1:$L$58</definedName>
    <definedName name="_xlnm.Print_Area" localSheetId="3">Datos!$A$1:$O$52</definedName>
    <definedName name="_xlnm.Print_Area" localSheetId="6">E_A!$A$1:$L$47</definedName>
    <definedName name="_xlnm.Print_Area" localSheetId="8">G_E!$A$1:$I$62</definedName>
    <definedName name="_xlnm.Print_Area" localSheetId="4">'Grafico CBR'!$A$1:$Q$56</definedName>
    <definedName name="_xlnm.Print_Area" localSheetId="1">'Gran-LLyLP'!$A$1:$O$77</definedName>
    <definedName name="_xlnm.Print_Area" localSheetId="13">H.N!$A$1:$D$57</definedName>
    <definedName name="_xlnm.Print_Area" localSheetId="2">Proctor!$A$1:$G$65</definedName>
    <definedName name="_xlnm.Print_Area" localSheetId="12">Sedimentación!$A$1:$O$40</definedName>
    <definedName name="CC" localSheetId="7">[2]Sucs!$L$6</definedName>
    <definedName name="CC">Sucs!$L$6</definedName>
    <definedName name="CM">[3]BGA!$H$9</definedName>
    <definedName name="CU" localSheetId="7">[2]Sucs!$L$5</definedName>
    <definedName name="CU">Sucs!$L$5</definedName>
    <definedName name="IP" localSheetId="7">[2]Sucs!$L$4</definedName>
    <definedName name="IP">Sucs!$L$4</definedName>
    <definedName name="Ll" localSheetId="7">[2]Sucs!$L$3</definedName>
    <definedName name="Ll">Sucs!$L$3</definedName>
    <definedName name="MORA">[3]BGA!$H$13</definedName>
    <definedName name="N_10" localSheetId="7">[2]Sucs!$C$5</definedName>
    <definedName name="N_10">Sucs!$C$5</definedName>
    <definedName name="N_200" localSheetId="7">[2]Sucs!$C$3</definedName>
    <definedName name="N_200">Sucs!$C$3</definedName>
    <definedName name="N_40" localSheetId="7">[2]Sucs!$C$4</definedName>
    <definedName name="N_40">Sucs!$C$4</definedName>
    <definedName name="TABLA" localSheetId="7">#REF!</definedName>
    <definedName name="TABLA" localSheetId="6">#REF!</definedName>
    <definedName name="TABLA" localSheetId="8">#REF!</definedName>
    <definedName name="TABL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3" l="1"/>
  <c r="F54" i="13"/>
  <c r="E54" i="13"/>
  <c r="F53" i="13"/>
  <c r="E53" i="13"/>
  <c r="G46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G32" i="13"/>
  <c r="F32" i="13"/>
  <c r="E32" i="13"/>
  <c r="F31" i="13"/>
  <c r="E31" i="13"/>
  <c r="B9" i="14" l="1"/>
  <c r="O11" i="4"/>
  <c r="K31" i="2"/>
  <c r="G14" i="2"/>
  <c r="G14" i="4"/>
  <c r="G13" i="2"/>
  <c r="N34" i="4"/>
  <c r="N35" i="4"/>
  <c r="O10" i="4"/>
  <c r="O9" i="4"/>
  <c r="D12" i="4"/>
  <c r="D11" i="4"/>
  <c r="D10" i="4"/>
  <c r="D9" i="4"/>
  <c r="D8" i="4"/>
  <c r="D25" i="24"/>
  <c r="D27" i="24"/>
  <c r="D30" i="24"/>
  <c r="H12" i="24"/>
  <c r="E25" i="24"/>
  <c r="E30" i="24"/>
  <c r="O8" i="4"/>
  <c r="K12" i="23"/>
  <c r="H13" i="20"/>
  <c r="H12" i="20"/>
  <c r="C11" i="5"/>
  <c r="E40" i="20"/>
  <c r="H24" i="23"/>
  <c r="G24" i="23"/>
  <c r="F24" i="23"/>
  <c r="K24" i="23" s="1"/>
  <c r="F24" i="5"/>
  <c r="F25" i="5"/>
  <c r="E24" i="5"/>
  <c r="E25" i="5"/>
  <c r="D24" i="5"/>
  <c r="D25" i="5"/>
  <c r="F17" i="23"/>
  <c r="G17" i="23" s="1"/>
  <c r="H17" i="23" s="1"/>
  <c r="G18" i="23"/>
  <c r="G19" i="23"/>
  <c r="G20" i="23"/>
  <c r="G21" i="23"/>
  <c r="H18" i="23"/>
  <c r="H19" i="23"/>
  <c r="H20" i="23"/>
  <c r="H21" i="23"/>
  <c r="F19" i="23"/>
  <c r="F20" i="23"/>
  <c r="F21" i="23"/>
  <c r="G23" i="3"/>
  <c r="G24" i="3"/>
  <c r="F23" i="3"/>
  <c r="B36" i="3"/>
  <c r="E23" i="3"/>
  <c r="E24" i="3"/>
  <c r="N18" i="2"/>
  <c r="N21" i="2"/>
  <c r="D19" i="20"/>
  <c r="D13" i="20"/>
  <c r="D17" i="20"/>
  <c r="R61" i="8"/>
  <c r="R56" i="8"/>
  <c r="R57" i="8"/>
  <c r="H14" i="20"/>
  <c r="E25" i="20"/>
  <c r="E27" i="20"/>
  <c r="F25" i="20"/>
  <c r="F27" i="20"/>
  <c r="E33" i="20"/>
  <c r="F33" i="20"/>
  <c r="I33" i="20" s="1"/>
  <c r="E46" i="20"/>
  <c r="I46" i="20"/>
  <c r="F68" i="2"/>
  <c r="I33" i="2"/>
  <c r="D9" i="3"/>
  <c r="G9" i="3"/>
  <c r="F33" i="5"/>
  <c r="D39" i="5"/>
  <c r="G21" i="2"/>
  <c r="G23" i="2"/>
  <c r="F21" i="2"/>
  <c r="F23" i="2"/>
  <c r="E21" i="2"/>
  <c r="E23" i="2"/>
  <c r="L19" i="2"/>
  <c r="L21" i="2"/>
  <c r="L22" i="2"/>
  <c r="L23" i="2" s="1"/>
  <c r="J29" i="2"/>
  <c r="T28" i="8"/>
  <c r="S29" i="8"/>
  <c r="C41" i="8"/>
  <c r="S27" i="8"/>
  <c r="K32" i="2"/>
  <c r="K33" i="2"/>
  <c r="K34" i="2"/>
  <c r="K35" i="2"/>
  <c r="D29" i="8"/>
  <c r="D24" i="8"/>
  <c r="E24" i="8"/>
  <c r="D25" i="8"/>
  <c r="E25" i="8" s="1"/>
  <c r="D26" i="8"/>
  <c r="D27" i="8"/>
  <c r="D28" i="8"/>
  <c r="D30" i="8"/>
  <c r="D31" i="8"/>
  <c r="D32" i="8"/>
  <c r="D15" i="5"/>
  <c r="N35" i="2"/>
  <c r="N36" i="2"/>
  <c r="M35" i="2"/>
  <c r="M36" i="2"/>
  <c r="L35" i="2"/>
  <c r="L36" i="2"/>
  <c r="N34" i="2"/>
  <c r="N33" i="2"/>
  <c r="N32" i="2"/>
  <c r="M34" i="2"/>
  <c r="M33" i="2"/>
  <c r="M32" i="2"/>
  <c r="L34" i="2"/>
  <c r="L33" i="2"/>
  <c r="L32" i="2"/>
  <c r="C10" i="5"/>
  <c r="C9" i="5"/>
  <c r="H18" i="8"/>
  <c r="D26" i="5"/>
  <c r="D27" i="5" s="1"/>
  <c r="E26" i="5"/>
  <c r="F26" i="5"/>
  <c r="F27" i="5" s="1"/>
  <c r="I29" i="19"/>
  <c r="M30" i="2"/>
  <c r="N30" i="2"/>
  <c r="L30" i="2"/>
  <c r="C17" i="5"/>
  <c r="B20" i="16"/>
  <c r="C16" i="5"/>
  <c r="D11" i="19"/>
  <c r="C15" i="5"/>
  <c r="D10" i="19"/>
  <c r="C14" i="5"/>
  <c r="F24" i="19"/>
  <c r="K24" i="19"/>
  <c r="D31" i="19"/>
  <c r="F23" i="19"/>
  <c r="K23" i="19"/>
  <c r="D40" i="5"/>
  <c r="L44" i="8"/>
  <c r="L43" i="8"/>
  <c r="V16" i="8"/>
  <c r="V17" i="8"/>
  <c r="S16" i="8"/>
  <c r="S17" i="8"/>
  <c r="W16" i="8"/>
  <c r="X16" i="8"/>
  <c r="G14" i="9"/>
  <c r="H14" i="9"/>
  <c r="G12" i="9"/>
  <c r="H12" i="9"/>
  <c r="G10" i="9"/>
  <c r="H10" i="9"/>
  <c r="G8" i="9"/>
  <c r="H8" i="9"/>
  <c r="G7" i="9"/>
  <c r="H7" i="9"/>
  <c r="G6" i="9"/>
  <c r="H6" i="9"/>
  <c r="G5" i="9"/>
  <c r="H5" i="9"/>
  <c r="G4" i="9"/>
  <c r="H4" i="9"/>
  <c r="G3" i="9"/>
  <c r="H3" i="9"/>
  <c r="G2" i="9"/>
  <c r="H2" i="9"/>
  <c r="G1" i="9"/>
  <c r="H1" i="9"/>
  <c r="I1" i="9"/>
  <c r="I2" i="9" s="1"/>
  <c r="J2" i="9" s="1"/>
  <c r="J1" i="9"/>
  <c r="G16" i="9"/>
  <c r="H16" i="9"/>
  <c r="G18" i="9"/>
  <c r="H18" i="9"/>
  <c r="G21" i="9"/>
  <c r="H21" i="9"/>
  <c r="G20" i="9"/>
  <c r="H20" i="9"/>
  <c r="G19" i="9"/>
  <c r="H19" i="9"/>
  <c r="S20" i="8"/>
  <c r="C21" i="7"/>
  <c r="D36" i="7"/>
  <c r="C20" i="7"/>
  <c r="D35" i="7"/>
  <c r="G4" i="3"/>
  <c r="F4" i="3"/>
  <c r="E4" i="3"/>
  <c r="X27" i="2"/>
  <c r="R12" i="2"/>
  <c r="X39" i="2"/>
  <c r="X40" i="2"/>
  <c r="X41" i="2"/>
  <c r="W27" i="2"/>
  <c r="W39" i="2"/>
  <c r="W40" i="2"/>
  <c r="W41" i="2"/>
  <c r="V27" i="2"/>
  <c r="V39" i="2"/>
  <c r="V40" i="2"/>
  <c r="V41" i="2"/>
  <c r="U27" i="2"/>
  <c r="U39" i="2"/>
  <c r="U40" i="2"/>
  <c r="U41" i="2"/>
  <c r="T27" i="2"/>
  <c r="T39" i="2"/>
  <c r="T40" i="2"/>
  <c r="T41" i="2"/>
  <c r="S27" i="2"/>
  <c r="S39" i="2"/>
  <c r="S40" i="2"/>
  <c r="S41" i="2"/>
  <c r="A20" i="16"/>
  <c r="A17" i="5"/>
  <c r="F35" i="5"/>
  <c r="F36" i="5" s="1"/>
  <c r="R62" i="8"/>
  <c r="T57" i="8"/>
  <c r="E4" i="6"/>
  <c r="L6" i="6"/>
  <c r="C6" i="6"/>
  <c r="L4" i="6"/>
  <c r="C5" i="6"/>
  <c r="L3" i="6"/>
  <c r="P24" i="6"/>
  <c r="I31" i="19"/>
  <c r="I30" i="19"/>
  <c r="I28" i="19"/>
  <c r="D12" i="19"/>
  <c r="J20" i="19"/>
  <c r="F17" i="19"/>
  <c r="G17" i="19"/>
  <c r="M17" i="19"/>
  <c r="F18" i="19"/>
  <c r="T18" i="19"/>
  <c r="T19" i="19"/>
  <c r="T20" i="19"/>
  <c r="T21" i="19"/>
  <c r="T22" i="19"/>
  <c r="W18" i="19"/>
  <c r="W19" i="19"/>
  <c r="W20" i="19"/>
  <c r="W21" i="19"/>
  <c r="W22" i="19"/>
  <c r="W23" i="19"/>
  <c r="W24" i="19"/>
  <c r="W25" i="19"/>
  <c r="V18" i="19"/>
  <c r="V19" i="19"/>
  <c r="V20" i="19"/>
  <c r="V21" i="19"/>
  <c r="V22" i="19"/>
  <c r="V23" i="19"/>
  <c r="V24" i="19"/>
  <c r="V25" i="19"/>
  <c r="U18" i="19"/>
  <c r="U19" i="19"/>
  <c r="U20" i="19"/>
  <c r="U21" i="19"/>
  <c r="U22" i="19"/>
  <c r="U23" i="19"/>
  <c r="U24" i="19"/>
  <c r="U25" i="19"/>
  <c r="M18" i="19"/>
  <c r="F19" i="19"/>
  <c r="K19" i="19"/>
  <c r="M19" i="19"/>
  <c r="F20" i="19"/>
  <c r="M20" i="19"/>
  <c r="F21" i="19"/>
  <c r="K21" i="19"/>
  <c r="G21" i="19"/>
  <c r="M21" i="19"/>
  <c r="F22" i="19"/>
  <c r="M22" i="19"/>
  <c r="M23" i="19"/>
  <c r="M24" i="19"/>
  <c r="F25" i="19"/>
  <c r="G25" i="19"/>
  <c r="M25" i="19"/>
  <c r="R53" i="2"/>
  <c r="M23" i="9"/>
  <c r="A67" i="9"/>
  <c r="A68" i="9"/>
  <c r="M24" i="9"/>
  <c r="A70" i="9"/>
  <c r="A71" i="9"/>
  <c r="D24" i="9"/>
  <c r="M25" i="9"/>
  <c r="D25" i="9"/>
  <c r="M26" i="9"/>
  <c r="D26" i="9"/>
  <c r="M27" i="9"/>
  <c r="D27" i="9"/>
  <c r="M28" i="9"/>
  <c r="M29" i="9"/>
  <c r="M30" i="9"/>
  <c r="A88" i="9"/>
  <c r="A89" i="9"/>
  <c r="M22" i="9"/>
  <c r="D22" i="9"/>
  <c r="A64" i="9"/>
  <c r="A65" i="9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G18" i="15"/>
  <c r="F18" i="15"/>
  <c r="C17" i="15"/>
  <c r="C18" i="15"/>
  <c r="C23" i="15"/>
  <c r="C16" i="15"/>
  <c r="A17" i="15"/>
  <c r="A18" i="15"/>
  <c r="A20" i="15"/>
  <c r="A21" i="15"/>
  <c r="A22" i="15"/>
  <c r="A23" i="15"/>
  <c r="A16" i="15"/>
  <c r="F37" i="15"/>
  <c r="E19" i="3"/>
  <c r="E20" i="3"/>
  <c r="G41" i="3"/>
  <c r="F19" i="3"/>
  <c r="F20" i="3"/>
  <c r="G19" i="3"/>
  <c r="G20" i="3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/>
  <c r="A19" i="9"/>
  <c r="A20" i="9"/>
  <c r="A61" i="9"/>
  <c r="A62" i="9"/>
  <c r="A58" i="9"/>
  <c r="A59" i="9"/>
  <c r="A55" i="9"/>
  <c r="A56" i="9"/>
  <c r="A52" i="9"/>
  <c r="A53" i="9"/>
  <c r="A49" i="9"/>
  <c r="A50" i="9"/>
  <c r="A46" i="9"/>
  <c r="A47" i="9"/>
  <c r="A43" i="9"/>
  <c r="A44" i="9"/>
  <c r="A40" i="9"/>
  <c r="A41" i="9"/>
  <c r="A37" i="9"/>
  <c r="A38" i="9"/>
  <c r="A34" i="9"/>
  <c r="A35" i="9"/>
  <c r="A31" i="9"/>
  <c r="A32" i="9"/>
  <c r="A28" i="9"/>
  <c r="A29" i="9"/>
  <c r="A25" i="9"/>
  <c r="A26" i="9"/>
  <c r="A22" i="9"/>
  <c r="A23" i="9"/>
  <c r="A13" i="9"/>
  <c r="A14" i="9"/>
  <c r="A10" i="9"/>
  <c r="A11" i="9"/>
  <c r="A7" i="9"/>
  <c r="A8" i="9"/>
  <c r="A4" i="9"/>
  <c r="A5" i="9"/>
  <c r="A1" i="9"/>
  <c r="A2" i="9"/>
  <c r="C56" i="2"/>
  <c r="D26" i="2"/>
  <c r="B40" i="2"/>
  <c r="B39" i="2"/>
  <c r="B38" i="2"/>
  <c r="B37" i="2"/>
  <c r="B36" i="2"/>
  <c r="B35" i="2"/>
  <c r="B34" i="2"/>
  <c r="B33" i="2"/>
  <c r="B32" i="2"/>
  <c r="B31" i="2"/>
  <c r="B30" i="2"/>
  <c r="B29" i="2"/>
  <c r="R28" i="2"/>
  <c r="R29" i="2"/>
  <c r="R30" i="2"/>
  <c r="R31" i="2"/>
  <c r="R32" i="2"/>
  <c r="R33" i="2"/>
  <c r="R34" i="2"/>
  <c r="R35" i="2"/>
  <c r="R36" i="2"/>
  <c r="R37" i="2"/>
  <c r="R38" i="2"/>
  <c r="E56" i="2"/>
  <c r="H26" i="2"/>
  <c r="D56" i="2"/>
  <c r="F26" i="2"/>
  <c r="S12" i="8"/>
  <c r="S11" i="8"/>
  <c r="S10" i="8"/>
  <c r="R12" i="8"/>
  <c r="R11" i="8"/>
  <c r="R10" i="8"/>
  <c r="C27" i="16"/>
  <c r="C28" i="16"/>
  <c r="C29" i="16"/>
  <c r="B30" i="16"/>
  <c r="A12" i="16"/>
  <c r="B12" i="16"/>
  <c r="A13" i="16"/>
  <c r="B13" i="16"/>
  <c r="A14" i="16"/>
  <c r="B14" i="16"/>
  <c r="A16" i="16"/>
  <c r="A17" i="16"/>
  <c r="B17" i="16"/>
  <c r="A18" i="16"/>
  <c r="A19" i="16"/>
  <c r="B19" i="16"/>
  <c r="A15" i="5"/>
  <c r="A16" i="5"/>
  <c r="C33" i="5"/>
  <c r="C35" i="5"/>
  <c r="C36" i="5" s="1"/>
  <c r="C25" i="5"/>
  <c r="C27" i="5"/>
  <c r="D33" i="5"/>
  <c r="E33" i="5"/>
  <c r="D35" i="5"/>
  <c r="D36" i="5" s="1"/>
  <c r="E35" i="5"/>
  <c r="E36" i="5" s="1"/>
  <c r="J48" i="5"/>
  <c r="A11" i="5"/>
  <c r="A10" i="5"/>
  <c r="A9" i="5"/>
  <c r="I49" i="5"/>
  <c r="M21" i="2"/>
  <c r="E31" i="2"/>
  <c r="B7" i="3"/>
  <c r="E7" i="3"/>
  <c r="G31" i="2"/>
  <c r="C7" i="3"/>
  <c r="F7" i="3"/>
  <c r="G32" i="2"/>
  <c r="C8" i="3"/>
  <c r="F8" i="3"/>
  <c r="E33" i="2"/>
  <c r="B9" i="3"/>
  <c r="E9" i="3"/>
  <c r="M19" i="2"/>
  <c r="M22" i="2"/>
  <c r="M23" i="2"/>
  <c r="S28" i="2"/>
  <c r="R13" i="2"/>
  <c r="D9" i="19"/>
  <c r="I34" i="2"/>
  <c r="D10" i="3"/>
  <c r="G10" i="3"/>
  <c r="G29" i="3"/>
  <c r="C21" i="15"/>
  <c r="B18" i="16"/>
  <c r="C22" i="15"/>
  <c r="V28" i="2"/>
  <c r="J30" i="4"/>
  <c r="F24" i="3"/>
  <c r="A35" i="3"/>
  <c r="E36" i="3"/>
  <c r="H36" i="3"/>
  <c r="H37" i="3"/>
  <c r="G13" i="4"/>
  <c r="D30" i="4"/>
  <c r="O21" i="2"/>
  <c r="S28" i="8"/>
  <c r="S30" i="8"/>
  <c r="D18" i="8"/>
  <c r="E32" i="14"/>
  <c r="K22" i="19"/>
  <c r="A73" i="9"/>
  <c r="A74" i="9"/>
  <c r="A85" i="9"/>
  <c r="A86" i="9"/>
  <c r="D29" i="9"/>
  <c r="K20" i="19"/>
  <c r="T28" i="2"/>
  <c r="J32" i="14"/>
  <c r="J33" i="14"/>
  <c r="G32" i="14"/>
  <c r="G33" i="14"/>
  <c r="J36" i="14" s="1"/>
  <c r="X28" i="2"/>
  <c r="V29" i="2"/>
  <c r="F30" i="20"/>
  <c r="E43" i="20"/>
  <c r="I43" i="20"/>
  <c r="E44" i="20"/>
  <c r="I44" i="20"/>
  <c r="E42" i="20"/>
  <c r="E45" i="20"/>
  <c r="I45" i="20"/>
  <c r="O30" i="4"/>
  <c r="K18" i="19"/>
  <c r="G34" i="2"/>
  <c r="C10" i="3"/>
  <c r="F10" i="3"/>
  <c r="F29" i="3"/>
  <c r="J31" i="4"/>
  <c r="G33" i="2"/>
  <c r="C9" i="3"/>
  <c r="F9" i="3"/>
  <c r="G29" i="2"/>
  <c r="C5" i="3"/>
  <c r="F5" i="3"/>
  <c r="G35" i="2"/>
  <c r="C11" i="3"/>
  <c r="F11" i="3"/>
  <c r="G30" i="2"/>
  <c r="C6" i="3"/>
  <c r="F6" i="3"/>
  <c r="G36" i="2"/>
  <c r="C12" i="3"/>
  <c r="F12" i="3"/>
  <c r="E35" i="2"/>
  <c r="B11" i="3"/>
  <c r="E11" i="3"/>
  <c r="L17" i="19"/>
  <c r="N19" i="2"/>
  <c r="N22" i="2"/>
  <c r="A40" i="3"/>
  <c r="E41" i="3"/>
  <c r="H41" i="3"/>
  <c r="E37" i="3"/>
  <c r="F24" i="8"/>
  <c r="B41" i="3"/>
  <c r="H42" i="3"/>
  <c r="E27" i="5"/>
  <c r="E37" i="5"/>
  <c r="I30" i="2"/>
  <c r="D6" i="3"/>
  <c r="G6" i="3"/>
  <c r="E32" i="2"/>
  <c r="B8" i="3"/>
  <c r="E8" i="3"/>
  <c r="I31" i="2"/>
  <c r="D7" i="3"/>
  <c r="G7" i="3"/>
  <c r="D23" i="9"/>
  <c r="I35" i="2"/>
  <c r="D11" i="3"/>
  <c r="G11" i="3"/>
  <c r="E30" i="2"/>
  <c r="B6" i="3"/>
  <c r="E6" i="3"/>
  <c r="A76" i="9"/>
  <c r="A77" i="9"/>
  <c r="A79" i="9"/>
  <c r="A80" i="9"/>
  <c r="E36" i="2"/>
  <c r="B12" i="3"/>
  <c r="E12" i="3"/>
  <c r="B37" i="3"/>
  <c r="E29" i="2"/>
  <c r="B5" i="3"/>
  <c r="E5" i="3"/>
  <c r="T54" i="8"/>
  <c r="E3" i="6"/>
  <c r="L5" i="6"/>
  <c r="E34" i="2"/>
  <c r="B10" i="3"/>
  <c r="E10" i="3"/>
  <c r="E29" i="3"/>
  <c r="I29" i="2"/>
  <c r="D5" i="3"/>
  <c r="G5" i="3"/>
  <c r="I32" i="2"/>
  <c r="D8" i="3"/>
  <c r="G8" i="3"/>
  <c r="I36" i="2"/>
  <c r="D12" i="3"/>
  <c r="G12" i="3"/>
  <c r="A36" i="3"/>
  <c r="A41" i="3"/>
  <c r="L22" i="19"/>
  <c r="N22" i="19"/>
  <c r="T23" i="19"/>
  <c r="T24" i="19"/>
  <c r="L24" i="19" s="1"/>
  <c r="T25" i="19"/>
  <c r="O31" i="4"/>
  <c r="B42" i="3"/>
  <c r="D31" i="4"/>
  <c r="D40" i="3"/>
  <c r="D41" i="3"/>
  <c r="B40" i="3"/>
  <c r="T29" i="2"/>
  <c r="X29" i="2"/>
  <c r="R14" i="2"/>
  <c r="S29" i="2"/>
  <c r="U29" i="2"/>
  <c r="C37" i="5"/>
  <c r="W28" i="2"/>
  <c r="U28" i="2"/>
  <c r="L20" i="19"/>
  <c r="N20" i="19"/>
  <c r="L18" i="19"/>
  <c r="N18" i="19"/>
  <c r="G18" i="19"/>
  <c r="E26" i="8"/>
  <c r="F25" i="8"/>
  <c r="E29" i="20"/>
  <c r="E32" i="20"/>
  <c r="E30" i="20"/>
  <c r="I30" i="20"/>
  <c r="K25" i="19"/>
  <c r="F29" i="20"/>
  <c r="F32" i="20"/>
  <c r="I32" i="20" s="1"/>
  <c r="F31" i="20"/>
  <c r="F37" i="5"/>
  <c r="D32" i="4"/>
  <c r="M24" i="2"/>
  <c r="I3" i="9"/>
  <c r="J32" i="4"/>
  <c r="N37" i="4" s="1"/>
  <c r="O44" i="8" s="1"/>
  <c r="D28" i="9"/>
  <c r="A82" i="9"/>
  <c r="A83" i="9"/>
  <c r="E31" i="20"/>
  <c r="I31" i="20"/>
  <c r="W29" i="2"/>
  <c r="G20" i="19"/>
  <c r="L19" i="19"/>
  <c r="N19" i="19"/>
  <c r="L21" i="19"/>
  <c r="N21" i="19"/>
  <c r="L23" i="19"/>
  <c r="N23" i="19"/>
  <c r="G22" i="19"/>
  <c r="L25" i="19"/>
  <c r="G24" i="19"/>
  <c r="G23" i="19"/>
  <c r="G19" i="19"/>
  <c r="N23" i="2"/>
  <c r="N24" i="2" s="1"/>
  <c r="D37" i="5"/>
  <c r="E42" i="3"/>
  <c r="D30" i="9"/>
  <c r="B35" i="3"/>
  <c r="D35" i="3"/>
  <c r="D36" i="3"/>
  <c r="K17" i="19"/>
  <c r="N17" i="19" s="1"/>
  <c r="J3" i="9"/>
  <c r="P3" i="9"/>
  <c r="I4" i="9"/>
  <c r="N25" i="19"/>
  <c r="F26" i="8"/>
  <c r="E27" i="8"/>
  <c r="A37" i="3"/>
  <c r="A42" i="3"/>
  <c r="O32" i="4"/>
  <c r="N38" i="4"/>
  <c r="W30" i="2"/>
  <c r="X30" i="2"/>
  <c r="R15" i="2"/>
  <c r="T30" i="2"/>
  <c r="V30" i="2"/>
  <c r="S30" i="2"/>
  <c r="U30" i="2"/>
  <c r="J4" i="9"/>
  <c r="P4" i="9"/>
  <c r="I5" i="9"/>
  <c r="E28" i="8"/>
  <c r="F27" i="8"/>
  <c r="X31" i="2"/>
  <c r="R16" i="2"/>
  <c r="V31" i="2"/>
  <c r="S31" i="2"/>
  <c r="U31" i="2"/>
  <c r="W31" i="2"/>
  <c r="T31" i="2"/>
  <c r="G35" i="3"/>
  <c r="G36" i="3"/>
  <c r="O43" i="8"/>
  <c r="J5" i="9"/>
  <c r="P5" i="9"/>
  <c r="I6" i="9"/>
  <c r="W32" i="2"/>
  <c r="V32" i="2"/>
  <c r="X32" i="2"/>
  <c r="T32" i="2"/>
  <c r="R17" i="2"/>
  <c r="S32" i="2"/>
  <c r="U32" i="2"/>
  <c r="E29" i="8"/>
  <c r="F28" i="8"/>
  <c r="F29" i="8"/>
  <c r="E30" i="8"/>
  <c r="J6" i="9"/>
  <c r="P6" i="9"/>
  <c r="I7" i="9"/>
  <c r="X33" i="2"/>
  <c r="W33" i="2"/>
  <c r="U33" i="2"/>
  <c r="R18" i="2"/>
  <c r="S33" i="2"/>
  <c r="V33" i="2"/>
  <c r="T33" i="2"/>
  <c r="I8" i="9"/>
  <c r="J7" i="9"/>
  <c r="P7" i="9"/>
  <c r="X34" i="2"/>
  <c r="W34" i="2"/>
  <c r="S34" i="2"/>
  <c r="T34" i="2"/>
  <c r="V34" i="2"/>
  <c r="U34" i="2"/>
  <c r="R19" i="2"/>
  <c r="E31" i="8"/>
  <c r="F30" i="8"/>
  <c r="E32" i="8"/>
  <c r="F31" i="8"/>
  <c r="S35" i="2"/>
  <c r="R20" i="2"/>
  <c r="T35" i="2"/>
  <c r="U35" i="2"/>
  <c r="V35" i="2"/>
  <c r="W35" i="2"/>
  <c r="X35" i="2"/>
  <c r="I9" i="9"/>
  <c r="I10" i="9"/>
  <c r="J8" i="9"/>
  <c r="S36" i="2"/>
  <c r="X36" i="2"/>
  <c r="W36" i="2"/>
  <c r="V36" i="2"/>
  <c r="U36" i="2"/>
  <c r="R21" i="2"/>
  <c r="T36" i="2"/>
  <c r="J10" i="9"/>
  <c r="I11" i="9"/>
  <c r="I12" i="9"/>
  <c r="P8" i="9"/>
  <c r="F32" i="8"/>
  <c r="V37" i="2"/>
  <c r="W37" i="2"/>
  <c r="R22" i="2"/>
  <c r="T37" i="2"/>
  <c r="X37" i="2"/>
  <c r="U37" i="2"/>
  <c r="S37" i="2"/>
  <c r="D34" i="8"/>
  <c r="D40" i="8"/>
  <c r="D37" i="8"/>
  <c r="D41" i="8"/>
  <c r="D38" i="8"/>
  <c r="D39" i="8"/>
  <c r="C4" i="6"/>
  <c r="D35" i="8"/>
  <c r="D33" i="8"/>
  <c r="E33" i="8"/>
  <c r="D36" i="8"/>
  <c r="P10" i="9"/>
  <c r="J9" i="9"/>
  <c r="P9" i="9"/>
  <c r="I13" i="9"/>
  <c r="I14" i="9"/>
  <c r="J12" i="9"/>
  <c r="P12" i="9"/>
  <c r="J14" i="9"/>
  <c r="I15" i="9"/>
  <c r="I16" i="9"/>
  <c r="T38" i="2"/>
  <c r="T42" i="2"/>
  <c r="W38" i="2"/>
  <c r="W42" i="2"/>
  <c r="X38" i="2"/>
  <c r="X42" i="2"/>
  <c r="S38" i="2"/>
  <c r="S42" i="2"/>
  <c r="V38" i="2"/>
  <c r="V42" i="2"/>
  <c r="U38" i="2"/>
  <c r="U42" i="2"/>
  <c r="F33" i="8"/>
  <c r="E34" i="8"/>
  <c r="J11" i="9"/>
  <c r="P11" i="9"/>
  <c r="F34" i="8"/>
  <c r="E35" i="8"/>
  <c r="P14" i="9"/>
  <c r="I17" i="9"/>
  <c r="I18" i="9"/>
  <c r="J16" i="9"/>
  <c r="J15" i="9" s="1"/>
  <c r="P15" i="9" s="1"/>
  <c r="D29" i="19"/>
  <c r="C11" i="7"/>
  <c r="J13" i="9"/>
  <c r="P13" i="9"/>
  <c r="J18" i="9"/>
  <c r="P18" i="9"/>
  <c r="I19" i="9"/>
  <c r="J17" i="9"/>
  <c r="P17" i="9"/>
  <c r="P16" i="9"/>
  <c r="E36" i="8"/>
  <c r="F35" i="8"/>
  <c r="H21" i="19"/>
  <c r="I21" i="19"/>
  <c r="H24" i="19"/>
  <c r="I24" i="19"/>
  <c r="H17" i="19"/>
  <c r="I17" i="19"/>
  <c r="H20" i="19"/>
  <c r="I20" i="19"/>
  <c r="H19" i="19"/>
  <c r="I19" i="19"/>
  <c r="O20" i="19"/>
  <c r="H23" i="19"/>
  <c r="I23" i="19"/>
  <c r="H22" i="19"/>
  <c r="I22" i="19"/>
  <c r="O22" i="19" s="1"/>
  <c r="O23" i="19"/>
  <c r="H25" i="19"/>
  <c r="I25" i="19"/>
  <c r="N30" i="19"/>
  <c r="H18" i="19"/>
  <c r="I18" i="19"/>
  <c r="O19" i="19"/>
  <c r="N29" i="19"/>
  <c r="O24" i="19"/>
  <c r="O21" i="19"/>
  <c r="O18" i="19"/>
  <c r="I20" i="9"/>
  <c r="J19" i="9"/>
  <c r="P19" i="9"/>
  <c r="E37" i="8"/>
  <c r="F36" i="8"/>
  <c r="C12" i="7"/>
  <c r="O25" i="19"/>
  <c r="J20" i="9"/>
  <c r="P20" i="9"/>
  <c r="I21" i="9"/>
  <c r="J21" i="9"/>
  <c r="P21" i="9"/>
  <c r="F37" i="8"/>
  <c r="E38" i="8"/>
  <c r="E39" i="8"/>
  <c r="F38" i="8"/>
  <c r="F39" i="8"/>
  <c r="E40" i="8"/>
  <c r="E41" i="8"/>
  <c r="F40" i="8"/>
  <c r="D30" i="19"/>
  <c r="C13" i="7"/>
  <c r="C3" i="6"/>
  <c r="M11" i="6"/>
  <c r="O10" i="6"/>
  <c r="L15" i="6"/>
  <c r="L12" i="6"/>
  <c r="P12" i="6"/>
  <c r="L21" i="6"/>
  <c r="P21" i="6"/>
  <c r="M14" i="6"/>
  <c r="L16" i="6"/>
  <c r="P16" i="6"/>
  <c r="M10" i="6"/>
  <c r="L13" i="6"/>
  <c r="M9" i="6"/>
  <c r="L18" i="6"/>
  <c r="P18" i="6"/>
  <c r="N10" i="6"/>
  <c r="L10" i="6"/>
  <c r="P10" i="6"/>
  <c r="L19" i="6"/>
  <c r="P19" i="6"/>
  <c r="L22" i="6"/>
  <c r="P22" i="6"/>
  <c r="L17" i="6"/>
  <c r="P17" i="6"/>
  <c r="L23" i="6"/>
  <c r="P23" i="6"/>
  <c r="L9" i="6"/>
  <c r="L11" i="6"/>
  <c r="P11" i="6"/>
  <c r="N9" i="6"/>
  <c r="N14" i="6"/>
  <c r="N13" i="6"/>
  <c r="L14" i="6"/>
  <c r="M15" i="6"/>
  <c r="L20" i="6"/>
  <c r="P20" i="6"/>
  <c r="M13" i="6"/>
  <c r="O9" i="6"/>
  <c r="O14" i="6"/>
  <c r="O13" i="6"/>
  <c r="D33" i="7"/>
  <c r="D34" i="7"/>
  <c r="C54" i="19"/>
  <c r="O17" i="19"/>
  <c r="N28" i="19"/>
  <c r="C38" i="7"/>
  <c r="D38" i="7"/>
  <c r="P14" i="6"/>
  <c r="P15" i="6"/>
  <c r="P9" i="6"/>
  <c r="P13" i="6"/>
  <c r="Q9" i="6"/>
  <c r="G4" i="6"/>
  <c r="C23" i="7"/>
  <c r="F38" i="7"/>
  <c r="L29" i="7"/>
  <c r="E29" i="7"/>
  <c r="D29" i="7"/>
  <c r="M29" i="7"/>
  <c r="I29" i="7"/>
  <c r="F29" i="7"/>
  <c r="N29" i="7"/>
  <c r="K29" i="7"/>
  <c r="H29" i="7"/>
  <c r="J29" i="7"/>
  <c r="G29" i="7"/>
  <c r="O29" i="7"/>
  <c r="K30" i="7"/>
  <c r="N30" i="7"/>
  <c r="L30" i="7"/>
  <c r="O30" i="7"/>
  <c r="M30" i="7"/>
  <c r="D30" i="7"/>
  <c r="G30" i="7"/>
  <c r="E30" i="7"/>
  <c r="H30" i="7"/>
  <c r="J30" i="7"/>
  <c r="F30" i="7"/>
  <c r="I30" i="7"/>
  <c r="D31" i="7"/>
  <c r="J26" i="7"/>
  <c r="D44" i="8"/>
  <c r="N24" i="19" l="1"/>
</calcChain>
</file>

<file path=xl/sharedStrings.xml><?xml version="1.0" encoding="utf-8"?>
<sst xmlns="http://schemas.openxmlformats.org/spreadsheetml/2006/main" count="843" uniqueCount="585">
  <si>
    <t xml:space="preserve">                 PROVIAS NACIONAL</t>
  </si>
  <si>
    <t>Análisis Mecánico por Tamizado y Límites de Atterberg</t>
  </si>
  <si>
    <t xml:space="preserve">Prog. </t>
  </si>
  <si>
    <t>Km. 54+710-54+910</t>
  </si>
  <si>
    <t>Hecho por :</t>
  </si>
  <si>
    <t>F.T.V</t>
  </si>
  <si>
    <t>Registro</t>
  </si>
  <si>
    <t>SB - 25</t>
  </si>
  <si>
    <t>M - 1</t>
  </si>
  <si>
    <t>Revisado   :</t>
  </si>
  <si>
    <t>F.K.S</t>
  </si>
  <si>
    <t>Límite Líquido MTC E 110</t>
  </si>
  <si>
    <t>Golp.</t>
  </si>
  <si>
    <t>% Humed</t>
  </si>
  <si>
    <t>Estructura</t>
  </si>
  <si>
    <t>Sub Base Granular</t>
  </si>
  <si>
    <t>Ensayo</t>
  </si>
  <si>
    <t>Fecha</t>
  </si>
  <si>
    <t>Nº de Golpes</t>
  </si>
  <si>
    <t>Lado</t>
  </si>
  <si>
    <t>IZQ - DER</t>
  </si>
  <si>
    <t>Recipiente Nº</t>
  </si>
  <si>
    <t>R + Suelo Hum.</t>
  </si>
  <si>
    <t>Granulometría (MTC E 204)</t>
  </si>
  <si>
    <t>Humedad Natural</t>
  </si>
  <si>
    <t>R + Suelo Seco</t>
  </si>
  <si>
    <t>Datos de ensayo</t>
  </si>
  <si>
    <t>Peso Recip.</t>
  </si>
  <si>
    <t>Peso Total                  :</t>
  </si>
  <si>
    <t>P.M.H. =</t>
  </si>
  <si>
    <t>Peso Agua</t>
  </si>
  <si>
    <t>LL</t>
  </si>
  <si>
    <t>Peso de fracción          :</t>
  </si>
  <si>
    <t>P.M.S. =</t>
  </si>
  <si>
    <t>Peso S. Seco</t>
  </si>
  <si>
    <t>Peso de muestra lavada:</t>
  </si>
  <si>
    <t>% W    =</t>
  </si>
  <si>
    <t>% de Humedad</t>
  </si>
  <si>
    <t>:</t>
  </si>
  <si>
    <t>LP</t>
  </si>
  <si>
    <t>Límite Plástico MTC E 111</t>
  </si>
  <si>
    <t>Malla</t>
  </si>
  <si>
    <t>Peso</t>
  </si>
  <si>
    <t>% Ret</t>
  </si>
  <si>
    <t>% que</t>
  </si>
  <si>
    <t>Especifi-</t>
  </si>
  <si>
    <t>Tamiz</t>
  </si>
  <si>
    <t>mm.</t>
  </si>
  <si>
    <t>(gr)</t>
  </si>
  <si>
    <t>Parcial</t>
  </si>
  <si>
    <t>Acum.</t>
  </si>
  <si>
    <t>Pasa</t>
  </si>
  <si>
    <t>caciones</t>
  </si>
  <si>
    <t>3"</t>
  </si>
  <si>
    <t xml:space="preserve">Gradacion </t>
  </si>
  <si>
    <t>2 1/2"</t>
  </si>
  <si>
    <t>"A"</t>
  </si>
  <si>
    <t>2"</t>
  </si>
  <si>
    <t>1 1/2"</t>
  </si>
  <si>
    <t>1"</t>
  </si>
  <si>
    <t>3/4"</t>
  </si>
  <si>
    <t>1/2"</t>
  </si>
  <si>
    <t>3/8"</t>
  </si>
  <si>
    <t>1/4"</t>
  </si>
  <si>
    <t>No4</t>
  </si>
  <si>
    <t>&lt; 200</t>
  </si>
  <si>
    <t>Clasificación SUCS</t>
  </si>
  <si>
    <t>GW-GM</t>
  </si>
  <si>
    <t>L.L :</t>
  </si>
  <si>
    <t>NP</t>
  </si>
  <si>
    <t>Máx.Dens.Seca  :</t>
  </si>
  <si>
    <t>% C.B.R.al 95 % - 0.1 "</t>
  </si>
  <si>
    <t>Clasificación AASHTO</t>
  </si>
  <si>
    <t>I.P :</t>
  </si>
  <si>
    <t>Humedad Optima</t>
  </si>
  <si>
    <t>% C.B.R.al 100 % - 0.1 "</t>
  </si>
  <si>
    <t>Diametro efectivos</t>
  </si>
  <si>
    <t>D10</t>
  </si>
  <si>
    <t>Cu</t>
  </si>
  <si>
    <t>D30</t>
  </si>
  <si>
    <t>Cc</t>
  </si>
  <si>
    <t>D60</t>
  </si>
  <si>
    <r>
      <t>OBSERVACIONES</t>
    </r>
    <r>
      <rPr>
        <sz val="9"/>
        <rFont val="Times New Roman"/>
        <family val="1"/>
      </rPr>
      <t xml:space="preserve"> :</t>
    </r>
  </si>
  <si>
    <t>CONTRATISTA</t>
  </si>
  <si>
    <t>SUPERVISION</t>
  </si>
  <si>
    <t>----------------------------</t>
  </si>
  <si>
    <t>--------------------------</t>
  </si>
  <si>
    <t xml:space="preserve">      TEC. RESP.</t>
  </si>
  <si>
    <t xml:space="preserve">      ING. RESP.</t>
  </si>
  <si>
    <t xml:space="preserve">      PROVIAS NACIONAL</t>
  </si>
  <si>
    <r>
      <t xml:space="preserve">ENSAYO DE PROCTOR MODIFICADO </t>
    </r>
    <r>
      <rPr>
        <sz val="12"/>
        <rFont val="Times New Roman"/>
        <family val="1"/>
      </rPr>
      <t>( MTC E 115 )</t>
    </r>
  </si>
  <si>
    <t>Datos de muestra</t>
  </si>
  <si>
    <t>Compactación</t>
  </si>
  <si>
    <t>Prueba Nº</t>
  </si>
  <si>
    <t>Número de capas</t>
  </si>
  <si>
    <t>Número de golpes</t>
  </si>
  <si>
    <t>Peso suelo + molde (gr.)</t>
  </si>
  <si>
    <t>Peso molde (gr.)</t>
  </si>
  <si>
    <t>Peso suelo compactado (gr.)</t>
  </si>
  <si>
    <r>
      <t>Volúmen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</si>
  <si>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húmeda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</si>
  <si>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Humedad (%)</t>
  </si>
  <si>
    <t>Tara Nº</t>
  </si>
  <si>
    <t>Tara + suelo húmedo (gr.)</t>
  </si>
  <si>
    <t>Tara + suelo seco (gr.)</t>
  </si>
  <si>
    <t>Peso de agua (gr.)</t>
  </si>
  <si>
    <t>Peso de tara (gr.)</t>
  </si>
  <si>
    <t>Peso de suelo seco (gr.)</t>
  </si>
  <si>
    <r>
      <t>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</si>
  <si>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Máxima Densidad Seca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         :</t>
    </r>
  </si>
  <si>
    <t xml:space="preserve">         </t>
  </si>
  <si>
    <t>Optimo Contenido de Humedad (%)   :</t>
  </si>
  <si>
    <t>-------------------------          -----------------------------</t>
  </si>
  <si>
    <t xml:space="preserve">                               -------------------------          -----------------------------</t>
  </si>
  <si>
    <t xml:space="preserve">    TEC. RESP.</t>
  </si>
  <si>
    <t xml:space="preserve">                ING. RESP.</t>
  </si>
  <si>
    <t xml:space="preserve">                 TEC. RESP.</t>
  </si>
  <si>
    <t xml:space="preserve">             ING. RESP.</t>
  </si>
  <si>
    <r>
      <t xml:space="preserve">Relacion de Soporte de California (C.B.R.)                                                                               </t>
    </r>
    <r>
      <rPr>
        <sz val="14"/>
        <rFont val="Times New Roman"/>
        <family val="1"/>
      </rPr>
      <t>(MTC E 132 / NTP 339.145)</t>
    </r>
    <r>
      <rPr>
        <b/>
        <sz val="14"/>
        <rFont val="Times New Roman"/>
        <family val="1"/>
      </rPr>
      <t xml:space="preserve"> </t>
    </r>
  </si>
  <si>
    <t>Solicitado   :</t>
  </si>
  <si>
    <t>Aldesa Construcciones S.A.</t>
  </si>
  <si>
    <t xml:space="preserve">Certificado N° </t>
  </si>
  <si>
    <t>53-14 / CU-11</t>
  </si>
  <si>
    <t>PESO Y VOLUMEN DE MOLDES</t>
  </si>
  <si>
    <t>Proyecto    :</t>
  </si>
  <si>
    <t>Tunel de Puruchuco</t>
  </si>
  <si>
    <t xml:space="preserve">Ref. Proyecto  </t>
  </si>
  <si>
    <t>ACSA/CTP-14</t>
  </si>
  <si>
    <t>Ubicación   :</t>
  </si>
  <si>
    <t>Av. Javier Prado S/N Alt. Huaca de Puruchuco</t>
  </si>
  <si>
    <t>Fecha Ensayo</t>
  </si>
  <si>
    <t>N°</t>
  </si>
  <si>
    <t>PESO</t>
  </si>
  <si>
    <t>VOLUMEN</t>
  </si>
  <si>
    <t>Cantera      :</t>
  </si>
  <si>
    <t>Cantera Dorita</t>
  </si>
  <si>
    <t xml:space="preserve">Hecho por    </t>
  </si>
  <si>
    <t>Tec. Nelson</t>
  </si>
  <si>
    <t>Material     :</t>
  </si>
  <si>
    <t>Base Granular</t>
  </si>
  <si>
    <r>
      <t>Máxima Densidad Seca (gr/cm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)         </t>
    </r>
  </si>
  <si>
    <t xml:space="preserve">Optimo Contenido de Humedad (%)   </t>
  </si>
  <si>
    <t>Molde Nº</t>
  </si>
  <si>
    <t>Tara+suelo húmedo (gr.)</t>
  </si>
  <si>
    <t>Tara+suelo seco (gr.)</t>
  </si>
  <si>
    <r>
      <t>Volumen del molde (cm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</si>
  <si>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r>
      <t>Densidad humeda (gr/cm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)</t>
    </r>
  </si>
  <si>
    <t>Aplicación de Carga</t>
  </si>
  <si>
    <t>Penetración</t>
  </si>
  <si>
    <t>Presión</t>
  </si>
  <si>
    <t>(Pulg.)</t>
  </si>
  <si>
    <t>(mm.)</t>
  </si>
  <si>
    <t>Patrón</t>
  </si>
  <si>
    <t>Dial</t>
  </si>
  <si>
    <t>Expansión:</t>
  </si>
  <si>
    <r>
      <t>(Kg/cm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)</t>
    </r>
  </si>
  <si>
    <t>Expansión  (Pulg.)</t>
  </si>
  <si>
    <t xml:space="preserve">    INGRESE  AQUÍ</t>
  </si>
  <si>
    <t>% EXP.</t>
  </si>
  <si>
    <t>WEB: www.geofal.com.pe   E-MAIL: geofal.sac@gmail.com / laboratorio@geofal.com.pe</t>
  </si>
  <si>
    <t>Lbs/pul2</t>
  </si>
  <si>
    <t>Kg/cm2</t>
  </si>
  <si>
    <t>Molde</t>
  </si>
  <si>
    <t>Prensa N# 3</t>
  </si>
  <si>
    <t>ECUACIÓN DE ANILLO DE 50 KN.</t>
  </si>
  <si>
    <t>Y= A + B X + C X2</t>
  </si>
  <si>
    <t>A =</t>
  </si>
  <si>
    <t>B =</t>
  </si>
  <si>
    <t>C =</t>
  </si>
  <si>
    <t>X= Lectura del Dial</t>
  </si>
  <si>
    <t>Y= Fuerza Patrón (Kg.)</t>
  </si>
  <si>
    <t>Area de Pistón =</t>
  </si>
  <si>
    <t>cm²</t>
  </si>
  <si>
    <r>
      <t>Relacion de Soporte de California (C.B.R.)                                                                                                    (</t>
    </r>
    <r>
      <rPr>
        <sz val="14"/>
        <rFont val="Times New Roman"/>
        <family val="1"/>
      </rPr>
      <t xml:space="preserve">MTC E 132 / NTP 339.145) </t>
    </r>
  </si>
  <si>
    <t>Solicitado</t>
  </si>
  <si>
    <t>Proyecto</t>
  </si>
  <si>
    <t>Ubicación</t>
  </si>
  <si>
    <t xml:space="preserve">Fecha de ensayo           </t>
  </si>
  <si>
    <t>Calicata      :</t>
  </si>
  <si>
    <t>Profundidad:</t>
  </si>
  <si>
    <t xml:space="preserve"> :</t>
  </si>
  <si>
    <t>C.B.R. (0.1")-56 Golpes</t>
  </si>
  <si>
    <t>C.B.R. (0.1")-25 Golpes</t>
  </si>
  <si>
    <t>C.B.R. (0.1")-12 Golpes</t>
  </si>
  <si>
    <t>RELLENAR CORRECCION</t>
  </si>
  <si>
    <t>C.B.R. (0.2")-56 Golpes</t>
  </si>
  <si>
    <t>C.B.R. (0.2")-25 Golpes</t>
  </si>
  <si>
    <t>C.B.R. (0.2")-12 Golpes</t>
  </si>
  <si>
    <t>Densidad Seca (gr/cc) :</t>
  </si>
  <si>
    <t>DETERMINACION  DE  C.B.R.</t>
  </si>
  <si>
    <t>M.D.S. :</t>
  </si>
  <si>
    <t>95% DE M.D.S. :</t>
  </si>
  <si>
    <t>C.B.R. (100% M.D.S.) 0.1" :</t>
  </si>
  <si>
    <t>%</t>
  </si>
  <si>
    <t>C.B.R. (95% M.D.S.) 01" :</t>
  </si>
  <si>
    <t>Molde I</t>
  </si>
  <si>
    <t>Molde II</t>
  </si>
  <si>
    <t>Molde III</t>
  </si>
  <si>
    <t>(Kg/cm2)</t>
  </si>
  <si>
    <t>Correc</t>
  </si>
  <si>
    <t>Cambiar</t>
  </si>
  <si>
    <t>C.B.R.</t>
  </si>
  <si>
    <t>C.B.R.(100%)</t>
  </si>
  <si>
    <t>C.B.R.(95%)</t>
  </si>
  <si>
    <r>
      <t xml:space="preserve">Equivalente de Arena                                                                                               </t>
    </r>
    <r>
      <rPr>
        <sz val="14"/>
        <rFont val="Arial"/>
        <family val="2"/>
      </rPr>
      <t>(NORMA   AASHTO T-176 / ASTM D-2419/ MTC E 114)</t>
    </r>
  </si>
  <si>
    <t>Maquinarias e Ingenieros S.A.C.</t>
  </si>
  <si>
    <t>51-13 / AG-01</t>
  </si>
  <si>
    <t>Obras Exteriores de Sodimac San Juan Lurigancho</t>
  </si>
  <si>
    <t>MEI / OES - 13</t>
  </si>
  <si>
    <t>Entre Av. Las Lomas y Jr. Cajamarquilla SJL</t>
  </si>
  <si>
    <t>Base</t>
  </si>
  <si>
    <t>Material</t>
  </si>
  <si>
    <t>Afirmado</t>
  </si>
  <si>
    <t>IDENTIFICACION</t>
  </si>
  <si>
    <t>Promedio</t>
  </si>
  <si>
    <t>Tamaño máximo (pasa malla Nº 4)</t>
  </si>
  <si>
    <t>mm</t>
  </si>
  <si>
    <t>Hora de entrada a saturación</t>
  </si>
  <si>
    <t>Hora de salida de saturación (mas 10")</t>
  </si>
  <si>
    <t>Hora de entrada a decantación</t>
  </si>
  <si>
    <t>Hora de salida de decantación (mas 20")</t>
  </si>
  <si>
    <t>Altura máxima de material fino</t>
  </si>
  <si>
    <t>Altura máxima de la arena</t>
  </si>
  <si>
    <t>Equivalente de Arena</t>
  </si>
  <si>
    <t>Observaciones:</t>
  </si>
  <si>
    <r>
      <t xml:space="preserve">Abrasion ( Maquina de los Angeles )                                                                                                                      </t>
    </r>
    <r>
      <rPr>
        <sz val="14"/>
        <rFont val="Arial"/>
        <family val="2"/>
      </rPr>
      <t>(NORMA   NTP 400.019 / AASHTO T-96)</t>
    </r>
  </si>
  <si>
    <t>51-13 / AG-12</t>
  </si>
  <si>
    <t>TAMIZ</t>
  </si>
  <si>
    <t>GRADACIONES</t>
  </si>
  <si>
    <t>A</t>
  </si>
  <si>
    <t>B</t>
  </si>
  <si>
    <t>C</t>
  </si>
  <si>
    <t>D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</si>
  <si>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4</t>
    </r>
  </si>
  <si>
    <t>PESO TOTAL</t>
  </si>
  <si>
    <t>Retenido  en la malla Nº 12</t>
  </si>
  <si>
    <t>Que pasa en la malla Nº 12</t>
  </si>
  <si>
    <r>
      <t>N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 xml:space="preserve"> de Esferas</t>
    </r>
  </si>
  <si>
    <t>Peso de las Esferas</t>
  </si>
  <si>
    <t>% Desgate</t>
  </si>
  <si>
    <t>OBSERVACIONES :</t>
  </si>
  <si>
    <t xml:space="preserve">        PROVIAS NACIONAL</t>
  </si>
  <si>
    <t>GRAVEDAD ESPECIFICA Y ABSORCION DE LOS AGREGADOS</t>
  </si>
  <si>
    <t>(NORMA   AASHTO T-84, T-85/ MTC E 113_206 )</t>
  </si>
  <si>
    <t>LABORATORIO MECANICA DE SUELOS, CONCRETOS Y PAVIMENTOS</t>
  </si>
  <si>
    <t>OBRA</t>
  </si>
  <si>
    <t>CARRETERA INTEROCEANICA SUR</t>
  </si>
  <si>
    <t>CERTIFICADO</t>
  </si>
  <si>
    <t>TRAMO</t>
  </si>
  <si>
    <t>URCOS - INAMBARI</t>
  </si>
  <si>
    <t>TECNICO</t>
  </si>
  <si>
    <t>ESTRUCTURA</t>
  </si>
  <si>
    <t>REVISADO</t>
  </si>
  <si>
    <t>FECHA</t>
  </si>
  <si>
    <t>DATOS DE LA MUESTRA</t>
  </si>
  <si>
    <t xml:space="preserve">MUESTRA </t>
  </si>
  <si>
    <t>PROFUNDIDAD</t>
  </si>
  <si>
    <t>PROGRESIVA</t>
  </si>
  <si>
    <t>AGREGADO FINO</t>
  </si>
  <si>
    <t>Peso Mat. Sat. Sup. Seco ( en Aire ) (gr)</t>
  </si>
  <si>
    <t>Peso Frasco + agua</t>
  </si>
  <si>
    <t>Peso Frasco + agua + A (gr)</t>
  </si>
  <si>
    <t>Peso del Mat. + agua en el frasco (gr)</t>
  </si>
  <si>
    <t>E</t>
  </si>
  <si>
    <t>Vol de masa + vol de vacío = C-D (gr)</t>
  </si>
  <si>
    <t>F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</si>
  <si>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</si>
  <si>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</si>
  <si>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</si>
  <si>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</si>
  <si>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</si>
  <si>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</si>
  <si>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</si>
  <si>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</si>
  <si>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</si>
  <si>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</si>
  <si>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</si>
  <si>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</si>
  <si>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</si>
  <si>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</si>
  <si>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</si>
  <si>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</si>
  <si>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</si>
  <si>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</si>
  <si>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t>-----------------------------          -----------------------------</t>
  </si>
  <si>
    <t xml:space="preserve">        TEC. RESP.</t>
  </si>
  <si>
    <t xml:space="preserve">  ING. RESP.</t>
  </si>
  <si>
    <t>ING. RESP.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</si>
  <si>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</si>
  <si>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</si>
  <si>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</si>
  <si>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</si>
  <si>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</si>
  <si>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</si>
  <si>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</si>
  <si>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</si>
  <si>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</si>
  <si>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</si>
  <si>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</si>
  <si>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</si>
  <si>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</si>
  <si>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</si>
  <si>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</si>
  <si>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</si>
  <si>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</si>
  <si>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</si>
  <si>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</si>
  <si>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</si>
  <si>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</si>
  <si>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</si>
  <si>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</si>
  <si>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</si>
  <si>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</si>
  <si>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</si>
  <si>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</si>
  <si>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</si>
  <si>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</si>
  <si>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</si>
  <si>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</si>
  <si>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</si>
  <si>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</si>
  <si>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</si>
  <si>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</si>
  <si>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</si>
  <si>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</si>
  <si>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</si>
  <si>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</si>
  <si>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</si>
  <si>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</si>
  <si>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</si>
  <si>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</si>
  <si>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</si>
  <si>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</si>
  <si>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</si>
  <si>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</si>
  <si>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</si>
  <si>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</si>
  <si>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</si>
  <si>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</si>
  <si>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</si>
  <si>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</si>
  <si>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</si>
  <si>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</si>
  <si>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</si>
  <si>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</si>
  <si>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</si>
  <si>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</si>
  <si>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</si>
  <si>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</si>
  <si>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</si>
  <si>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</si>
  <si>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</si>
  <si>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</si>
  <si>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</si>
  <si>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</si>
  <si>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</si>
  <si>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</si>
  <si>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</si>
  <si>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</si>
  <si>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</si>
  <si>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</si>
  <si>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</si>
  <si>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</si>
  <si>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</si>
  <si>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</si>
  <si>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</si>
  <si>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</si>
  <si>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</si>
  <si>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</si>
  <si>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</si>
  <si>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</si>
  <si>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</si>
  <si>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</si>
  <si>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</si>
  <si>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</si>
  <si>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</si>
  <si>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</si>
  <si>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</si>
  <si>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</si>
  <si>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</si>
  <si>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</si>
  <si>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</si>
  <si>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</si>
  <si>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</si>
  <si>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</si>
  <si>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</si>
  <si>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</si>
  <si>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</si>
  <si>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</si>
  <si>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</si>
  <si>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</si>
  <si>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</si>
  <si>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</si>
  <si>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</si>
  <si>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</si>
  <si>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</si>
  <si>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</si>
  <si>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</si>
  <si>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</si>
  <si>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</si>
  <si>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</si>
  <si>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</si>
  <si>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</si>
  <si>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</si>
  <si>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</si>
  <si>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</si>
  <si>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</si>
  <si>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</si>
  <si>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</si>
  <si>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</si>
  <si>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</si>
  <si>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</si>
  <si>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</si>
  <si>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ESPECIFICACIONES</t>
  </si>
  <si>
    <t>Nº Malla</t>
  </si>
  <si>
    <t>Abertura mm.</t>
  </si>
  <si>
    <t>Especificaciones "B"</t>
  </si>
  <si>
    <t>% Que Pasa</t>
  </si>
  <si>
    <t>CONIRSA S.A.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</si>
  <si>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</si>
  <si>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Hito</t>
  </si>
  <si>
    <t>Muestra</t>
  </si>
  <si>
    <t>Prof (m.)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</si>
  <si>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</si>
  <si>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</si>
  <si>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</si>
  <si>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</si>
  <si>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</si>
  <si>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</si>
  <si>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</si>
  <si>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</si>
  <si>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</si>
  <si>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</si>
  <si>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</si>
  <si>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</si>
  <si>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</si>
  <si>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</si>
  <si>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</si>
  <si>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</si>
  <si>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</si>
  <si>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</si>
  <si>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</si>
  <si>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</si>
  <si>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</si>
  <si>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</si>
  <si>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</si>
  <si>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Equiv.</t>
  </si>
  <si>
    <t>Hora inicio    :</t>
  </si>
  <si>
    <t>08:16:00 a.m.</t>
  </si>
  <si>
    <t>Pe de solidos (Gs)       :</t>
  </si>
  <si>
    <t>(MTC E 113)</t>
  </si>
  <si>
    <t>Pss(gr)        :</t>
  </si>
  <si>
    <t>Limite Liquido(%)        :</t>
  </si>
  <si>
    <t>Limo (0.074mm - 0.005mm)    :</t>
  </si>
  <si>
    <t>(%) Pasa Nº10  :</t>
  </si>
  <si>
    <t>Limite Plastico(%)       :</t>
  </si>
  <si>
    <t>Arcilla(0.005mm - 0.001mm)  :</t>
  </si>
  <si>
    <t>(%) Pasa Nº200 :</t>
  </si>
  <si>
    <t>Indice plasticidad(%)    :</t>
  </si>
  <si>
    <t>Coloide (menor a  0.001mm)  :</t>
  </si>
  <si>
    <t>Coefi. "a"     :</t>
  </si>
  <si>
    <t>Clasificación SUCS       :</t>
  </si>
  <si>
    <t>% pasa Nº200 :</t>
  </si>
  <si>
    <t>% pasa 0.005 :</t>
  </si>
  <si>
    <t>% pasa 0.001 :</t>
  </si>
  <si>
    <r>
      <t xml:space="preserve">HUMEDAD NATURAL  </t>
    </r>
    <r>
      <rPr>
        <sz val="11"/>
        <rFont val="Courier New"/>
        <family val="3"/>
      </rPr>
      <t>(MTC E 108)</t>
    </r>
  </si>
  <si>
    <t>DATOS</t>
  </si>
  <si>
    <t>Nº de Ensayo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</si>
  <si>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</si>
  <si>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</si>
  <si>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</si>
  <si>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</si>
  <si>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</si>
  <si>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</si>
  <si>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</si>
  <si>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t xml:space="preserve">OBSERVACIONES: </t>
  </si>
  <si>
    <t>LABORATORIO DE ENSAYO DE MATERIALES</t>
  </si>
  <si>
    <t>SOLICITANTE</t>
  </si>
  <si>
    <t>TECSUR S.A.</t>
  </si>
  <si>
    <t xml:space="preserve">                 CÓDIGO</t>
  </si>
  <si>
    <t>F-LEM-P-AG.07.02</t>
  </si>
  <si>
    <t>PROYECTO</t>
  </si>
  <si>
    <t>L.T. SUBTERRÁNEA DE 220 KV SET MANCHAY-SET PACHACUTEC (TRAMO 1.A)</t>
  </si>
  <si>
    <t>N° OT</t>
  </si>
  <si>
    <t>UBICACIÓN</t>
  </si>
  <si>
    <t>AV. VÍCTOR MALASQUEZ,CERCADO DE LIMA 15594 PACHACAMAC, MANCHAY</t>
  </si>
  <si>
    <t>N° CERT.</t>
  </si>
  <si>
    <t>METODO DE ENSAYO PARA LA DETERMINACION DEL PORCENTAGE DE PARTICULAS CHATAS Y ALARGADA</t>
  </si>
  <si>
    <t>NTP 400.040</t>
  </si>
  <si>
    <t>CANTERA / SONDAJE</t>
  </si>
  <si>
    <t>NO ESPECIFICA</t>
  </si>
  <si>
    <t>COD. MUESTRA</t>
  </si>
  <si>
    <t>054-AG-20</t>
  </si>
  <si>
    <t>N° MUESTRA</t>
  </si>
  <si>
    <t>M-1</t>
  </si>
  <si>
    <t>FECHA RECEP.</t>
  </si>
  <si>
    <t>TIPO DE MUESTRA</t>
  </si>
  <si>
    <t>AFIRMADO</t>
  </si>
  <si>
    <t>FECHA ENSAYO</t>
  </si>
  <si>
    <t>Tamaño del Agregado</t>
  </si>
  <si>
    <t>PARTICULAS CHATAS</t>
  </si>
  <si>
    <t>PARTICULAS ALARGADAS</t>
  </si>
  <si>
    <t>Pasa Tamiz</t>
  </si>
  <si>
    <t>Retenido T.</t>
  </si>
  <si>
    <t>(g)</t>
  </si>
  <si>
    <t>N° partic.</t>
  </si>
  <si>
    <t>Total:</t>
  </si>
  <si>
    <t>Contenido %</t>
  </si>
  <si>
    <t>Resulta Ensayo</t>
  </si>
  <si>
    <t>Part. Chatas y Alargadas</t>
  </si>
  <si>
    <t>Nota :</t>
  </si>
  <si>
    <t>Página 1 de 1</t>
  </si>
  <si>
    <t>Versión : 01 (02-12-2019)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</si>
  <si>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</si>
  <si>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Limite Especificado</t>
  </si>
  <si>
    <t>50 % Max.</t>
  </si>
  <si>
    <t>MINISTERIO DE TRANSPORTE COMUNICACIÓN VIVIENDA Y CONSTRUCCION</t>
  </si>
  <si>
    <t>PROVIAS NACIONAL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</si>
  <si>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</si>
  <si>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</si>
  <si>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</si>
  <si>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</si>
  <si>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CANTIDAD DE MATERIAL FINO QUE PASA POR EL TAMIZ (Nº 200)</t>
  </si>
  <si>
    <t>MTC E- 202-1999</t>
  </si>
  <si>
    <t>AASTHO  T 11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</si>
  <si>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</si>
  <si>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</si>
  <si>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</si>
  <si>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</si>
  <si>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MUESTRA DE PRUEBA</t>
  </si>
  <si>
    <t>Codigo equipos utilizados</t>
  </si>
  <si>
    <t>Balanza 0.1 g</t>
  </si>
  <si>
    <t>Horno</t>
  </si>
  <si>
    <t xml:space="preserve">Nota: </t>
  </si>
  <si>
    <t>Tamiz especificado</t>
  </si>
  <si>
    <t>MÉTODO DE PRUEBA ESTÁNDAR PARA EL CONTENIDO DE VACÍO NO COMPACTADO DEL AGREGADO FINO (SEGÚN LO INFLUENCIADO POR LA FORMA DE LA PARTÍCULA, LA TEXTURA DE LA SUPERFICIE Y LA CLASIFICACIÓN)</t>
  </si>
  <si>
    <t xml:space="preserve"> ASTM C1252-17</t>
  </si>
  <si>
    <t>Procedimiento para la medición de vacíos</t>
  </si>
  <si>
    <t>Volumen del cilindro de medida (ml)</t>
  </si>
  <si>
    <t>Masa del cilindro vacío (g)</t>
  </si>
  <si>
    <t>Gravedad especifica del agregado fino (Gs)</t>
  </si>
  <si>
    <r>
      <rPr>
        <b/>
        <sz val="9"/>
        <rFont val="Arial"/>
        <family val="2"/>
      </rPr>
      <t>Método de prueba A</t>
    </r>
    <r>
      <rPr>
        <sz val="9"/>
        <rFont val="Arial"/>
        <family val="2"/>
      </rPr>
      <t xml:space="preserve"> (Muestra graduada estándar)</t>
    </r>
  </si>
  <si>
    <t>Pasa el tamiz</t>
  </si>
  <si>
    <t>Retenido en el tamiz</t>
  </si>
  <si>
    <t>Masa (g)</t>
  </si>
  <si>
    <t>Verificacion de Masa</t>
  </si>
  <si>
    <t>Nº 8</t>
  </si>
  <si>
    <t>Nº 16</t>
  </si>
  <si>
    <t>Nº 30</t>
  </si>
  <si>
    <t>Nº 50</t>
  </si>
  <si>
    <t>Nº 100</t>
  </si>
  <si>
    <t>Total</t>
  </si>
  <si>
    <t>DETERMINACIÓN DE LOS VACÍOS</t>
  </si>
  <si>
    <t>Muestra graduada estándar</t>
  </si>
  <si>
    <t>Nº Prueba</t>
  </si>
  <si>
    <t>Masa agregado + cilindro (g)</t>
  </si>
  <si>
    <t>Masa neta del agregado (g)</t>
  </si>
  <si>
    <t>Vacío de la muestra sin compactar (%)</t>
  </si>
  <si>
    <t>Angularidad promedio Us (%)</t>
  </si>
  <si>
    <t>Nº 8 al Nº 100</t>
  </si>
  <si>
    <t>Masa especificada (g)</t>
  </si>
  <si>
    <r>
      <t xml:space="preserve">44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</si>
  <si>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t xml:space="preserve">57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</si>
  <si>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t xml:space="preserve">72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</si>
  <si>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t xml:space="preserve">17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0.2</t>
    </r>
  </si>
  <si>
    <r>
      <rPr>
        <b/>
        <sz val="9"/>
        <rFont val="Arial"/>
        <family val="2"/>
      </rPr>
      <t>Método de prueba B</t>
    </r>
    <r>
      <rPr>
        <sz val="9"/>
        <rFont val="Arial"/>
        <family val="2"/>
      </rPr>
      <t xml:space="preserve"> (Fracciones de tamaño individual)</t>
    </r>
  </si>
  <si>
    <t>Fracciones de tamaño individual</t>
  </si>
  <si>
    <t>Angularidad promedio Um (%)</t>
  </si>
  <si>
    <t>Nº 8 al Nº 16</t>
  </si>
  <si>
    <t>Nº 16 al Nº 30</t>
  </si>
  <si>
    <t>Nº 30 al Nº 50</t>
  </si>
  <si>
    <r>
      <t xml:space="preserve">190 </t>
    </r>
    <r>
      <rPr>
        <sz val="9"/>
        <rFont val="Calibri"/>
        <family val="2"/>
      </rPr>
      <t>±</t>
    </r>
    <r>
      <rPr>
        <sz val="9"/>
        <rFont val="Arial"/>
        <family val="2"/>
      </rPr>
      <t xml:space="preserve"> 1.0</t>
    </r>
  </si>
  <si>
    <r>
      <rPr>
        <b/>
        <sz val="9"/>
        <rFont val="Arial"/>
        <family val="2"/>
      </rPr>
      <t>Método de prueba C</t>
    </r>
    <r>
      <rPr>
        <sz val="9"/>
        <rFont val="Arial"/>
        <family val="2"/>
      </rPr>
      <t xml:space="preserve"> (Granulometria natural)</t>
    </r>
  </si>
  <si>
    <t>Nº 200</t>
  </si>
  <si>
    <t>Granulometria natural</t>
  </si>
  <si>
    <r>
      <t>Angularidad promedio U</t>
    </r>
    <r>
      <rPr>
        <sz val="8"/>
        <rFont val="Arial"/>
        <family val="2"/>
      </rPr>
      <t>R</t>
    </r>
    <r>
      <rPr>
        <sz val="9"/>
        <rFont val="Arial"/>
        <family val="2"/>
      </rPr>
      <t xml:space="preserve"> (%)</t>
    </r>
  </si>
  <si>
    <t>Nº 8 al Nº 200</t>
  </si>
  <si>
    <t>WEB: www.geofal.com.pe   E-MAIL: laboratorio@geofal.com.pe / geofal.sac@gmail.com Av. Marañon 763, Los Olivos-Lima / Teléfono 01 754-3070</t>
  </si>
  <si>
    <t>FORMATO N° F-LEM-P-AG-37.01</t>
  </si>
  <si>
    <t>Versión: 01 (01-04-2024)</t>
  </si>
  <si>
    <t>Método A o Método B o  Método C</t>
  </si>
  <si>
    <t>MUESTRA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</si>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</sst>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"/>
    <numFmt numFmtId="165" formatCode="0.000"/>
    <numFmt numFmtId="166" formatCode="dd\-mm\-yy"/>
    <numFmt numFmtId="167" formatCode="0.0%"/>
    <numFmt numFmtId="168" formatCode="0.0000"/>
    <numFmt numFmtId="169" formatCode="0.00000"/>
    <numFmt numFmtId="170" formatCode="dd\-mm\-yy;@"/>
    <numFmt numFmtId="171" formatCode="0.00000E+00"/>
    <numFmt numFmtId="172" formatCode="00\+000"/>
    <numFmt numFmtId="173" formatCode="0.00\ &quot;%&quot;"/>
    <numFmt numFmtId="174" formatCode="000\-\ &quot;20&quot;"/>
    <numFmt numFmtId="175" formatCode="000&quot;-SU-20&quot;"/>
    <numFmt numFmtId="176" formatCode="&quot;CERTIFICADO N°&quot;000&quot;-20 AG07&quot;"/>
    <numFmt numFmtId="177" formatCode="000&quot;-20 AG07&quot;"/>
    <numFmt numFmtId="178" formatCode="&quot;CERTIFICADO N°&quot;000&quot;-20 AG10&quot;"/>
  </numFmts>
  <fonts count="1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12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vertAlign val="superscript"/>
      <sz val="9"/>
      <name val="Times New Roman"/>
      <family val="1"/>
    </font>
    <font>
      <sz val="9"/>
      <color indexed="10"/>
      <name val="Times New Roman"/>
      <family val="1"/>
    </font>
    <font>
      <sz val="9"/>
      <color indexed="47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vertAlign val="superscript"/>
      <sz val="10"/>
      <name val="Times New Roman"/>
      <family val="1"/>
    </font>
    <font>
      <sz val="10"/>
      <color indexed="47"/>
      <name val="Times New Roman"/>
      <family val="1"/>
    </font>
    <font>
      <sz val="9"/>
      <name val="Arial"/>
      <family val="2"/>
    </font>
    <font>
      <sz val="11"/>
      <name val="Courier New"/>
      <family val="3"/>
    </font>
    <font>
      <sz val="8"/>
      <color indexed="17"/>
      <name val="Arial"/>
      <family val="2"/>
    </font>
    <font>
      <b/>
      <sz val="12"/>
      <color indexed="10"/>
      <name val="Times New Roman"/>
      <family val="1"/>
    </font>
    <font>
      <b/>
      <sz val="10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2"/>
      <name val="Times New Roman"/>
      <family val="1"/>
    </font>
    <font>
      <sz val="9"/>
      <color indexed="10"/>
      <name val="Arial"/>
      <family val="2"/>
    </font>
    <font>
      <sz val="8"/>
      <color indexed="9"/>
      <name val="Times New Roman"/>
      <family val="1"/>
    </font>
    <font>
      <sz val="8"/>
      <color indexed="10"/>
      <name val="Times New Roman"/>
      <family val="1"/>
    </font>
    <font>
      <b/>
      <sz val="8"/>
      <color indexed="10"/>
      <name val="Arial"/>
      <family val="2"/>
    </font>
    <font>
      <sz val="12"/>
      <color indexed="12"/>
      <name val="Times New Roman"/>
      <family val="1"/>
    </font>
    <font>
      <b/>
      <sz val="24"/>
      <color indexed="10"/>
      <name val="Times New Roman"/>
      <family val="1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i/>
      <sz val="8"/>
      <name val="Arial"/>
      <family val="2"/>
    </font>
    <font>
      <b/>
      <sz val="9"/>
      <color indexed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sz val="7"/>
      <color indexed="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60"/>
      <name val="Arial"/>
      <family val="2"/>
    </font>
    <font>
      <b/>
      <sz val="12"/>
      <color indexed="60"/>
      <name val="Arial"/>
      <family val="2"/>
    </font>
    <font>
      <vertAlign val="superscript"/>
      <sz val="10"/>
      <name val="Arial"/>
      <family val="2"/>
    </font>
    <font>
      <b/>
      <sz val="11"/>
      <color indexed="9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10"/>
      <color rgb="FF0000FF"/>
      <name val="Times New Roman"/>
      <family val="1"/>
    </font>
    <font>
      <sz val="8"/>
      <color theme="0"/>
      <name val="Times New Roman"/>
      <family val="1"/>
    </font>
    <font>
      <sz val="10"/>
      <color theme="0"/>
      <name val="Times New Roman"/>
      <family val="1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0" tint="-0.14999847407452621"/>
      <name val="Arial"/>
      <family val="2"/>
    </font>
    <font>
      <i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72">
    <border>
      <left/>
      <right/>
      <top/>
      <bottom/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auto="1"/>
      </bottom>
      <diagonal/>
    </border>
  </borders>
  <cellStyleXfs count="8">
    <xf numFmtId="0" fontId="0" fillId="0" borderId="0"/>
    <xf numFmtId="0" fontId="112" fillId="0" borderId="0"/>
    <xf numFmtId="0" fontId="1" fillId="0" borderId="0"/>
    <xf numFmtId="0" fontId="113" fillId="0" borderId="0"/>
    <xf numFmtId="0" fontId="1" fillId="0" borderId="0"/>
    <xf numFmtId="0" fontId="113" fillId="0" borderId="0"/>
    <xf numFmtId="9" fontId="1" fillId="0" borderId="0" applyFont="0" applyFill="0" applyBorder="0" applyAlignment="0" applyProtection="0"/>
    <xf numFmtId="0" fontId="1" fillId="0" borderId="0"/>
  </cellStyleXfs>
  <cellXfs count="1262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11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164" fontId="11" fillId="5" borderId="7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1" fillId="5" borderId="1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1" fillId="6" borderId="4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" fontId="11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3" fillId="3" borderId="0" xfId="0" applyFont="1" applyFill="1"/>
    <xf numFmtId="0" fontId="14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6" fillId="4" borderId="0" xfId="0" applyFont="1" applyFill="1" applyAlignment="1">
      <alignment horizontal="center"/>
    </xf>
    <xf numFmtId="0" fontId="16" fillId="4" borderId="0" xfId="0" applyFont="1" applyFill="1" applyAlignment="1">
      <alignment horizontal="right"/>
    </xf>
    <xf numFmtId="2" fontId="16" fillId="4" borderId="0" xfId="0" applyNumberFormat="1" applyFont="1" applyFill="1" applyAlignment="1">
      <alignment horizontal="left"/>
    </xf>
    <xf numFmtId="2" fontId="16" fillId="4" borderId="0" xfId="0" quotePrefix="1" applyNumberFormat="1" applyFont="1" applyFill="1" applyAlignment="1">
      <alignment horizontal="left"/>
    </xf>
    <xf numFmtId="0" fontId="17" fillId="0" borderId="0" xfId="0" applyFont="1" applyAlignment="1">
      <alignment horizontal="center"/>
    </xf>
    <xf numFmtId="0" fontId="18" fillId="4" borderId="0" xfId="0" applyFont="1" applyFill="1"/>
    <xf numFmtId="0" fontId="19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/>
    <xf numFmtId="0" fontId="24" fillId="3" borderId="20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vertical="center" wrapText="1"/>
    </xf>
    <xf numFmtId="0" fontId="24" fillId="3" borderId="21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vertical="center" wrapText="1"/>
    </xf>
    <xf numFmtId="0" fontId="25" fillId="3" borderId="21" xfId="0" applyFont="1" applyFill="1" applyBorder="1" applyAlignment="1">
      <alignment vertical="center"/>
    </xf>
    <xf numFmtId="0" fontId="25" fillId="3" borderId="21" xfId="0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0" fontId="26" fillId="8" borderId="21" xfId="0" applyFont="1" applyFill="1" applyBorder="1" applyAlignment="1">
      <alignment vertical="center" wrapText="1"/>
    </xf>
    <xf numFmtId="0" fontId="26" fillId="8" borderId="21" xfId="0" applyFont="1" applyFill="1" applyBorder="1" applyAlignment="1">
      <alignment vertical="center"/>
    </xf>
    <xf numFmtId="0" fontId="26" fillId="8" borderId="21" xfId="0" applyFont="1" applyFill="1" applyBorder="1" applyAlignment="1">
      <alignment horizontal="left" vertical="center" wrapText="1"/>
    </xf>
    <xf numFmtId="0" fontId="16" fillId="8" borderId="22" xfId="0" applyFont="1" applyFill="1" applyBorder="1" applyAlignment="1">
      <alignment horizontal="center" vertical="center"/>
    </xf>
    <xf numFmtId="0" fontId="28" fillId="9" borderId="21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vertical="center" wrapText="1"/>
    </xf>
    <xf numFmtId="0" fontId="29" fillId="9" borderId="23" xfId="0" applyFont="1" applyFill="1" applyBorder="1" applyAlignment="1">
      <alignment vertical="center" wrapText="1"/>
    </xf>
    <xf numFmtId="0" fontId="30" fillId="4" borderId="0" xfId="0" applyFont="1" applyFill="1" applyAlignment="1">
      <alignment vertical="center"/>
    </xf>
    <xf numFmtId="0" fontId="16" fillId="10" borderId="21" xfId="0" applyFont="1" applyFill="1" applyBorder="1" applyAlignment="1">
      <alignment horizontal="center" vertical="center"/>
    </xf>
    <xf numFmtId="0" fontId="26" fillId="10" borderId="23" xfId="0" applyFont="1" applyFill="1" applyBorder="1" applyAlignment="1">
      <alignment vertical="center" wrapText="1"/>
    </xf>
    <xf numFmtId="0" fontId="16" fillId="10" borderId="20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0" fontId="26" fillId="10" borderId="25" xfId="0" applyFont="1" applyFill="1" applyBorder="1" applyAlignment="1">
      <alignment vertical="center"/>
    </xf>
    <xf numFmtId="0" fontId="27" fillId="11" borderId="26" xfId="0" applyFont="1" applyFill="1" applyBorder="1"/>
    <xf numFmtId="0" fontId="27" fillId="11" borderId="27" xfId="0" applyFont="1" applyFill="1" applyBorder="1"/>
    <xf numFmtId="0" fontId="31" fillId="10" borderId="28" xfId="0" applyFont="1" applyFill="1" applyBorder="1" applyAlignment="1">
      <alignment horizontal="center"/>
    </xf>
    <xf numFmtId="0" fontId="32" fillId="10" borderId="29" xfId="0" applyFont="1" applyFill="1" applyBorder="1"/>
    <xf numFmtId="0" fontId="9" fillId="4" borderId="0" xfId="0" applyFont="1" applyFill="1"/>
    <xf numFmtId="0" fontId="33" fillId="4" borderId="0" xfId="0" applyFont="1" applyFill="1" applyAlignment="1">
      <alignment horizontal="center"/>
    </xf>
    <xf numFmtId="0" fontId="2" fillId="4" borderId="0" xfId="0" applyFont="1" applyFill="1"/>
    <xf numFmtId="0" fontId="20" fillId="4" borderId="0" xfId="0" applyFont="1" applyFill="1" applyAlignment="1">
      <alignment horizontal="center"/>
    </xf>
    <xf numFmtId="0" fontId="2" fillId="0" borderId="0" xfId="0" applyFont="1"/>
    <xf numFmtId="0" fontId="2" fillId="0" borderId="22" xfId="0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64" fontId="20" fillId="0" borderId="0" xfId="0" applyNumberFormat="1" applyFont="1"/>
    <xf numFmtId="0" fontId="37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165" fontId="2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5" fontId="4" fillId="0" borderId="30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2" fontId="3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2" fillId="0" borderId="0" xfId="0" applyNumberFormat="1" applyFont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51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33" fillId="12" borderId="0" xfId="0" applyFont="1" applyFill="1" applyAlignment="1">
      <alignment horizontal="center" vertical="center"/>
    </xf>
    <xf numFmtId="0" fontId="0" fillId="12" borderId="31" xfId="0" applyFill="1" applyBorder="1" applyAlignment="1">
      <alignment vertical="center"/>
    </xf>
    <xf numFmtId="0" fontId="0" fillId="12" borderId="20" xfId="0" applyFill="1" applyBorder="1" applyAlignment="1">
      <alignment vertical="center"/>
    </xf>
    <xf numFmtId="0" fontId="0" fillId="12" borderId="32" xfId="0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164" fontId="20" fillId="12" borderId="0" xfId="0" applyNumberFormat="1" applyFont="1" applyFill="1" applyAlignment="1">
      <alignment horizontal="center" vertical="center"/>
    </xf>
    <xf numFmtId="0" fontId="0" fillId="12" borderId="33" xfId="0" applyFill="1" applyBorder="1" applyAlignment="1">
      <alignment vertical="center"/>
    </xf>
    <xf numFmtId="0" fontId="0" fillId="12" borderId="34" xfId="0" applyFill="1" applyBorder="1" applyAlignment="1">
      <alignment vertical="center"/>
    </xf>
    <xf numFmtId="0" fontId="0" fillId="12" borderId="0" xfId="0" applyFill="1"/>
    <xf numFmtId="0" fontId="20" fillId="12" borderId="0" xfId="0" applyFont="1" applyFill="1"/>
    <xf numFmtId="0" fontId="54" fillId="12" borderId="0" xfId="0" applyFont="1" applyFill="1"/>
    <xf numFmtId="0" fontId="0" fillId="12" borderId="0" xfId="0" applyFill="1" applyAlignment="1">
      <alignment horizontal="center"/>
    </xf>
    <xf numFmtId="0" fontId="0" fillId="12" borderId="35" xfId="0" applyFill="1" applyBorder="1"/>
    <xf numFmtId="0" fontId="0" fillId="12" borderId="36" xfId="0" applyFill="1" applyBorder="1"/>
    <xf numFmtId="0" fontId="20" fillId="12" borderId="24" xfId="0" applyFont="1" applyFill="1" applyBorder="1" applyAlignment="1">
      <alignment horizontal="center" vertical="center"/>
    </xf>
    <xf numFmtId="0" fontId="33" fillId="12" borderId="0" xfId="0" applyFont="1" applyFill="1"/>
    <xf numFmtId="167" fontId="20" fillId="12" borderId="0" xfId="6" applyNumberFormat="1" applyFont="1" applyFill="1" applyAlignment="1">
      <alignment horizontal="center"/>
    </xf>
    <xf numFmtId="166" fontId="0" fillId="12" borderId="35" xfId="0" applyNumberFormat="1" applyFill="1" applyBorder="1" applyAlignment="1">
      <alignment horizontal="left"/>
    </xf>
    <xf numFmtId="0" fontId="0" fillId="12" borderId="37" xfId="0" applyFill="1" applyBorder="1"/>
    <xf numFmtId="49" fontId="0" fillId="12" borderId="35" xfId="0" applyNumberFormat="1" applyFill="1" applyBorder="1"/>
    <xf numFmtId="0" fontId="36" fillId="12" borderId="38" xfId="0" applyFont="1" applyFill="1" applyBorder="1" applyAlignment="1" applyProtection="1">
      <alignment horizontal="centerContinuous" vertical="center"/>
      <protection locked="0"/>
    </xf>
    <xf numFmtId="0" fontId="36" fillId="12" borderId="39" xfId="0" applyFont="1" applyFill="1" applyBorder="1" applyAlignment="1">
      <alignment horizontal="centerContinuous" vertical="center"/>
    </xf>
    <xf numFmtId="0" fontId="36" fillId="12" borderId="39" xfId="0" applyFont="1" applyFill="1" applyBorder="1" applyAlignment="1">
      <alignment vertical="center"/>
    </xf>
    <xf numFmtId="0" fontId="37" fillId="12" borderId="0" xfId="0" applyFont="1" applyFill="1" applyAlignment="1">
      <alignment horizontal="centerContinuous" vertical="center"/>
    </xf>
    <xf numFmtId="0" fontId="38" fillId="12" borderId="0" xfId="0" applyFont="1" applyFill="1" applyAlignment="1">
      <alignment horizontal="centerContinuous" vertical="center"/>
    </xf>
    <xf numFmtId="0" fontId="42" fillId="12" borderId="40" xfId="0" applyFont="1" applyFill="1" applyBorder="1" applyAlignment="1">
      <alignment vertical="center"/>
    </xf>
    <xf numFmtId="0" fontId="43" fillId="12" borderId="40" xfId="0" applyFont="1" applyFill="1" applyBorder="1" applyAlignment="1">
      <alignment vertical="center"/>
    </xf>
    <xf numFmtId="0" fontId="5" fillId="12" borderId="0" xfId="0" applyFont="1" applyFill="1"/>
    <xf numFmtId="0" fontId="43" fillId="12" borderId="20" xfId="0" applyFont="1" applyFill="1" applyBorder="1" applyAlignment="1">
      <alignment horizontal="center" vertical="center"/>
    </xf>
    <xf numFmtId="0" fontId="43" fillId="12" borderId="21" xfId="0" applyFont="1" applyFill="1" applyBorder="1" applyAlignment="1">
      <alignment horizontal="center" vertical="center"/>
    </xf>
    <xf numFmtId="2" fontId="43" fillId="12" borderId="21" xfId="0" applyNumberFormat="1" applyFont="1" applyFill="1" applyBorder="1" applyAlignment="1">
      <alignment horizontal="center" vertical="center"/>
    </xf>
    <xf numFmtId="0" fontId="38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7" fillId="12" borderId="0" xfId="0" applyFont="1" applyFill="1" applyAlignment="1">
      <alignment vertical="center"/>
    </xf>
    <xf numFmtId="49" fontId="37" fillId="12" borderId="35" xfId="0" applyNumberFormat="1" applyFont="1" applyFill="1" applyBorder="1" applyAlignment="1" applyProtection="1">
      <alignment vertical="center"/>
      <protection locked="0"/>
    </xf>
    <xf numFmtId="0" fontId="37" fillId="12" borderId="35" xfId="0" applyFont="1" applyFill="1" applyBorder="1" applyAlignment="1" applyProtection="1">
      <alignment vertical="center"/>
      <protection locked="0"/>
    </xf>
    <xf numFmtId="0" fontId="38" fillId="12" borderId="0" xfId="0" applyFont="1" applyFill="1" applyAlignment="1">
      <alignment horizontal="center" vertical="center"/>
    </xf>
    <xf numFmtId="0" fontId="37" fillId="12" borderId="36" xfId="0" applyFont="1" applyFill="1" applyBorder="1" applyAlignment="1" applyProtection="1">
      <alignment vertical="center"/>
      <protection locked="0"/>
    </xf>
    <xf numFmtId="0" fontId="43" fillId="12" borderId="41" xfId="0" applyFont="1" applyFill="1" applyBorder="1" applyAlignment="1">
      <alignment vertical="center"/>
    </xf>
    <xf numFmtId="164" fontId="38" fillId="12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vertical="center"/>
    </xf>
    <xf numFmtId="164" fontId="37" fillId="12" borderId="0" xfId="0" applyNumberFormat="1" applyFont="1" applyFill="1" applyAlignment="1">
      <alignment horizontal="left" vertical="center"/>
    </xf>
    <xf numFmtId="0" fontId="43" fillId="12" borderId="0" xfId="0" applyFont="1" applyFill="1" applyAlignment="1">
      <alignment vertical="center"/>
    </xf>
    <xf numFmtId="0" fontId="36" fillId="12" borderId="24" xfId="0" applyFont="1" applyFill="1" applyBorder="1" applyAlignment="1">
      <alignment horizontal="center" vertical="center"/>
    </xf>
    <xf numFmtId="0" fontId="36" fillId="12" borderId="42" xfId="0" applyFont="1" applyFill="1" applyBorder="1" applyAlignment="1">
      <alignment horizontal="center" vertical="center"/>
    </xf>
    <xf numFmtId="0" fontId="36" fillId="12" borderId="20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7" fillId="12" borderId="21" xfId="0" applyFont="1" applyFill="1" applyBorder="1" applyAlignment="1" applyProtection="1">
      <alignment horizontal="center" vertical="center"/>
      <protection hidden="1"/>
    </xf>
    <xf numFmtId="165" fontId="43" fillId="12" borderId="21" xfId="0" applyNumberFormat="1" applyFont="1" applyFill="1" applyBorder="1" applyAlignment="1" applyProtection="1">
      <alignment horizontal="center" vertical="center"/>
      <protection hidden="1"/>
    </xf>
    <xf numFmtId="164" fontId="37" fillId="12" borderId="21" xfId="0" applyNumberFormat="1" applyFont="1" applyFill="1" applyBorder="1" applyAlignment="1">
      <alignment horizontal="center" vertical="center"/>
    </xf>
    <xf numFmtId="164" fontId="37" fillId="12" borderId="32" xfId="0" applyNumberFormat="1" applyFont="1" applyFill="1" applyBorder="1" applyAlignment="1">
      <alignment horizontal="center" vertical="center"/>
    </xf>
    <xf numFmtId="164" fontId="37" fillId="12" borderId="31" xfId="0" applyNumberFormat="1" applyFont="1" applyFill="1" applyBorder="1" applyAlignment="1">
      <alignment horizontal="center" vertical="center"/>
    </xf>
    <xf numFmtId="164" fontId="37" fillId="12" borderId="40" xfId="0" applyNumberFormat="1" applyFont="1" applyFill="1" applyBorder="1" applyAlignment="1">
      <alignment horizontal="center" vertical="center"/>
    </xf>
    <xf numFmtId="164" fontId="37" fillId="12" borderId="41" xfId="0" applyNumberFormat="1" applyFont="1" applyFill="1" applyBorder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0" fontId="57" fillId="12" borderId="0" xfId="0" applyFont="1" applyFill="1" applyAlignment="1">
      <alignment vertical="center"/>
    </xf>
    <xf numFmtId="2" fontId="38" fillId="12" borderId="0" xfId="0" applyNumberFormat="1" applyFont="1" applyFill="1" applyAlignment="1">
      <alignment vertical="center"/>
    </xf>
    <xf numFmtId="12" fontId="37" fillId="12" borderId="21" xfId="0" applyNumberFormat="1" applyFont="1" applyFill="1" applyBorder="1" applyAlignment="1" applyProtection="1">
      <alignment horizontal="center" vertical="center"/>
      <protection hidden="1"/>
    </xf>
    <xf numFmtId="1" fontId="37" fillId="12" borderId="0" xfId="0" applyNumberFormat="1" applyFont="1" applyFill="1" applyAlignment="1">
      <alignment horizontal="center" vertical="center"/>
    </xf>
    <xf numFmtId="2" fontId="43" fillId="12" borderId="0" xfId="0" applyNumberFormat="1" applyFont="1" applyFill="1" applyAlignment="1">
      <alignment vertical="center"/>
    </xf>
    <xf numFmtId="0" fontId="44" fillId="12" borderId="0" xfId="0" applyFont="1" applyFill="1" applyAlignment="1">
      <alignment horizontal="left" vertical="center"/>
    </xf>
    <xf numFmtId="164" fontId="38" fillId="12" borderId="0" xfId="0" applyNumberFormat="1" applyFont="1" applyFill="1" applyAlignment="1">
      <alignment vertical="center"/>
    </xf>
    <xf numFmtId="0" fontId="37" fillId="12" borderId="21" xfId="0" applyFont="1" applyFill="1" applyBorder="1" applyAlignment="1">
      <alignment horizontal="center" vertical="center"/>
    </xf>
    <xf numFmtId="164" fontId="37" fillId="12" borderId="43" xfId="0" quotePrefix="1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vertical="center"/>
    </xf>
    <xf numFmtId="0" fontId="49" fillId="12" borderId="0" xfId="0" applyFont="1" applyFill="1" applyAlignment="1">
      <alignment vertical="center"/>
    </xf>
    <xf numFmtId="164" fontId="40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 applyProtection="1">
      <alignment vertical="center"/>
      <protection locked="0"/>
    </xf>
    <xf numFmtId="2" fontId="38" fillId="12" borderId="0" xfId="0" applyNumberFormat="1" applyFont="1" applyFill="1" applyAlignment="1" applyProtection="1">
      <alignment vertical="center"/>
      <protection locked="0"/>
    </xf>
    <xf numFmtId="0" fontId="37" fillId="12" borderId="44" xfId="0" applyFont="1" applyFill="1" applyBorder="1" applyAlignment="1">
      <alignment vertical="center"/>
    </xf>
    <xf numFmtId="164" fontId="43" fillId="12" borderId="21" xfId="0" applyNumberFormat="1" applyFont="1" applyFill="1" applyBorder="1" applyAlignment="1" applyProtection="1">
      <alignment horizontal="center" vertical="center"/>
      <protection locked="0"/>
    </xf>
    <xf numFmtId="0" fontId="43" fillId="12" borderId="21" xfId="0" quotePrefix="1" applyFont="1" applyFill="1" applyBorder="1" applyAlignment="1" applyProtection="1">
      <alignment horizontal="center" vertical="center"/>
      <protection locked="0"/>
    </xf>
    <xf numFmtId="164" fontId="43" fillId="12" borderId="21" xfId="0" quotePrefix="1" applyNumberFormat="1" applyFont="1" applyFill="1" applyBorder="1" applyAlignment="1" applyProtection="1">
      <alignment horizontal="center" vertical="center"/>
      <protection locked="0"/>
    </xf>
    <xf numFmtId="2" fontId="42" fillId="12" borderId="21" xfId="0" quotePrefix="1" applyNumberFormat="1" applyFont="1" applyFill="1" applyBorder="1" applyAlignment="1" applyProtection="1">
      <alignment horizontal="center" vertical="center"/>
      <protection locked="0"/>
    </xf>
    <xf numFmtId="0" fontId="37" fillId="12" borderId="45" xfId="0" applyFont="1" applyFill="1" applyBorder="1" applyAlignment="1">
      <alignment vertical="center"/>
    </xf>
    <xf numFmtId="0" fontId="37" fillId="12" borderId="46" xfId="0" applyFont="1" applyFill="1" applyBorder="1" applyAlignment="1">
      <alignment vertical="center"/>
    </xf>
    <xf numFmtId="0" fontId="36" fillId="12" borderId="46" xfId="0" applyFont="1" applyFill="1" applyBorder="1" applyAlignment="1">
      <alignment vertical="center"/>
    </xf>
    <xf numFmtId="0" fontId="37" fillId="12" borderId="0" xfId="0" applyFont="1" applyFill="1" applyAlignment="1">
      <alignment horizontal="left" vertical="center"/>
    </xf>
    <xf numFmtId="0" fontId="0" fillId="12" borderId="47" xfId="0" applyFill="1" applyBorder="1" applyAlignment="1">
      <alignment horizontal="centerContinuous" vertical="center"/>
    </xf>
    <xf numFmtId="0" fontId="0" fillId="12" borderId="48" xfId="0" applyFill="1" applyBorder="1" applyAlignment="1">
      <alignment horizontal="centerContinuous" vertical="center"/>
    </xf>
    <xf numFmtId="0" fontId="0" fillId="12" borderId="0" xfId="0" applyFill="1" applyAlignment="1">
      <alignment horizontal="centerContinuous" vertical="center"/>
    </xf>
    <xf numFmtId="0" fontId="0" fillId="12" borderId="49" xfId="0" applyFill="1" applyBorder="1" applyAlignment="1">
      <alignment horizontal="centerContinuous" vertical="center"/>
    </xf>
    <xf numFmtId="0" fontId="0" fillId="12" borderId="49" xfId="0" applyFill="1" applyBorder="1"/>
    <xf numFmtId="0" fontId="0" fillId="12" borderId="49" xfId="0" applyFill="1" applyBorder="1" applyAlignment="1">
      <alignment vertical="center"/>
    </xf>
    <xf numFmtId="0" fontId="0" fillId="12" borderId="46" xfId="0" applyFill="1" applyBorder="1" applyAlignment="1">
      <alignment vertical="center"/>
    </xf>
    <xf numFmtId="0" fontId="0" fillId="12" borderId="50" xfId="0" applyFill="1" applyBorder="1" applyAlignment="1">
      <alignment vertical="center"/>
    </xf>
    <xf numFmtId="0" fontId="37" fillId="12" borderId="51" xfId="0" applyFont="1" applyFill="1" applyBorder="1" applyAlignment="1">
      <alignment vertical="center"/>
    </xf>
    <xf numFmtId="0" fontId="38" fillId="12" borderId="51" xfId="0" applyFont="1" applyFill="1" applyBorder="1" applyAlignment="1">
      <alignment vertical="center"/>
    </xf>
    <xf numFmtId="0" fontId="36" fillId="12" borderId="0" xfId="0" applyFont="1" applyFill="1" applyAlignment="1">
      <alignment horizontal="center" vertical="center"/>
    </xf>
    <xf numFmtId="164" fontId="36" fillId="12" borderId="0" xfId="6" applyNumberFormat="1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2" xfId="0" applyFont="1" applyFill="1" applyBorder="1" applyAlignment="1">
      <alignment horizontal="center" vertical="center"/>
    </xf>
    <xf numFmtId="2" fontId="38" fillId="12" borderId="21" xfId="0" applyNumberFormat="1" applyFont="1" applyFill="1" applyBorder="1" applyAlignment="1">
      <alignment horizontal="center" vertical="center"/>
    </xf>
    <xf numFmtId="164" fontId="38" fillId="12" borderId="21" xfId="0" applyNumberFormat="1" applyFont="1" applyFill="1" applyBorder="1" applyAlignment="1">
      <alignment horizontal="center" vertical="center"/>
    </xf>
    <xf numFmtId="2" fontId="58" fillId="12" borderId="21" xfId="0" applyNumberFormat="1" applyFont="1" applyFill="1" applyBorder="1" applyAlignment="1">
      <alignment horizontal="center" vertical="center"/>
    </xf>
    <xf numFmtId="164" fontId="38" fillId="12" borderId="0" xfId="0" applyNumberFormat="1" applyFont="1" applyFill="1" applyAlignment="1">
      <alignment horizontal="left" vertical="center"/>
    </xf>
    <xf numFmtId="0" fontId="40" fillId="12" borderId="52" xfId="0" applyFont="1" applyFill="1" applyBorder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0" fontId="38" fillId="12" borderId="21" xfId="0" applyFont="1" applyFill="1" applyBorder="1" applyAlignment="1">
      <alignment horizontal="center" vertical="center"/>
    </xf>
    <xf numFmtId="0" fontId="38" fillId="12" borderId="53" xfId="0" applyFont="1" applyFill="1" applyBorder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165" fontId="38" fillId="12" borderId="54" xfId="0" applyNumberFormat="1" applyFont="1" applyFill="1" applyBorder="1" applyAlignment="1">
      <alignment horizontal="center" vertical="center"/>
    </xf>
    <xf numFmtId="165" fontId="38" fillId="12" borderId="55" xfId="0" applyNumberFormat="1" applyFont="1" applyFill="1" applyBorder="1" applyAlignment="1">
      <alignment horizontal="center" vertical="center"/>
    </xf>
    <xf numFmtId="165" fontId="38" fillId="12" borderId="54" xfId="0" quotePrefix="1" applyNumberFormat="1" applyFont="1" applyFill="1" applyBorder="1" applyAlignment="1">
      <alignment horizontal="center" vertical="center"/>
    </xf>
    <xf numFmtId="165" fontId="38" fillId="12" borderId="55" xfId="0" quotePrefix="1" applyNumberFormat="1" applyFont="1" applyFill="1" applyBorder="1" applyAlignment="1">
      <alignment horizontal="center" vertical="center"/>
    </xf>
    <xf numFmtId="1" fontId="38" fillId="12" borderId="0" xfId="0" applyNumberFormat="1" applyFont="1" applyFill="1" applyAlignment="1">
      <alignment vertical="center"/>
    </xf>
    <xf numFmtId="0" fontId="61" fillId="12" borderId="0" xfId="0" applyFont="1" applyFill="1" applyAlignment="1">
      <alignment vertical="center"/>
    </xf>
    <xf numFmtId="0" fontId="15" fillId="12" borderId="0" xfId="0" applyFont="1" applyFill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35" fillId="0" borderId="21" xfId="0" applyNumberFormat="1" applyFont="1" applyBorder="1" applyAlignment="1">
      <alignment horizontal="center" vertical="center"/>
    </xf>
    <xf numFmtId="2" fontId="64" fillId="0" borderId="21" xfId="0" applyNumberFormat="1" applyFont="1" applyBorder="1" applyAlignment="1">
      <alignment horizontal="center" vertical="center"/>
    </xf>
    <xf numFmtId="2" fontId="34" fillId="0" borderId="2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2" fillId="13" borderId="0" xfId="0" applyNumberFormat="1" applyFont="1" applyFill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164" fontId="2" fillId="0" borderId="56" xfId="0" applyNumberFormat="1" applyFont="1" applyBorder="1" applyAlignment="1">
      <alignment horizontal="center" vertical="center"/>
    </xf>
    <xf numFmtId="2" fontId="2" fillId="0" borderId="53" xfId="0" applyNumberFormat="1" applyFont="1" applyBorder="1" applyAlignment="1">
      <alignment horizontal="center" vertical="center"/>
    </xf>
    <xf numFmtId="2" fontId="2" fillId="0" borderId="56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64" fontId="2" fillId="0" borderId="55" xfId="0" applyNumberFormat="1" applyFont="1" applyBorder="1" applyAlignment="1">
      <alignment horizontal="center" vertical="center"/>
    </xf>
    <xf numFmtId="2" fontId="2" fillId="0" borderId="55" xfId="0" applyNumberFormat="1" applyFont="1" applyBorder="1" applyAlignment="1">
      <alignment horizontal="center" vertical="center"/>
    </xf>
    <xf numFmtId="2" fontId="2" fillId="0" borderId="57" xfId="0" applyNumberFormat="1" applyFont="1" applyBorder="1" applyAlignment="1">
      <alignment horizontal="center" vertical="center"/>
    </xf>
    <xf numFmtId="2" fontId="2" fillId="14" borderId="56" xfId="0" applyNumberFormat="1" applyFont="1" applyFill="1" applyBorder="1" applyAlignment="1">
      <alignment horizontal="center" vertical="center"/>
    </xf>
    <xf numFmtId="0" fontId="39" fillId="12" borderId="47" xfId="0" applyFont="1" applyFill="1" applyBorder="1" applyAlignment="1">
      <alignment horizontal="center" vertical="center"/>
    </xf>
    <xf numFmtId="0" fontId="37" fillId="12" borderId="32" xfId="0" applyFont="1" applyFill="1" applyBorder="1" applyAlignment="1">
      <alignment vertical="center"/>
    </xf>
    <xf numFmtId="0" fontId="65" fillId="12" borderId="0" xfId="0" applyFont="1" applyFill="1" applyAlignment="1">
      <alignment horizontal="center" vertical="center"/>
    </xf>
    <xf numFmtId="0" fontId="38" fillId="12" borderId="36" xfId="0" applyFont="1" applyFill="1" applyBorder="1" applyAlignment="1">
      <alignment vertical="center"/>
    </xf>
    <xf numFmtId="0" fontId="38" fillId="12" borderId="58" xfId="0" applyFont="1" applyFill="1" applyBorder="1" applyAlignment="1">
      <alignment horizontal="center" vertical="center"/>
    </xf>
    <xf numFmtId="0" fontId="66" fillId="12" borderId="0" xfId="0" applyFont="1" applyFill="1" applyAlignment="1">
      <alignment horizontal="center" vertical="center"/>
    </xf>
    <xf numFmtId="0" fontId="37" fillId="12" borderId="36" xfId="0" applyFont="1" applyFill="1" applyBorder="1" applyAlignment="1">
      <alignment vertical="center"/>
    </xf>
    <xf numFmtId="49" fontId="37" fillId="12" borderId="0" xfId="0" applyNumberFormat="1" applyFont="1" applyFill="1" applyAlignment="1">
      <alignment vertical="center"/>
    </xf>
    <xf numFmtId="0" fontId="37" fillId="12" borderId="0" xfId="0" applyFont="1" applyFill="1" applyAlignment="1">
      <alignment horizontal="right" vertical="center"/>
    </xf>
    <xf numFmtId="165" fontId="37" fillId="12" borderId="0" xfId="0" applyNumberFormat="1" applyFont="1" applyFill="1" applyAlignment="1">
      <alignment horizontal="left" vertical="center"/>
    </xf>
    <xf numFmtId="0" fontId="42" fillId="12" borderId="0" xfId="0" applyFont="1" applyFill="1" applyAlignment="1">
      <alignment vertical="center"/>
    </xf>
    <xf numFmtId="0" fontId="43" fillId="12" borderId="0" xfId="0" applyFont="1" applyFill="1" applyAlignment="1">
      <alignment horizontal="left" vertical="center"/>
    </xf>
    <xf numFmtId="2" fontId="43" fillId="12" borderId="0" xfId="0" applyNumberFormat="1" applyFont="1" applyFill="1" applyAlignment="1">
      <alignment horizontal="center" vertical="center"/>
    </xf>
    <xf numFmtId="0" fontId="43" fillId="12" borderId="0" xfId="0" quotePrefix="1" applyFont="1" applyFill="1" applyAlignment="1">
      <alignment horizontal="center" vertical="center"/>
    </xf>
    <xf numFmtId="164" fontId="43" fillId="12" borderId="0" xfId="0" applyNumberFormat="1" applyFont="1" applyFill="1" applyAlignment="1">
      <alignment horizontal="center" vertical="center"/>
    </xf>
    <xf numFmtId="165" fontId="43" fillId="12" borderId="0" xfId="0" applyNumberFormat="1" applyFont="1" applyFill="1" applyAlignment="1">
      <alignment horizontal="center" vertical="center"/>
    </xf>
    <xf numFmtId="165" fontId="43" fillId="12" borderId="0" xfId="0" quotePrefix="1" applyNumberFormat="1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2" fontId="44" fillId="12" borderId="0" xfId="0" applyNumberFormat="1" applyFont="1" applyFill="1" applyAlignment="1">
      <alignment horizontal="center" vertical="center"/>
    </xf>
    <xf numFmtId="1" fontId="43" fillId="12" borderId="0" xfId="0" applyNumberFormat="1" applyFont="1" applyFill="1" applyAlignment="1">
      <alignment horizontal="center" vertical="center"/>
    </xf>
    <xf numFmtId="165" fontId="44" fillId="12" borderId="0" xfId="0" applyNumberFormat="1" applyFont="1" applyFill="1" applyAlignment="1">
      <alignment horizontal="left" vertical="center"/>
    </xf>
    <xf numFmtId="165" fontId="44" fillId="12" borderId="0" xfId="0" applyNumberFormat="1" applyFont="1" applyFill="1" applyAlignment="1">
      <alignment horizontal="center" vertical="center"/>
    </xf>
    <xf numFmtId="164" fontId="44" fillId="12" borderId="0" xfId="0" applyNumberFormat="1" applyFont="1" applyFill="1" applyAlignment="1">
      <alignment horizontal="center" vertical="center"/>
    </xf>
    <xf numFmtId="0" fontId="44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164" fontId="37" fillId="12" borderId="0" xfId="0" applyNumberFormat="1" applyFont="1" applyFill="1" applyAlignment="1">
      <alignment vertical="center"/>
    </xf>
    <xf numFmtId="166" fontId="37" fillId="12" borderId="0" xfId="0" applyNumberFormat="1" applyFont="1" applyFill="1" applyAlignment="1">
      <alignment horizontal="left" vertical="center"/>
    </xf>
    <xf numFmtId="0" fontId="37" fillId="12" borderId="58" xfId="0" applyFont="1" applyFill="1" applyBorder="1" applyAlignment="1">
      <alignment horizontal="center" vertical="center"/>
    </xf>
    <xf numFmtId="0" fontId="37" fillId="12" borderId="59" xfId="0" applyFont="1" applyFill="1" applyBorder="1" applyAlignment="1">
      <alignment vertical="center"/>
    </xf>
    <xf numFmtId="0" fontId="37" fillId="12" borderId="60" xfId="0" applyFont="1" applyFill="1" applyBorder="1" applyAlignment="1">
      <alignment vertical="center"/>
    </xf>
    <xf numFmtId="0" fontId="37" fillId="12" borderId="20" xfId="0" applyFont="1" applyFill="1" applyBorder="1" applyAlignment="1">
      <alignment horizontal="center" vertical="center"/>
    </xf>
    <xf numFmtId="0" fontId="37" fillId="12" borderId="56" xfId="0" applyFont="1" applyFill="1" applyBorder="1" applyAlignment="1">
      <alignment vertical="center"/>
    </xf>
    <xf numFmtId="0" fontId="37" fillId="12" borderId="41" xfId="0" applyFont="1" applyFill="1" applyBorder="1" applyAlignment="1">
      <alignment vertical="center"/>
    </xf>
    <xf numFmtId="0" fontId="37" fillId="12" borderId="57" xfId="0" applyFont="1" applyFill="1" applyBorder="1" applyAlignment="1">
      <alignment vertical="center"/>
    </xf>
    <xf numFmtId="0" fontId="37" fillId="12" borderId="61" xfId="0" applyFont="1" applyFill="1" applyBorder="1" applyAlignment="1">
      <alignment vertical="center"/>
    </xf>
    <xf numFmtId="165" fontId="37" fillId="12" borderId="54" xfId="0" applyNumberFormat="1" applyFont="1" applyFill="1" applyBorder="1" applyAlignment="1">
      <alignment horizontal="center" vertical="center"/>
    </xf>
    <xf numFmtId="0" fontId="37" fillId="12" borderId="62" xfId="0" applyFont="1" applyFill="1" applyBorder="1" applyAlignment="1">
      <alignment vertical="center"/>
    </xf>
    <xf numFmtId="0" fontId="37" fillId="12" borderId="63" xfId="0" applyFont="1" applyFill="1" applyBorder="1" applyAlignment="1">
      <alignment vertical="center"/>
    </xf>
    <xf numFmtId="2" fontId="37" fillId="12" borderId="21" xfId="0" applyNumberFormat="1" applyFont="1" applyFill="1" applyBorder="1" applyAlignment="1">
      <alignment horizontal="center" vertical="center"/>
    </xf>
    <xf numFmtId="0" fontId="46" fillId="12" borderId="0" xfId="0" applyFont="1" applyFill="1" applyAlignment="1">
      <alignment vertical="center"/>
    </xf>
    <xf numFmtId="0" fontId="37" fillId="12" borderId="0" xfId="0" applyFont="1" applyFill="1" applyAlignment="1">
      <alignment horizontal="left" vertical="center" indent="1"/>
    </xf>
    <xf numFmtId="2" fontId="41" fillId="12" borderId="0" xfId="0" applyNumberFormat="1" applyFont="1" applyFill="1" applyAlignment="1">
      <alignment horizontal="center" vertical="center"/>
    </xf>
    <xf numFmtId="0" fontId="36" fillId="12" borderId="0" xfId="0" applyFont="1" applyFill="1" applyAlignment="1">
      <alignment horizontal="centerContinuous" vertical="center"/>
    </xf>
    <xf numFmtId="0" fontId="71" fillId="12" borderId="0" xfId="0" applyFont="1" applyFill="1" applyAlignment="1">
      <alignment vertical="center"/>
    </xf>
    <xf numFmtId="164" fontId="41" fillId="12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2" borderId="46" xfId="0" applyFont="1" applyFill="1" applyBorder="1" applyAlignment="1">
      <alignment vertical="center"/>
    </xf>
    <xf numFmtId="0" fontId="51" fillId="12" borderId="0" xfId="0" applyFont="1" applyFill="1" applyAlignment="1">
      <alignment horizontal="center" vertical="center"/>
    </xf>
    <xf numFmtId="0" fontId="50" fillId="12" borderId="0" xfId="0" applyFont="1" applyFill="1" applyAlignment="1">
      <alignment vertical="center"/>
    </xf>
    <xf numFmtId="0" fontId="52" fillId="12" borderId="0" xfId="0" applyFont="1" applyFill="1" applyAlignment="1">
      <alignment horizontal="center" vertical="center"/>
    </xf>
    <xf numFmtId="0" fontId="52" fillId="12" borderId="0" xfId="0" applyFont="1" applyFill="1" applyAlignment="1">
      <alignment vertical="center"/>
    </xf>
    <xf numFmtId="0" fontId="54" fillId="12" borderId="0" xfId="0" applyFont="1" applyFill="1" applyAlignment="1">
      <alignment vertical="center"/>
    </xf>
    <xf numFmtId="0" fontId="0" fillId="12" borderId="64" xfId="0" applyFill="1" applyBorder="1" applyAlignment="1">
      <alignment horizontal="left" vertical="center"/>
    </xf>
    <xf numFmtId="0" fontId="54" fillId="12" borderId="64" xfId="0" applyFont="1" applyFill="1" applyBorder="1" applyAlignment="1">
      <alignment vertical="center"/>
    </xf>
    <xf numFmtId="49" fontId="54" fillId="12" borderId="65" xfId="0" applyNumberFormat="1" applyFont="1" applyFill="1" applyBorder="1" applyAlignment="1">
      <alignment vertical="center"/>
    </xf>
    <xf numFmtId="166" fontId="0" fillId="12" borderId="64" xfId="0" applyNumberFormat="1" applyFill="1" applyBorder="1" applyAlignment="1">
      <alignment horizontal="left" vertical="center"/>
    </xf>
    <xf numFmtId="49" fontId="54" fillId="12" borderId="0" xfId="0" applyNumberFormat="1" applyFont="1" applyFill="1" applyAlignment="1">
      <alignment vertical="center"/>
    </xf>
    <xf numFmtId="0" fontId="0" fillId="12" borderId="66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2" fontId="54" fillId="12" borderId="0" xfId="0" quotePrefix="1" applyNumberFormat="1" applyFont="1" applyFill="1" applyAlignment="1">
      <alignment horizontal="left" vertical="center"/>
    </xf>
    <xf numFmtId="49" fontId="0" fillId="12" borderId="0" xfId="0" applyNumberFormat="1" applyFill="1" applyAlignment="1">
      <alignment horizontal="left" vertical="center"/>
    </xf>
    <xf numFmtId="0" fontId="62" fillId="12" borderId="21" xfId="0" applyFont="1" applyFill="1" applyBorder="1" applyAlignment="1">
      <alignment vertical="center"/>
    </xf>
    <xf numFmtId="0" fontId="58" fillId="12" borderId="21" xfId="0" quotePrefix="1" applyFont="1" applyFill="1" applyBorder="1" applyAlignment="1">
      <alignment horizontal="center" vertical="center"/>
    </xf>
    <xf numFmtId="0" fontId="20" fillId="12" borderId="42" xfId="0" applyFont="1" applyFill="1" applyBorder="1" applyAlignment="1">
      <alignment vertical="center"/>
    </xf>
    <xf numFmtId="0" fontId="0" fillId="12" borderId="67" xfId="0" applyFill="1" applyBorder="1" applyAlignment="1">
      <alignment horizontal="left" vertical="center"/>
    </xf>
    <xf numFmtId="0" fontId="0" fillId="12" borderId="67" xfId="0" applyFill="1" applyBorder="1" applyAlignment="1">
      <alignment horizontal="center" vertical="center"/>
    </xf>
    <xf numFmtId="0" fontId="0" fillId="12" borderId="68" xfId="0" applyFill="1" applyBorder="1" applyAlignment="1">
      <alignment horizontal="center" vertical="center"/>
    </xf>
    <xf numFmtId="0" fontId="0" fillId="12" borderId="69" xfId="0" applyFill="1" applyBorder="1" applyAlignment="1">
      <alignment vertical="center"/>
    </xf>
    <xf numFmtId="0" fontId="0" fillId="12" borderId="64" xfId="0" applyFill="1" applyBorder="1" applyAlignment="1">
      <alignment horizontal="center" vertical="center"/>
    </xf>
    <xf numFmtId="0" fontId="0" fillId="12" borderId="70" xfId="0" applyFill="1" applyBorder="1" applyAlignment="1">
      <alignment horizontal="center" vertical="center"/>
    </xf>
    <xf numFmtId="0" fontId="0" fillId="12" borderId="71" xfId="0" applyFill="1" applyBorder="1" applyAlignment="1">
      <alignment vertical="center"/>
    </xf>
    <xf numFmtId="2" fontId="0" fillId="12" borderId="65" xfId="0" applyNumberFormat="1" applyFill="1" applyBorder="1" applyAlignment="1">
      <alignment horizontal="center" vertical="center"/>
    </xf>
    <xf numFmtId="164" fontId="0" fillId="12" borderId="72" xfId="0" applyNumberFormat="1" applyFill="1" applyBorder="1" applyAlignment="1">
      <alignment horizontal="center" vertical="center"/>
    </xf>
    <xf numFmtId="0" fontId="20" fillId="12" borderId="71" xfId="0" applyFont="1" applyFill="1" applyBorder="1" applyAlignment="1">
      <alignment vertical="center"/>
    </xf>
    <xf numFmtId="0" fontId="0" fillId="12" borderId="72" xfId="0" applyFill="1" applyBorder="1" applyAlignment="1">
      <alignment vertical="center"/>
    </xf>
    <xf numFmtId="0" fontId="0" fillId="12" borderId="73" xfId="0" applyFill="1" applyBorder="1" applyAlignment="1">
      <alignment vertical="center"/>
    </xf>
    <xf numFmtId="0" fontId="0" fillId="12" borderId="74" xfId="0" applyFill="1" applyBorder="1" applyAlignment="1">
      <alignment vertical="center"/>
    </xf>
    <xf numFmtId="0" fontId="0" fillId="12" borderId="75" xfId="0" applyFill="1" applyBorder="1" applyAlignment="1">
      <alignment vertical="center"/>
    </xf>
    <xf numFmtId="0" fontId="20" fillId="12" borderId="0" xfId="0" applyFont="1" applyFill="1" applyAlignment="1">
      <alignment vertical="center"/>
    </xf>
    <xf numFmtId="0" fontId="55" fillId="12" borderId="0" xfId="0" applyFont="1" applyFill="1" applyAlignment="1">
      <alignment vertical="center"/>
    </xf>
    <xf numFmtId="18" fontId="54" fillId="15" borderId="0" xfId="0" applyNumberFormat="1" applyFont="1" applyFill="1" applyAlignment="1" applyProtection="1">
      <alignment horizontal="left" vertical="center"/>
      <protection locked="0"/>
    </xf>
    <xf numFmtId="0" fontId="54" fillId="15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left" vertical="center"/>
    </xf>
    <xf numFmtId="0" fontId="72" fillId="12" borderId="0" xfId="0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horizontal="center" vertical="center"/>
    </xf>
    <xf numFmtId="0" fontId="73" fillId="12" borderId="0" xfId="0" applyFont="1" applyFill="1" applyAlignment="1" applyProtection="1">
      <alignment horizontal="center" vertical="center"/>
      <protection locked="0"/>
    </xf>
    <xf numFmtId="1" fontId="73" fillId="12" borderId="0" xfId="0" applyNumberFormat="1" applyFont="1" applyFill="1" applyAlignment="1" applyProtection="1">
      <alignment horizontal="center" vertical="center"/>
      <protection locked="0"/>
    </xf>
    <xf numFmtId="0" fontId="74" fillId="12" borderId="0" xfId="0" applyFont="1" applyFill="1" applyAlignment="1" applyProtection="1">
      <alignment horizontal="center" vertical="center"/>
      <protection locked="0"/>
    </xf>
    <xf numFmtId="168" fontId="72" fillId="12" borderId="0" xfId="0" applyNumberFormat="1" applyFont="1" applyFill="1" applyAlignment="1" applyProtection="1">
      <alignment horizontal="center" vertical="center"/>
      <protection locked="0"/>
    </xf>
    <xf numFmtId="165" fontId="72" fillId="12" borderId="0" xfId="0" applyNumberFormat="1" applyFont="1" applyFill="1" applyAlignment="1" applyProtection="1">
      <alignment horizontal="center" vertical="center"/>
      <protection locked="0"/>
    </xf>
    <xf numFmtId="2" fontId="72" fillId="12" borderId="0" xfId="0" applyNumberFormat="1" applyFont="1" applyFill="1" applyAlignment="1" applyProtection="1">
      <alignment horizontal="center" vertical="center"/>
      <protection locked="0"/>
    </xf>
    <xf numFmtId="165" fontId="74" fillId="12" borderId="0" xfId="0" applyNumberFormat="1" applyFont="1" applyFill="1" applyAlignment="1" applyProtection="1">
      <alignment horizontal="center" vertical="center"/>
      <protection locked="0"/>
    </xf>
    <xf numFmtId="2" fontId="74" fillId="12" borderId="0" xfId="0" applyNumberFormat="1" applyFont="1" applyFill="1" applyAlignment="1" applyProtection="1">
      <alignment horizontal="center" vertical="center"/>
      <protection locked="0"/>
    </xf>
    <xf numFmtId="0" fontId="54" fillId="12" borderId="0" xfId="0" applyFont="1" applyFill="1" applyAlignment="1">
      <alignment horizontal="left" vertical="center"/>
    </xf>
    <xf numFmtId="0" fontId="54" fillId="12" borderId="0" xfId="0" applyFont="1" applyFill="1" applyAlignment="1">
      <alignment horizontal="center" vertical="center"/>
    </xf>
    <xf numFmtId="0" fontId="54" fillId="12" borderId="0" xfId="0" applyFont="1" applyFill="1" applyAlignment="1" applyProtection="1">
      <alignment horizontal="center" vertical="center"/>
      <protection locked="0"/>
    </xf>
    <xf numFmtId="164" fontId="54" fillId="12" borderId="0" xfId="0" applyNumberFormat="1" applyFont="1" applyFill="1" applyAlignment="1" applyProtection="1">
      <alignment horizontal="left" vertical="center"/>
      <protection locked="0"/>
    </xf>
    <xf numFmtId="168" fontId="54" fillId="12" borderId="0" xfId="0" applyNumberFormat="1" applyFont="1" applyFill="1" applyAlignment="1" applyProtection="1">
      <alignment horizontal="left" vertical="center"/>
      <protection locked="0"/>
    </xf>
    <xf numFmtId="0" fontId="72" fillId="12" borderId="0" xfId="0" applyFont="1" applyFill="1" applyAlignment="1">
      <alignment vertical="center"/>
    </xf>
    <xf numFmtId="49" fontId="72" fillId="12" borderId="35" xfId="0" applyNumberFormat="1" applyFont="1" applyFill="1" applyBorder="1" applyAlignment="1">
      <alignment horizontal="left" vertical="center"/>
    </xf>
    <xf numFmtId="165" fontId="76" fillId="12" borderId="21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vertical="center"/>
    </xf>
    <xf numFmtId="168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vertical="center"/>
    </xf>
    <xf numFmtId="2" fontId="0" fillId="0" borderId="21" xfId="0" applyNumberForma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1" fontId="41" fillId="12" borderId="21" xfId="0" applyNumberFormat="1" applyFont="1" applyFill="1" applyBorder="1" applyAlignment="1">
      <alignment horizontal="center" vertical="center"/>
    </xf>
    <xf numFmtId="2" fontId="34" fillId="13" borderId="0" xfId="0" applyNumberFormat="1" applyFont="1" applyFill="1" applyAlignment="1">
      <alignment horizontal="center" vertical="center"/>
    </xf>
    <xf numFmtId="0" fontId="46" fillId="12" borderId="20" xfId="0" applyFont="1" applyFill="1" applyBorder="1" applyAlignment="1">
      <alignment horizontal="center" vertical="center"/>
    </xf>
    <xf numFmtId="0" fontId="46" fillId="12" borderId="21" xfId="0" applyFont="1" applyFill="1" applyBorder="1" applyAlignment="1">
      <alignment horizontal="center" vertical="center"/>
    </xf>
    <xf numFmtId="164" fontId="46" fillId="12" borderId="21" xfId="0" applyNumberFormat="1" applyFont="1" applyFill="1" applyBorder="1" applyAlignment="1">
      <alignment horizontal="center" vertical="center"/>
    </xf>
    <xf numFmtId="2" fontId="81" fillId="12" borderId="21" xfId="0" applyNumberFormat="1" applyFont="1" applyFill="1" applyBorder="1" applyAlignment="1">
      <alignment horizontal="center" vertical="center"/>
    </xf>
    <xf numFmtId="0" fontId="62" fillId="0" borderId="0" xfId="0" applyFont="1"/>
    <xf numFmtId="0" fontId="72" fillId="0" borderId="0" xfId="0" applyFont="1"/>
    <xf numFmtId="0" fontId="0" fillId="0" borderId="0" xfId="0" applyAlignment="1">
      <alignment horizontal="center"/>
    </xf>
    <xf numFmtId="0" fontId="84" fillId="0" borderId="0" xfId="0" applyFont="1"/>
    <xf numFmtId="0" fontId="54" fillId="0" borderId="0" xfId="0" applyFont="1"/>
    <xf numFmtId="0" fontId="54" fillId="15" borderId="0" xfId="0" applyFont="1" applyFill="1" applyAlignment="1" applyProtection="1">
      <alignment horizontal="center" vertical="center"/>
      <protection locked="0"/>
    </xf>
    <xf numFmtId="165" fontId="0" fillId="0" borderId="0" xfId="0" applyNumberFormat="1"/>
    <xf numFmtId="0" fontId="51" fillId="0" borderId="0" xfId="0" applyFont="1" applyAlignment="1">
      <alignment horizontal="center"/>
    </xf>
    <xf numFmtId="0" fontId="62" fillId="12" borderId="0" xfId="0" applyFont="1" applyFill="1"/>
    <xf numFmtId="0" fontId="51" fillId="12" borderId="46" xfId="0" applyFont="1" applyFill="1" applyBorder="1"/>
    <xf numFmtId="0" fontId="51" fillId="12" borderId="0" xfId="0" applyFont="1" applyFill="1"/>
    <xf numFmtId="0" fontId="72" fillId="12" borderId="0" xfId="0" applyFont="1" applyFill="1"/>
    <xf numFmtId="0" fontId="72" fillId="12" borderId="0" xfId="0" applyFont="1" applyFill="1" applyAlignment="1" applyProtection="1">
      <alignment horizontal="center" vertical="center"/>
      <protection locked="0"/>
    </xf>
    <xf numFmtId="0" fontId="72" fillId="12" borderId="0" xfId="0" quotePrefix="1" applyFont="1" applyFill="1" applyAlignment="1">
      <alignment horizontal="left" vertical="center"/>
    </xf>
    <xf numFmtId="0" fontId="72" fillId="12" borderId="24" xfId="0" applyFont="1" applyFill="1" applyBorder="1" applyAlignment="1">
      <alignment horizontal="center" vertical="center"/>
    </xf>
    <xf numFmtId="0" fontId="72" fillId="12" borderId="20" xfId="0" applyFont="1" applyFill="1" applyBorder="1" applyAlignment="1">
      <alignment horizontal="center" vertical="center"/>
    </xf>
    <xf numFmtId="0" fontId="84" fillId="12" borderId="21" xfId="0" applyFont="1" applyFill="1" applyBorder="1" applyAlignment="1">
      <alignment horizontal="center" vertical="center"/>
    </xf>
    <xf numFmtId="168" fontId="84" fillId="12" borderId="21" xfId="0" applyNumberFormat="1" applyFont="1" applyFill="1" applyBorder="1" applyAlignment="1" applyProtection="1">
      <alignment horizontal="center" vertical="center"/>
      <protection locked="0"/>
    </xf>
    <xf numFmtId="165" fontId="84" fillId="12" borderId="21" xfId="0" applyNumberFormat="1" applyFont="1" applyFill="1" applyBorder="1" applyAlignment="1" applyProtection="1">
      <alignment horizontal="center" vertical="center"/>
      <protection locked="0"/>
    </xf>
    <xf numFmtId="2" fontId="84" fillId="12" borderId="21" xfId="0" applyNumberFormat="1" applyFont="1" applyFill="1" applyBorder="1" applyAlignment="1" applyProtection="1">
      <alignment horizontal="center" vertical="center"/>
      <protection locked="0"/>
    </xf>
    <xf numFmtId="164" fontId="73" fillId="15" borderId="21" xfId="0" applyNumberFormat="1" applyFont="1" applyFill="1" applyBorder="1" applyAlignment="1" applyProtection="1">
      <alignment horizontal="center" vertical="center"/>
      <protection locked="0"/>
    </xf>
    <xf numFmtId="0" fontId="73" fillId="15" borderId="21" xfId="0" applyFont="1" applyFill="1" applyBorder="1" applyAlignment="1" applyProtection="1">
      <alignment horizontal="center" vertical="center"/>
      <protection locked="0"/>
    </xf>
    <xf numFmtId="168" fontId="73" fillId="15" borderId="21" xfId="0" applyNumberFormat="1" applyFont="1" applyFill="1" applyBorder="1" applyAlignment="1" applyProtection="1">
      <alignment horizontal="center" vertical="center"/>
      <protection locked="0"/>
    </xf>
    <xf numFmtId="165" fontId="51" fillId="12" borderId="0" xfId="0" applyNumberFormat="1" applyFont="1" applyFill="1" applyAlignment="1" applyProtection="1">
      <alignment horizontal="center" vertical="center"/>
      <protection locked="0"/>
    </xf>
    <xf numFmtId="165" fontId="51" fillId="12" borderId="0" xfId="0" quotePrefix="1" applyNumberFormat="1" applyFont="1" applyFill="1" applyAlignment="1" applyProtection="1">
      <alignment horizontal="center" vertical="center"/>
      <protection locked="0"/>
    </xf>
    <xf numFmtId="164" fontId="54" fillId="12" borderId="0" xfId="0" applyNumberFormat="1" applyFont="1" applyFill="1" applyAlignment="1" applyProtection="1">
      <alignment horizontal="center" vertical="center"/>
      <protection locked="0"/>
    </xf>
    <xf numFmtId="0" fontId="62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73" fillId="16" borderId="42" xfId="0" applyFont="1" applyFill="1" applyBorder="1" applyAlignment="1">
      <alignment horizontal="center"/>
    </xf>
    <xf numFmtId="0" fontId="73" fillId="16" borderId="33" xfId="0" applyFont="1" applyFill="1" applyBorder="1" applyAlignment="1">
      <alignment horizontal="center"/>
    </xf>
    <xf numFmtId="0" fontId="79" fillId="16" borderId="33" xfId="0" applyFont="1" applyFill="1" applyBorder="1" applyAlignment="1">
      <alignment horizontal="center"/>
    </xf>
    <xf numFmtId="168" fontId="79" fillId="16" borderId="33" xfId="0" applyNumberFormat="1" applyFont="1" applyFill="1" applyBorder="1" applyAlignment="1">
      <alignment horizontal="center"/>
    </xf>
    <xf numFmtId="168" fontId="79" fillId="16" borderId="77" xfId="0" applyNumberFormat="1" applyFont="1" applyFill="1" applyBorder="1" applyAlignment="1">
      <alignment horizontal="center"/>
    </xf>
    <xf numFmtId="0" fontId="73" fillId="16" borderId="59" xfId="0" applyFont="1" applyFill="1" applyBorder="1" applyAlignment="1">
      <alignment horizontal="center"/>
    </xf>
    <xf numFmtId="0" fontId="73" fillId="16" borderId="0" xfId="0" applyFont="1" applyFill="1" applyAlignment="1">
      <alignment horizontal="center"/>
    </xf>
    <xf numFmtId="0" fontId="79" fillId="16" borderId="0" xfId="0" applyFont="1" applyFill="1" applyAlignment="1">
      <alignment horizontal="center"/>
    </xf>
    <xf numFmtId="0" fontId="79" fillId="16" borderId="78" xfId="0" applyFont="1" applyFill="1" applyBorder="1" applyAlignment="1">
      <alignment horizontal="center"/>
    </xf>
    <xf numFmtId="0" fontId="73" fillId="16" borderId="31" xfId="0" applyFont="1" applyFill="1" applyBorder="1" applyAlignment="1">
      <alignment horizontal="center"/>
    </xf>
    <xf numFmtId="0" fontId="73" fillId="16" borderId="34" xfId="0" applyFont="1" applyFill="1" applyBorder="1" applyAlignment="1">
      <alignment horizontal="center"/>
    </xf>
    <xf numFmtId="0" fontId="79" fillId="16" borderId="34" xfId="0" applyFont="1" applyFill="1" applyBorder="1" applyAlignment="1">
      <alignment horizontal="center"/>
    </xf>
    <xf numFmtId="168" fontId="79" fillId="16" borderId="32" xfId="0" applyNumberFormat="1" applyFont="1" applyFill="1" applyBorder="1" applyAlignment="1">
      <alignment horizontal="center"/>
    </xf>
    <xf numFmtId="0" fontId="43" fillId="12" borderId="40" xfId="0" applyFont="1" applyFill="1" applyBorder="1" applyAlignment="1">
      <alignment horizontal="center" vertical="center"/>
    </xf>
    <xf numFmtId="0" fontId="38" fillId="12" borderId="79" xfId="0" applyFont="1" applyFill="1" applyBorder="1" applyAlignment="1">
      <alignment horizontal="center" vertical="center"/>
    </xf>
    <xf numFmtId="2" fontId="38" fillId="12" borderId="53" xfId="0" applyNumberFormat="1" applyFont="1" applyFill="1" applyBorder="1" applyAlignment="1">
      <alignment horizontal="center" vertical="center"/>
    </xf>
    <xf numFmtId="164" fontId="38" fillId="12" borderId="53" xfId="0" applyNumberFormat="1" applyFont="1" applyFill="1" applyBorder="1" applyAlignment="1">
      <alignment horizontal="center" vertical="center"/>
    </xf>
    <xf numFmtId="0" fontId="85" fillId="12" borderId="0" xfId="0" applyFont="1" applyFill="1" applyAlignment="1">
      <alignment vertical="center"/>
    </xf>
    <xf numFmtId="0" fontId="42" fillId="12" borderId="21" xfId="0" applyFont="1" applyFill="1" applyBorder="1" applyAlignment="1">
      <alignment horizontal="center" vertical="center"/>
    </xf>
    <xf numFmtId="0" fontId="37" fillId="12" borderId="80" xfId="0" applyFont="1" applyFill="1" applyBorder="1" applyAlignment="1">
      <alignment vertical="center"/>
    </xf>
    <xf numFmtId="0" fontId="37" fillId="12" borderId="81" xfId="0" applyFont="1" applyFill="1" applyBorder="1" applyAlignment="1">
      <alignment vertical="center"/>
    </xf>
    <xf numFmtId="0" fontId="37" fillId="12" borderId="81" xfId="0" applyFont="1" applyFill="1" applyBorder="1" applyAlignment="1">
      <alignment horizontal="right" vertical="center"/>
    </xf>
    <xf numFmtId="0" fontId="36" fillId="12" borderId="81" xfId="0" applyFont="1" applyFill="1" applyBorder="1" applyAlignment="1">
      <alignment horizontal="center" vertical="center"/>
    </xf>
    <xf numFmtId="0" fontId="37" fillId="12" borderId="81" xfId="0" applyFont="1" applyFill="1" applyBorder="1" applyAlignment="1">
      <alignment horizontal="left" vertical="center"/>
    </xf>
    <xf numFmtId="0" fontId="37" fillId="12" borderId="82" xfId="0" applyFont="1" applyFill="1" applyBorder="1" applyAlignment="1">
      <alignment vertical="center"/>
    </xf>
    <xf numFmtId="0" fontId="37" fillId="12" borderId="52" xfId="0" applyFont="1" applyFill="1" applyBorder="1" applyAlignment="1">
      <alignment vertical="center"/>
    </xf>
    <xf numFmtId="0" fontId="37" fillId="12" borderId="52" xfId="0" applyFont="1" applyFill="1" applyBorder="1" applyAlignment="1">
      <alignment horizontal="right" vertical="center"/>
    </xf>
    <xf numFmtId="0" fontId="36" fillId="12" borderId="52" xfId="0" applyFont="1" applyFill="1" applyBorder="1" applyAlignment="1">
      <alignment horizontal="left" vertical="center"/>
    </xf>
    <xf numFmtId="0" fontId="37" fillId="12" borderId="52" xfId="0" applyFont="1" applyFill="1" applyBorder="1" applyAlignment="1">
      <alignment horizontal="left" vertical="center"/>
    </xf>
    <xf numFmtId="0" fontId="37" fillId="12" borderId="83" xfId="0" applyFont="1" applyFill="1" applyBorder="1" applyAlignment="1">
      <alignment horizontal="right" vertical="center"/>
    </xf>
    <xf numFmtId="0" fontId="37" fillId="12" borderId="84" xfId="0" applyFont="1" applyFill="1" applyBorder="1" applyAlignment="1">
      <alignment horizontal="right" vertical="center"/>
    </xf>
    <xf numFmtId="165" fontId="36" fillId="12" borderId="85" xfId="0" applyNumberFormat="1" applyFont="1" applyFill="1" applyBorder="1" applyAlignment="1">
      <alignment horizontal="center" vertical="center"/>
    </xf>
    <xf numFmtId="164" fontId="36" fillId="12" borderId="86" xfId="0" applyNumberFormat="1" applyFont="1" applyFill="1" applyBorder="1" applyAlignment="1">
      <alignment horizontal="center" vertical="center"/>
    </xf>
    <xf numFmtId="1" fontId="37" fillId="12" borderId="0" xfId="0" applyNumberFormat="1" applyFont="1" applyFill="1" applyAlignment="1">
      <alignment vertical="center"/>
    </xf>
    <xf numFmtId="1" fontId="37" fillId="12" borderId="0" xfId="0" applyNumberFormat="1" applyFont="1" applyFill="1" applyAlignment="1">
      <alignment horizontal="left" vertical="center"/>
    </xf>
    <xf numFmtId="165" fontId="2" fillId="0" borderId="56" xfId="0" applyNumberFormat="1" applyFont="1" applyBorder="1" applyAlignment="1">
      <alignment horizontal="center" vertical="center"/>
    </xf>
    <xf numFmtId="165" fontId="2" fillId="0" borderId="57" xfId="0" applyNumberFormat="1" applyFont="1" applyBorder="1" applyAlignment="1">
      <alignment horizontal="center" vertical="center"/>
    </xf>
    <xf numFmtId="165" fontId="2" fillId="0" borderId="53" xfId="0" applyNumberFormat="1" applyFont="1" applyBorder="1" applyAlignment="1">
      <alignment horizontal="center" vertical="center"/>
    </xf>
    <xf numFmtId="165" fontId="2" fillId="0" borderId="55" xfId="0" applyNumberFormat="1" applyFont="1" applyBorder="1" applyAlignment="1">
      <alignment horizontal="center" vertical="center"/>
    </xf>
    <xf numFmtId="0" fontId="38" fillId="12" borderId="21" xfId="0" quotePrefix="1" applyFont="1" applyFill="1" applyBorder="1" applyAlignment="1">
      <alignment horizontal="center" vertical="center"/>
    </xf>
    <xf numFmtId="2" fontId="88" fillId="0" borderId="87" xfId="0" applyNumberFormat="1" applyFont="1" applyBorder="1" applyAlignment="1" applyProtection="1">
      <alignment horizontal="center"/>
      <protection locked="0"/>
    </xf>
    <xf numFmtId="2" fontId="88" fillId="0" borderId="88" xfId="0" applyNumberFormat="1" applyFont="1" applyBorder="1" applyAlignment="1" applyProtection="1">
      <alignment horizontal="center"/>
      <protection locked="0"/>
    </xf>
    <xf numFmtId="164" fontId="2" fillId="12" borderId="0" xfId="2" applyNumberFormat="1" applyFont="1" applyFill="1" applyAlignment="1" applyProtection="1">
      <alignment horizontal="right"/>
      <protection hidden="1"/>
    </xf>
    <xf numFmtId="0" fontId="70" fillId="12" borderId="0" xfId="0" applyFont="1" applyFill="1" applyAlignment="1">
      <alignment horizontal="left" vertical="center"/>
    </xf>
    <xf numFmtId="0" fontId="71" fillId="12" borderId="0" xfId="0" applyFont="1" applyFill="1" applyAlignment="1">
      <alignment horizontal="centerContinuous" vertical="center"/>
    </xf>
    <xf numFmtId="0" fontId="37" fillId="12" borderId="0" xfId="0" quotePrefix="1" applyFont="1" applyFill="1" applyAlignment="1">
      <alignment vertical="center"/>
    </xf>
    <xf numFmtId="164" fontId="40" fillId="12" borderId="0" xfId="0" applyNumberFormat="1" applyFont="1" applyFill="1" applyAlignment="1">
      <alignment horizontal="left" vertical="center"/>
    </xf>
    <xf numFmtId="0" fontId="37" fillId="12" borderId="36" xfId="0" applyFont="1" applyFill="1" applyBorder="1" applyAlignment="1" applyProtection="1">
      <alignment horizontal="right" vertical="center"/>
      <protection locked="0"/>
    </xf>
    <xf numFmtId="0" fontId="38" fillId="12" borderId="36" xfId="0" applyFont="1" applyFill="1" applyBorder="1" applyAlignment="1">
      <alignment horizontal="right" vertical="center"/>
    </xf>
    <xf numFmtId="165" fontId="44" fillId="12" borderId="0" xfId="0" applyNumberFormat="1" applyFont="1" applyFill="1" applyAlignment="1">
      <alignment vertical="center"/>
    </xf>
    <xf numFmtId="0" fontId="91" fillId="0" borderId="0" xfId="0" applyFont="1" applyAlignment="1">
      <alignment horizontal="center" vertical="center"/>
    </xf>
    <xf numFmtId="0" fontId="42" fillId="12" borderId="41" xfId="0" applyFont="1" applyFill="1" applyBorder="1" applyAlignment="1">
      <alignment vertical="center"/>
    </xf>
    <xf numFmtId="0" fontId="90" fillId="12" borderId="21" xfId="0" applyFont="1" applyFill="1" applyBorder="1" applyAlignment="1">
      <alignment horizontal="center" vertical="center"/>
    </xf>
    <xf numFmtId="2" fontId="90" fillId="12" borderId="21" xfId="0" applyNumberFormat="1" applyFont="1" applyFill="1" applyBorder="1" applyAlignment="1">
      <alignment horizontal="center" vertical="center"/>
    </xf>
    <xf numFmtId="165" fontId="85" fillId="12" borderId="0" xfId="0" applyNumberFormat="1" applyFont="1" applyFill="1" applyAlignment="1">
      <alignment vertical="center"/>
    </xf>
    <xf numFmtId="0" fontId="42" fillId="7" borderId="0" xfId="0" applyFont="1" applyFill="1" applyAlignment="1">
      <alignment vertical="center"/>
    </xf>
    <xf numFmtId="0" fontId="90" fillId="12" borderId="20" xfId="0" applyFont="1" applyFill="1" applyBorder="1" applyAlignment="1">
      <alignment horizontal="center" vertical="center"/>
    </xf>
    <xf numFmtId="0" fontId="92" fillId="12" borderId="44" xfId="0" applyFont="1" applyFill="1" applyBorder="1" applyAlignment="1">
      <alignment vertical="center"/>
    </xf>
    <xf numFmtId="164" fontId="40" fillId="12" borderId="0" xfId="0" applyNumberFormat="1" applyFont="1" applyFill="1" applyAlignment="1">
      <alignment horizontal="center" vertical="center"/>
    </xf>
    <xf numFmtId="164" fontId="36" fillId="12" borderId="89" xfId="0" applyNumberFormat="1" applyFont="1" applyFill="1" applyBorder="1" applyAlignment="1">
      <alignment horizontal="center" vertical="center"/>
    </xf>
    <xf numFmtId="164" fontId="36" fillId="12" borderId="90" xfId="0" applyNumberFormat="1" applyFont="1" applyFill="1" applyBorder="1" applyAlignment="1">
      <alignment horizontal="center" vertical="center"/>
    </xf>
    <xf numFmtId="0" fontId="17" fillId="12" borderId="0" xfId="2" applyFont="1" applyFill="1" applyAlignment="1">
      <alignment horizontal="centerContinuous"/>
    </xf>
    <xf numFmtId="0" fontId="94" fillId="12" borderId="0" xfId="2" applyFont="1" applyFill="1" applyAlignment="1">
      <alignment horizontal="centerContinuous"/>
    </xf>
    <xf numFmtId="0" fontId="95" fillId="12" borderId="0" xfId="2" applyFont="1" applyFill="1" applyAlignment="1">
      <alignment horizontal="center"/>
    </xf>
    <xf numFmtId="0" fontId="95" fillId="12" borderId="0" xfId="2" applyFont="1" applyFill="1" applyAlignment="1">
      <alignment horizontal="left"/>
    </xf>
    <xf numFmtId="0" fontId="96" fillId="12" borderId="0" xfId="2" applyFont="1" applyFill="1" applyAlignment="1">
      <alignment horizontal="centerContinuous"/>
    </xf>
    <xf numFmtId="0" fontId="20" fillId="12" borderId="0" xfId="2" applyFont="1" applyFill="1" applyAlignment="1">
      <alignment horizontal="center"/>
    </xf>
    <xf numFmtId="0" fontId="20" fillId="12" borderId="0" xfId="2" applyFont="1" applyFill="1" applyAlignment="1">
      <alignment horizontal="left"/>
    </xf>
    <xf numFmtId="0" fontId="97" fillId="12" borderId="0" xfId="0" applyFont="1" applyFill="1"/>
    <xf numFmtId="0" fontId="33" fillId="12" borderId="0" xfId="2" applyFont="1" applyFill="1" applyAlignment="1">
      <alignment horizontal="center"/>
    </xf>
    <xf numFmtId="0" fontId="98" fillId="12" borderId="0" xfId="0" applyFont="1" applyFill="1"/>
    <xf numFmtId="0" fontId="99" fillId="12" borderId="0" xfId="0" applyFont="1" applyFill="1"/>
    <xf numFmtId="0" fontId="98" fillId="12" borderId="0" xfId="4" applyFont="1" applyFill="1" applyAlignment="1">
      <alignment horizontal="centerContinuous"/>
    </xf>
    <xf numFmtId="0" fontId="100" fillId="12" borderId="0" xfId="4" applyFont="1" applyFill="1" applyAlignment="1">
      <alignment horizontal="centerContinuous"/>
    </xf>
    <xf numFmtId="0" fontId="96" fillId="12" borderId="0" xfId="4" applyFont="1" applyFill="1" applyAlignment="1">
      <alignment horizontal="left"/>
    </xf>
    <xf numFmtId="0" fontId="101" fillId="12" borderId="0" xfId="2" applyFont="1" applyFill="1" applyAlignment="1">
      <alignment horizontal="center"/>
    </xf>
    <xf numFmtId="0" fontId="0" fillId="12" borderId="46" xfId="0" applyFill="1" applyBorder="1"/>
    <xf numFmtId="0" fontId="101" fillId="12" borderId="46" xfId="2" applyFont="1" applyFill="1" applyBorder="1" applyAlignment="1">
      <alignment horizontal="left" vertical="center"/>
    </xf>
    <xf numFmtId="0" fontId="101" fillId="12" borderId="0" xfId="2" applyFont="1" applyFill="1" applyAlignment="1">
      <alignment horizontal="left" vertical="center"/>
    </xf>
    <xf numFmtId="0" fontId="1" fillId="12" borderId="0" xfId="2" applyFill="1" applyAlignment="1">
      <alignment horizontal="center"/>
    </xf>
    <xf numFmtId="0" fontId="50" fillId="12" borderId="0" xfId="0" applyFont="1" applyFill="1"/>
    <xf numFmtId="0" fontId="50" fillId="12" borderId="0" xfId="2" applyFont="1" applyFill="1"/>
    <xf numFmtId="0" fontId="103" fillId="12" borderId="0" xfId="4" applyFont="1" applyFill="1" applyAlignment="1">
      <alignment horizontal="left"/>
    </xf>
    <xf numFmtId="0" fontId="50" fillId="12" borderId="0" xfId="4" applyFont="1" applyFill="1" applyAlignment="1">
      <alignment horizontal="left"/>
    </xf>
    <xf numFmtId="0" fontId="2" fillId="12" borderId="0" xfId="2" applyFont="1" applyFill="1" applyAlignment="1">
      <alignment horizontal="left"/>
    </xf>
    <xf numFmtId="0" fontId="62" fillId="12" borderId="91" xfId="2" applyFont="1" applyFill="1" applyBorder="1" applyAlignment="1">
      <alignment horizontal="left"/>
    </xf>
    <xf numFmtId="0" fontId="62" fillId="12" borderId="37" xfId="2" applyFont="1" applyFill="1" applyBorder="1" applyAlignment="1">
      <alignment horizontal="left"/>
    </xf>
    <xf numFmtId="0" fontId="62" fillId="12" borderId="37" xfId="2" applyFont="1" applyFill="1" applyBorder="1" applyAlignment="1">
      <alignment horizontal="center"/>
    </xf>
    <xf numFmtId="0" fontId="62" fillId="12" borderId="0" xfId="2" applyFont="1" applyFill="1" applyAlignment="1">
      <alignment horizontal="left"/>
    </xf>
    <xf numFmtId="0" fontId="62" fillId="12" borderId="37" xfId="2" applyFont="1" applyFill="1" applyBorder="1"/>
    <xf numFmtId="0" fontId="27" fillId="12" borderId="37" xfId="2" applyFont="1" applyFill="1" applyBorder="1"/>
    <xf numFmtId="0" fontId="62" fillId="12" borderId="92" xfId="0" applyFont="1" applyFill="1" applyBorder="1"/>
    <xf numFmtId="0" fontId="62" fillId="12" borderId="93" xfId="2" applyFont="1" applyFill="1" applyBorder="1" applyAlignment="1">
      <alignment horizontal="left"/>
    </xf>
    <xf numFmtId="0" fontId="62" fillId="12" borderId="0" xfId="2" applyFont="1" applyFill="1" applyAlignment="1">
      <alignment horizontal="center"/>
    </xf>
    <xf numFmtId="0" fontId="62" fillId="12" borderId="0" xfId="2" applyFont="1" applyFill="1"/>
    <xf numFmtId="0" fontId="62" fillId="12" borderId="94" xfId="0" applyFont="1" applyFill="1" applyBorder="1"/>
    <xf numFmtId="0" fontId="62" fillId="12" borderId="95" xfId="2" applyFont="1" applyFill="1" applyBorder="1" applyAlignment="1">
      <alignment horizontal="left"/>
    </xf>
    <xf numFmtId="0" fontId="62" fillId="12" borderId="35" xfId="2" applyFont="1" applyFill="1" applyBorder="1" applyAlignment="1">
      <alignment horizontal="left"/>
    </xf>
    <xf numFmtId="0" fontId="62" fillId="12" borderId="35" xfId="2" applyFont="1" applyFill="1" applyBorder="1" applyAlignment="1">
      <alignment horizontal="center"/>
    </xf>
    <xf numFmtId="172" fontId="62" fillId="12" borderId="35" xfId="2" applyNumberFormat="1" applyFont="1" applyFill="1" applyBorder="1" applyAlignment="1">
      <alignment horizontal="left"/>
    </xf>
    <xf numFmtId="0" fontId="62" fillId="12" borderId="35" xfId="2" applyFont="1" applyFill="1" applyBorder="1" applyAlignment="1">
      <alignment horizontal="right"/>
    </xf>
    <xf numFmtId="0" fontId="62" fillId="12" borderId="35" xfId="0" applyFont="1" applyFill="1" applyBorder="1"/>
    <xf numFmtId="0" fontId="62" fillId="12" borderId="35" xfId="2" applyFont="1" applyFill="1" applyBorder="1"/>
    <xf numFmtId="14" fontId="62" fillId="12" borderId="35" xfId="2" applyNumberFormat="1" applyFont="1" applyFill="1" applyBorder="1" applyAlignment="1">
      <alignment horizontal="left"/>
    </xf>
    <xf numFmtId="0" fontId="62" fillId="12" borderId="96" xfId="0" applyFont="1" applyFill="1" applyBorder="1"/>
    <xf numFmtId="0" fontId="2" fillId="12" borderId="37" xfId="2" applyFont="1" applyFill="1" applyBorder="1"/>
    <xf numFmtId="0" fontId="50" fillId="12" borderId="92" xfId="0" applyFont="1" applyFill="1" applyBorder="1"/>
    <xf numFmtId="49" fontId="27" fillId="12" borderId="0" xfId="2" applyNumberFormat="1" applyFont="1" applyFill="1" applyAlignment="1">
      <alignment horizontal="left"/>
    </xf>
    <xf numFmtId="0" fontId="2" fillId="12" borderId="0" xfId="2" applyFont="1" applyFill="1"/>
    <xf numFmtId="0" fontId="50" fillId="12" borderId="94" xfId="0" applyFont="1" applyFill="1" applyBorder="1"/>
    <xf numFmtId="2" fontId="62" fillId="12" borderId="35" xfId="2" applyNumberFormat="1" applyFont="1" applyFill="1" applyBorder="1" applyAlignment="1">
      <alignment horizontal="left"/>
    </xf>
    <xf numFmtId="0" fontId="2" fillId="12" borderId="35" xfId="2" applyFont="1" applyFill="1" applyBorder="1"/>
    <xf numFmtId="0" fontId="50" fillId="12" borderId="96" xfId="0" applyFont="1" applyFill="1" applyBorder="1"/>
    <xf numFmtId="0" fontId="62" fillId="12" borderId="97" xfId="0" applyFont="1" applyFill="1" applyBorder="1" applyAlignment="1">
      <alignment horizontal="center"/>
    </xf>
    <xf numFmtId="0" fontId="62" fillId="12" borderId="97" xfId="0" applyFont="1" applyFill="1" applyBorder="1"/>
    <xf numFmtId="0" fontId="50" fillId="12" borderId="97" xfId="0" applyFont="1" applyFill="1" applyBorder="1"/>
    <xf numFmtId="164" fontId="27" fillId="12" borderId="97" xfId="0" applyNumberFormat="1" applyFont="1" applyFill="1" applyBorder="1" applyAlignment="1" applyProtection="1">
      <alignment horizontal="center"/>
      <protection locked="0"/>
    </xf>
    <xf numFmtId="0" fontId="27" fillId="12" borderId="97" xfId="0" applyFont="1" applyFill="1" applyBorder="1" applyAlignment="1" applyProtection="1">
      <alignment horizontal="center"/>
      <protection locked="0"/>
    </xf>
    <xf numFmtId="0" fontId="27" fillId="12" borderId="97" xfId="0" applyFont="1" applyFill="1" applyBorder="1"/>
    <xf numFmtId="164" fontId="27" fillId="12" borderId="97" xfId="0" applyNumberFormat="1" applyFont="1" applyFill="1" applyBorder="1" applyAlignment="1">
      <alignment horizontal="center"/>
    </xf>
    <xf numFmtId="0" fontId="27" fillId="12" borderId="97" xfId="0" applyFont="1" applyFill="1" applyBorder="1" applyAlignment="1">
      <alignment horizontal="center"/>
    </xf>
    <xf numFmtId="2" fontId="27" fillId="12" borderId="97" xfId="0" applyNumberFormat="1" applyFont="1" applyFill="1" applyBorder="1" applyAlignment="1" applyProtection="1">
      <alignment horizontal="center"/>
      <protection hidden="1"/>
    </xf>
    <xf numFmtId="0" fontId="27" fillId="12" borderId="97" xfId="0" applyFont="1" applyFill="1" applyBorder="1" applyAlignment="1" applyProtection="1">
      <alignment horizontal="center"/>
      <protection hidden="1"/>
    </xf>
    <xf numFmtId="165" fontId="27" fillId="12" borderId="97" xfId="0" applyNumberFormat="1" applyFont="1" applyFill="1" applyBorder="1" applyAlignment="1" applyProtection="1">
      <alignment horizontal="center"/>
      <protection hidden="1"/>
    </xf>
    <xf numFmtId="0" fontId="62" fillId="12" borderId="0" xfId="0" applyFont="1" applyFill="1" applyAlignment="1">
      <alignment horizontal="center"/>
    </xf>
    <xf numFmtId="165" fontId="62" fillId="12" borderId="0" xfId="0" applyNumberFormat="1" applyFont="1" applyFill="1" applyAlignment="1">
      <alignment horizontal="center"/>
    </xf>
    <xf numFmtId="0" fontId="2" fillId="12" borderId="0" xfId="0" applyFont="1" applyFill="1"/>
    <xf numFmtId="164" fontId="88" fillId="12" borderId="97" xfId="0" applyNumberFormat="1" applyFont="1" applyFill="1" applyBorder="1" applyAlignment="1" applyProtection="1">
      <alignment horizontal="center"/>
      <protection locked="0"/>
    </xf>
    <xf numFmtId="0" fontId="62" fillId="12" borderId="97" xfId="0" applyFont="1" applyFill="1" applyBorder="1" applyAlignment="1" applyProtection="1">
      <alignment horizontal="center"/>
      <protection locked="0"/>
    </xf>
    <xf numFmtId="0" fontId="62" fillId="12" borderId="97" xfId="0" applyFont="1" applyFill="1" applyBorder="1" applyAlignment="1" applyProtection="1">
      <alignment horizontal="center"/>
      <protection hidden="1"/>
    </xf>
    <xf numFmtId="165" fontId="62" fillId="12" borderId="97" xfId="0" applyNumberFormat="1" applyFont="1" applyFill="1" applyBorder="1" applyAlignment="1" applyProtection="1">
      <alignment horizontal="center"/>
      <protection hidden="1"/>
    </xf>
    <xf numFmtId="2" fontId="62" fillId="12" borderId="97" xfId="0" applyNumberFormat="1" applyFont="1" applyFill="1" applyBorder="1" applyAlignment="1" applyProtection="1">
      <alignment horizontal="center"/>
      <protection hidden="1"/>
    </xf>
    <xf numFmtId="164" fontId="62" fillId="12" borderId="97" xfId="0" applyNumberFormat="1" applyFont="1" applyFill="1" applyBorder="1" applyAlignment="1" applyProtection="1">
      <alignment horizontal="center"/>
      <protection hidden="1"/>
    </xf>
    <xf numFmtId="0" fontId="50" fillId="12" borderId="0" xfId="0" applyFont="1" applyFill="1" applyAlignment="1">
      <alignment horizontal="center" vertical="center"/>
    </xf>
    <xf numFmtId="0" fontId="104" fillId="12" borderId="0" xfId="0" applyFont="1" applyFill="1" applyAlignment="1">
      <alignment horizontal="left" vertical="center"/>
    </xf>
    <xf numFmtId="0" fontId="105" fillId="1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50" fillId="12" borderId="0" xfId="0" applyFont="1" applyFill="1" applyAlignment="1">
      <alignment horizontal="left" vertical="center"/>
    </xf>
    <xf numFmtId="0" fontId="5" fillId="12" borderId="0" xfId="0" quotePrefix="1" applyFont="1" applyFill="1" applyAlignment="1">
      <alignment horizontal="left" vertical="center"/>
    </xf>
    <xf numFmtId="0" fontId="33" fillId="12" borderId="0" xfId="0" applyFont="1" applyFill="1" applyAlignment="1">
      <alignment horizontal="center"/>
    </xf>
    <xf numFmtId="0" fontId="106" fillId="12" borderId="0" xfId="0" applyFont="1" applyFill="1" applyAlignment="1">
      <alignment horizontal="center"/>
    </xf>
    <xf numFmtId="0" fontId="46" fillId="12" borderId="0" xfId="0" applyFont="1" applyFill="1" applyAlignment="1">
      <alignment horizontal="center" vertical="center"/>
    </xf>
    <xf numFmtId="49" fontId="62" fillId="12" borderId="0" xfId="2" applyNumberFormat="1" applyFont="1" applyFill="1"/>
    <xf numFmtId="169" fontId="44" fillId="12" borderId="0" xfId="0" applyNumberFormat="1" applyFont="1" applyFill="1" applyAlignment="1">
      <alignment vertical="center"/>
    </xf>
    <xf numFmtId="0" fontId="102" fillId="12" borderId="0" xfId="4" applyFont="1" applyFill="1" applyAlignment="1">
      <alignment horizontal="left"/>
    </xf>
    <xf numFmtId="2" fontId="50" fillId="12" borderId="97" xfId="0" applyNumberFormat="1" applyFont="1" applyFill="1" applyBorder="1" applyAlignment="1" applyProtection="1">
      <alignment horizontal="center"/>
      <protection hidden="1"/>
    </xf>
    <xf numFmtId="0" fontId="50" fillId="12" borderId="97" xfId="0" applyFont="1" applyFill="1" applyBorder="1" applyAlignment="1">
      <alignment horizontal="center"/>
    </xf>
    <xf numFmtId="2" fontId="50" fillId="12" borderId="97" xfId="0" applyNumberFormat="1" applyFont="1" applyFill="1" applyBorder="1" applyAlignment="1">
      <alignment horizontal="center"/>
    </xf>
    <xf numFmtId="2" fontId="37" fillId="12" borderId="0" xfId="0" applyNumberFormat="1" applyFont="1" applyFill="1" applyAlignment="1" applyProtection="1">
      <alignment vertical="center"/>
      <protection locked="0"/>
    </xf>
    <xf numFmtId="20" fontId="50" fillId="12" borderId="97" xfId="0" quotePrefix="1" applyNumberFormat="1" applyFont="1" applyFill="1" applyBorder="1" applyAlignment="1">
      <alignment horizontal="center"/>
    </xf>
    <xf numFmtId="0" fontId="50" fillId="12" borderId="98" xfId="0" applyFont="1" applyFill="1" applyBorder="1" applyAlignment="1">
      <alignment horizontal="center"/>
    </xf>
    <xf numFmtId="2" fontId="50" fillId="12" borderId="97" xfId="0" quotePrefix="1" applyNumberFormat="1" applyFont="1" applyFill="1" applyBorder="1" applyAlignment="1">
      <alignment horizontal="center"/>
    </xf>
    <xf numFmtId="0" fontId="96" fillId="12" borderId="0" xfId="2" applyFont="1" applyFill="1" applyAlignment="1">
      <alignment horizontal="left"/>
    </xf>
    <xf numFmtId="0" fontId="50" fillId="12" borderId="35" xfId="0" applyFont="1" applyFill="1" applyBorder="1" applyAlignment="1">
      <alignment horizontal="left" vertical="center"/>
    </xf>
    <xf numFmtId="49" fontId="11" fillId="12" borderId="35" xfId="0" applyNumberFormat="1" applyFont="1" applyFill="1" applyBorder="1" applyAlignment="1">
      <alignment horizontal="left" vertical="center"/>
    </xf>
    <xf numFmtId="0" fontId="50" fillId="12" borderId="96" xfId="0" applyFont="1" applyFill="1" applyBorder="1" applyAlignment="1">
      <alignment horizontal="left" vertical="center"/>
    </xf>
    <xf numFmtId="0" fontId="50" fillId="12" borderId="99" xfId="0" applyFont="1" applyFill="1" applyBorder="1"/>
    <xf numFmtId="20" fontId="11" fillId="12" borderId="98" xfId="0" applyNumberFormat="1" applyFont="1" applyFill="1" applyBorder="1" applyAlignment="1">
      <alignment horizontal="center"/>
    </xf>
    <xf numFmtId="20" fontId="50" fillId="12" borderId="97" xfId="0" quotePrefix="1" applyNumberFormat="1" applyFont="1" applyFill="1" applyBorder="1" applyAlignment="1" applyProtection="1">
      <alignment horizontal="center"/>
      <protection hidden="1"/>
    </xf>
    <xf numFmtId="20" fontId="50" fillId="12" borderId="98" xfId="0" applyNumberFormat="1" applyFont="1" applyFill="1" applyBorder="1" applyAlignment="1">
      <alignment horizontal="center"/>
    </xf>
    <xf numFmtId="0" fontId="50" fillId="12" borderId="0" xfId="0" applyFont="1" applyFill="1" applyAlignment="1">
      <alignment horizontal="center"/>
    </xf>
    <xf numFmtId="2" fontId="20" fillId="12" borderId="0" xfId="0" applyNumberFormat="1" applyFont="1" applyFill="1" applyAlignment="1">
      <alignment horizontal="center"/>
    </xf>
    <xf numFmtId="0" fontId="107" fillId="12" borderId="0" xfId="0" applyFont="1" applyFill="1"/>
    <xf numFmtId="1" fontId="44" fillId="12" borderId="40" xfId="0" applyNumberFormat="1" applyFont="1" applyFill="1" applyBorder="1" applyAlignment="1">
      <alignment horizontal="right" vertical="center"/>
    </xf>
    <xf numFmtId="1" fontId="44" fillId="12" borderId="43" xfId="0" quotePrefix="1" applyNumberFormat="1" applyFont="1" applyFill="1" applyBorder="1" applyAlignment="1">
      <alignment horizontal="center" vertical="center"/>
    </xf>
    <xf numFmtId="1" fontId="44" fillId="12" borderId="41" xfId="0" applyNumberFormat="1" applyFont="1" applyFill="1" applyBorder="1" applyAlignment="1">
      <alignment horizontal="left" vertical="center"/>
    </xf>
    <xf numFmtId="1" fontId="108" fillId="12" borderId="41" xfId="0" applyNumberFormat="1" applyFont="1" applyFill="1" applyBorder="1" applyAlignment="1">
      <alignment horizontal="left" vertical="center"/>
    </xf>
    <xf numFmtId="1" fontId="88" fillId="0" borderId="24" xfId="0" applyNumberFormat="1" applyFont="1" applyBorder="1" applyAlignment="1" applyProtection="1">
      <alignment horizontal="center"/>
      <protection locked="0"/>
    </xf>
    <xf numFmtId="164" fontId="62" fillId="12" borderId="97" xfId="0" applyNumberFormat="1" applyFont="1" applyFill="1" applyBorder="1" applyAlignment="1" applyProtection="1">
      <alignment horizontal="center"/>
      <protection locked="0"/>
    </xf>
    <xf numFmtId="170" fontId="37" fillId="12" borderId="36" xfId="0" applyNumberFormat="1" applyFont="1" applyFill="1" applyBorder="1" applyAlignment="1" applyProtection="1">
      <alignment vertical="center"/>
      <protection locked="0"/>
    </xf>
    <xf numFmtId="0" fontId="86" fillId="12" borderId="0" xfId="0" applyFont="1" applyFill="1" applyAlignment="1">
      <alignment vertical="center"/>
    </xf>
    <xf numFmtId="0" fontId="86" fillId="12" borderId="38" xfId="0" applyFont="1" applyFill="1" applyBorder="1" applyAlignment="1">
      <alignment vertical="center"/>
    </xf>
    <xf numFmtId="0" fontId="86" fillId="12" borderId="47" xfId="0" applyFont="1" applyFill="1" applyBorder="1" applyAlignment="1">
      <alignment vertical="center"/>
    </xf>
    <xf numFmtId="0" fontId="37" fillId="12" borderId="47" xfId="0" applyFont="1" applyFill="1" applyBorder="1" applyAlignment="1">
      <alignment horizontal="centerContinuous" vertical="center"/>
    </xf>
    <xf numFmtId="0" fontId="86" fillId="12" borderId="39" xfId="0" applyFont="1" applyFill="1" applyBorder="1" applyAlignment="1">
      <alignment vertical="center"/>
    </xf>
    <xf numFmtId="0" fontId="37" fillId="12" borderId="49" xfId="0" applyFont="1" applyFill="1" applyBorder="1" applyAlignment="1">
      <alignment vertical="center"/>
    </xf>
    <xf numFmtId="0" fontId="36" fillId="12" borderId="45" xfId="0" applyFont="1" applyFill="1" applyBorder="1" applyAlignment="1">
      <alignment vertical="center"/>
    </xf>
    <xf numFmtId="0" fontId="37" fillId="12" borderId="50" xfId="0" applyFont="1" applyFill="1" applyBorder="1" applyAlignment="1">
      <alignment vertical="center"/>
    </xf>
    <xf numFmtId="0" fontId="67" fillId="0" borderId="59" xfId="0" applyFont="1" applyBorder="1" applyAlignment="1">
      <alignment vertical="center"/>
    </xf>
    <xf numFmtId="0" fontId="67" fillId="0" borderId="59" xfId="0" applyFont="1" applyBorder="1" applyAlignment="1">
      <alignment horizontal="left" vertical="center"/>
    </xf>
    <xf numFmtId="0" fontId="68" fillId="12" borderId="36" xfId="0" applyFont="1" applyFill="1" applyBorder="1" applyAlignment="1">
      <alignment horizontal="left" vertical="center"/>
    </xf>
    <xf numFmtId="0" fontId="68" fillId="12" borderId="0" xfId="0" applyFont="1" applyFill="1" applyAlignment="1">
      <alignment horizontal="left" vertical="center"/>
    </xf>
    <xf numFmtId="0" fontId="67" fillId="0" borderId="0" xfId="0" applyFont="1" applyAlignment="1">
      <alignment vertical="center"/>
    </xf>
    <xf numFmtId="0" fontId="37" fillId="12" borderId="33" xfId="0" applyFont="1" applyFill="1" applyBorder="1" applyAlignment="1">
      <alignment vertical="center"/>
    </xf>
    <xf numFmtId="0" fontId="67" fillId="0" borderId="33" xfId="0" applyFont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37" fillId="12" borderId="34" xfId="0" applyFont="1" applyFill="1" applyBorder="1" applyAlignment="1">
      <alignment vertical="center"/>
    </xf>
    <xf numFmtId="0" fontId="37" fillId="12" borderId="34" xfId="0" applyFont="1" applyFill="1" applyBorder="1" applyAlignment="1">
      <alignment horizontal="center" vertical="center"/>
    </xf>
    <xf numFmtId="49" fontId="37" fillId="12" borderId="34" xfId="0" applyNumberFormat="1" applyFont="1" applyFill="1" applyBorder="1" applyAlignment="1">
      <alignment vertical="center"/>
    </xf>
    <xf numFmtId="0" fontId="37" fillId="12" borderId="48" xfId="0" applyFont="1" applyFill="1" applyBorder="1" applyAlignment="1">
      <alignment vertical="center"/>
    </xf>
    <xf numFmtId="0" fontId="37" fillId="12" borderId="77" xfId="0" applyFont="1" applyFill="1" applyBorder="1" applyAlignment="1">
      <alignment vertical="center"/>
    </xf>
    <xf numFmtId="0" fontId="37" fillId="12" borderId="78" xfId="0" applyFont="1" applyFill="1" applyBorder="1" applyAlignment="1">
      <alignment vertical="center"/>
    </xf>
    <xf numFmtId="15" fontId="68" fillId="0" borderId="36" xfId="0" applyNumberFormat="1" applyFont="1" applyBorder="1" applyAlignment="1" applyProtection="1">
      <alignment horizontal="left"/>
      <protection hidden="1"/>
    </xf>
    <xf numFmtId="0" fontId="68" fillId="12" borderId="100" xfId="0" applyFont="1" applyFill="1" applyBorder="1" applyAlignment="1">
      <alignment vertical="center"/>
    </xf>
    <xf numFmtId="0" fontId="68" fillId="12" borderId="36" xfId="0" applyFont="1" applyFill="1" applyBorder="1" applyAlignment="1">
      <alignment vertical="center"/>
    </xf>
    <xf numFmtId="17" fontId="68" fillId="12" borderId="36" xfId="0" applyNumberFormat="1" applyFont="1" applyFill="1" applyBorder="1" applyAlignment="1">
      <alignment vertical="center"/>
    </xf>
    <xf numFmtId="17" fontId="68" fillId="12" borderId="101" xfId="0" applyNumberFormat="1" applyFont="1" applyFill="1" applyBorder="1" applyAlignment="1">
      <alignment vertical="center"/>
    </xf>
    <xf numFmtId="0" fontId="68" fillId="12" borderId="102" xfId="0" applyFont="1" applyFill="1" applyBorder="1" applyAlignment="1">
      <alignment vertical="center"/>
    </xf>
    <xf numFmtId="0" fontId="40" fillId="12" borderId="33" xfId="0" applyFont="1" applyFill="1" applyBorder="1" applyAlignment="1">
      <alignment vertical="center"/>
    </xf>
    <xf numFmtId="0" fontId="38" fillId="12" borderId="33" xfId="0" applyFont="1" applyFill="1" applyBorder="1" applyAlignment="1">
      <alignment vertical="center"/>
    </xf>
    <xf numFmtId="0" fontId="38" fillId="12" borderId="34" xfId="0" applyFont="1" applyFill="1" applyBorder="1" applyAlignment="1">
      <alignment vertical="center"/>
    </xf>
    <xf numFmtId="0" fontId="38" fillId="12" borderId="34" xfId="0" applyFont="1" applyFill="1" applyBorder="1" applyAlignment="1">
      <alignment horizontal="center" vertical="center"/>
    </xf>
    <xf numFmtId="0" fontId="68" fillId="12" borderId="34" xfId="0" applyFont="1" applyFill="1" applyBorder="1" applyAlignment="1">
      <alignment vertical="center"/>
    </xf>
    <xf numFmtId="0" fontId="38" fillId="12" borderId="100" xfId="0" applyFont="1" applyFill="1" applyBorder="1" applyAlignment="1">
      <alignment vertical="center"/>
    </xf>
    <xf numFmtId="0" fontId="38" fillId="12" borderId="100" xfId="0" applyFont="1" applyFill="1" applyBorder="1" applyAlignment="1">
      <alignment horizontal="left" vertical="center"/>
    </xf>
    <xf numFmtId="0" fontId="38" fillId="12" borderId="36" xfId="0" applyFont="1" applyFill="1" applyBorder="1" applyAlignment="1">
      <alignment horizontal="left" vertical="center"/>
    </xf>
    <xf numFmtId="0" fontId="38" fillId="12" borderId="36" xfId="0" applyFont="1" applyFill="1" applyBorder="1" applyAlignment="1">
      <alignment horizontal="center" vertical="center"/>
    </xf>
    <xf numFmtId="49" fontId="38" fillId="12" borderId="36" xfId="0" applyNumberFormat="1" applyFont="1" applyFill="1" applyBorder="1" applyAlignment="1">
      <alignment vertical="center"/>
    </xf>
    <xf numFmtId="0" fontId="38" fillId="12" borderId="42" xfId="0" applyFont="1" applyFill="1" applyBorder="1" applyAlignment="1">
      <alignment vertical="center"/>
    </xf>
    <xf numFmtId="0" fontId="38" fillId="12" borderId="33" xfId="0" applyFont="1" applyFill="1" applyBorder="1" applyAlignment="1">
      <alignment horizontal="right" vertical="center"/>
    </xf>
    <xf numFmtId="165" fontId="38" fillId="12" borderId="33" xfId="0" applyNumberFormat="1" applyFont="1" applyFill="1" applyBorder="1" applyAlignment="1">
      <alignment horizontal="left" vertical="center"/>
    </xf>
    <xf numFmtId="165" fontId="38" fillId="12" borderId="33" xfId="0" applyNumberFormat="1" applyFont="1" applyFill="1" applyBorder="1" applyAlignment="1">
      <alignment vertical="center"/>
    </xf>
    <xf numFmtId="0" fontId="38" fillId="12" borderId="59" xfId="0" applyFont="1" applyFill="1" applyBorder="1" applyAlignment="1">
      <alignment vertical="center"/>
    </xf>
    <xf numFmtId="0" fontId="40" fillId="12" borderId="59" xfId="0" applyFont="1" applyFill="1" applyBorder="1" applyAlignment="1">
      <alignment vertical="center"/>
    </xf>
    <xf numFmtId="0" fontId="42" fillId="12" borderId="78" xfId="0" applyFont="1" applyFill="1" applyBorder="1" applyAlignment="1">
      <alignment horizontal="left" vertical="center"/>
    </xf>
    <xf numFmtId="0" fontId="43" fillId="12" borderId="78" xfId="0" applyFont="1" applyFill="1" applyBorder="1" applyAlignment="1">
      <alignment vertical="center"/>
    </xf>
    <xf numFmtId="0" fontId="89" fillId="0" borderId="78" xfId="0" applyFont="1" applyBorder="1" applyAlignment="1">
      <alignment vertical="center"/>
    </xf>
    <xf numFmtId="0" fontId="37" fillId="12" borderId="31" xfId="0" applyFont="1" applyFill="1" applyBorder="1" applyAlignment="1">
      <alignment vertical="center"/>
    </xf>
    <xf numFmtId="0" fontId="37" fillId="12" borderId="42" xfId="0" applyFont="1" applyFill="1" applyBorder="1" applyAlignment="1">
      <alignment vertical="center"/>
    </xf>
    <xf numFmtId="0" fontId="37" fillId="12" borderId="33" xfId="0" applyFont="1" applyFill="1" applyBorder="1" applyAlignment="1">
      <alignment horizontal="right" vertical="center"/>
    </xf>
    <xf numFmtId="0" fontId="37" fillId="12" borderId="33" xfId="0" applyFont="1" applyFill="1" applyBorder="1" applyAlignment="1">
      <alignment horizontal="left" vertical="center"/>
    </xf>
    <xf numFmtId="165" fontId="37" fillId="12" borderId="33" xfId="0" applyNumberFormat="1" applyFont="1" applyFill="1" applyBorder="1" applyAlignment="1">
      <alignment horizontal="left" vertical="center"/>
    </xf>
    <xf numFmtId="165" fontId="37" fillId="12" borderId="33" xfId="0" applyNumberFormat="1" applyFont="1" applyFill="1" applyBorder="1" applyAlignment="1">
      <alignment vertical="center"/>
    </xf>
    <xf numFmtId="0" fontId="42" fillId="12" borderId="59" xfId="0" applyFont="1" applyFill="1" applyBorder="1" applyAlignment="1">
      <alignment vertical="center"/>
    </xf>
    <xf numFmtId="0" fontId="43" fillId="12" borderId="59" xfId="0" applyFont="1" applyFill="1" applyBorder="1" applyAlignment="1">
      <alignment horizontal="left" vertical="center"/>
    </xf>
    <xf numFmtId="0" fontId="43" fillId="12" borderId="59" xfId="0" applyFont="1" applyFill="1" applyBorder="1" applyAlignment="1">
      <alignment vertical="center"/>
    </xf>
    <xf numFmtId="0" fontId="42" fillId="12" borderId="59" xfId="0" applyFont="1" applyFill="1" applyBorder="1" applyAlignment="1">
      <alignment horizontal="center" vertical="center"/>
    </xf>
    <xf numFmtId="0" fontId="44" fillId="12" borderId="59" xfId="0" applyFont="1" applyFill="1" applyBorder="1" applyAlignment="1">
      <alignment horizontal="center" vertical="center"/>
    </xf>
    <xf numFmtId="165" fontId="43" fillId="12" borderId="59" xfId="0" applyNumberFormat="1" applyFont="1" applyFill="1" applyBorder="1" applyAlignment="1">
      <alignment horizontal="center" vertical="center"/>
    </xf>
    <xf numFmtId="165" fontId="44" fillId="12" borderId="59" xfId="0" applyNumberFormat="1" applyFont="1" applyFill="1" applyBorder="1" applyAlignment="1">
      <alignment horizontal="left" vertical="center"/>
    </xf>
    <xf numFmtId="165" fontId="37" fillId="12" borderId="59" xfId="0" applyNumberFormat="1" applyFont="1" applyFill="1" applyBorder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3" fillId="18" borderId="0" xfId="0" applyFont="1" applyFill="1" applyAlignment="1">
      <alignment vertical="center"/>
    </xf>
    <xf numFmtId="0" fontId="43" fillId="18" borderId="0" xfId="0" applyFont="1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0" fillId="12" borderId="34" xfId="0" applyFont="1" applyFill="1" applyBorder="1" applyAlignment="1">
      <alignment vertical="center"/>
    </xf>
    <xf numFmtId="164" fontId="37" fillId="12" borderId="34" xfId="0" applyNumberFormat="1" applyFont="1" applyFill="1" applyBorder="1" applyAlignment="1">
      <alignment vertical="center"/>
    </xf>
    <xf numFmtId="0" fontId="68" fillId="12" borderId="0" xfId="0" applyFont="1" applyFill="1" applyAlignment="1">
      <alignment vertical="center" wrapText="1"/>
    </xf>
    <xf numFmtId="0" fontId="0" fillId="12" borderId="38" xfId="0" applyFill="1" applyBorder="1"/>
    <xf numFmtId="0" fontId="17" fillId="12" borderId="47" xfId="2" applyFont="1" applyFill="1" applyBorder="1" applyAlignment="1">
      <alignment horizontal="centerContinuous"/>
    </xf>
    <xf numFmtId="0" fontId="94" fillId="12" borderId="47" xfId="2" applyFont="1" applyFill="1" applyBorder="1" applyAlignment="1">
      <alignment horizontal="centerContinuous"/>
    </xf>
    <xf numFmtId="0" fontId="95" fillId="12" borderId="47" xfId="2" applyFont="1" applyFill="1" applyBorder="1" applyAlignment="1">
      <alignment horizontal="center"/>
    </xf>
    <xf numFmtId="0" fontId="0" fillId="12" borderId="39" xfId="0" applyFill="1" applyBorder="1"/>
    <xf numFmtId="0" fontId="50" fillId="12" borderId="45" xfId="0" applyFont="1" applyFill="1" applyBorder="1"/>
    <xf numFmtId="2" fontId="62" fillId="12" borderId="0" xfId="0" applyNumberFormat="1" applyFont="1" applyFill="1"/>
    <xf numFmtId="14" fontId="62" fillId="12" borderId="0" xfId="0" applyNumberFormat="1" applyFont="1" applyFill="1"/>
    <xf numFmtId="0" fontId="0" fillId="12" borderId="48" xfId="0" applyFill="1" applyBorder="1"/>
    <xf numFmtId="0" fontId="1" fillId="12" borderId="49" xfId="2" applyFill="1" applyBorder="1" applyAlignment="1">
      <alignment horizontal="center"/>
    </xf>
    <xf numFmtId="0" fontId="50" fillId="12" borderId="50" xfId="0" applyFont="1" applyFill="1" applyBorder="1"/>
    <xf numFmtId="20" fontId="11" fillId="12" borderId="0" xfId="0" applyNumberFormat="1" applyFont="1" applyFill="1" applyAlignment="1">
      <alignment horizontal="center"/>
    </xf>
    <xf numFmtId="0" fontId="50" fillId="12" borderId="42" xfId="0" applyFont="1" applyFill="1" applyBorder="1" applyAlignment="1">
      <alignment horizontal="left" vertical="center"/>
    </xf>
    <xf numFmtId="0" fontId="50" fillId="12" borderId="33" xfId="0" applyFont="1" applyFill="1" applyBorder="1" applyAlignment="1">
      <alignment horizontal="left" vertical="center"/>
    </xf>
    <xf numFmtId="49" fontId="50" fillId="12" borderId="33" xfId="0" applyNumberFormat="1" applyFont="1" applyFill="1" applyBorder="1" applyAlignment="1">
      <alignment horizontal="left" vertical="center"/>
    </xf>
    <xf numFmtId="0" fontId="50" fillId="12" borderId="103" xfId="0" applyFont="1" applyFill="1" applyBorder="1" applyAlignment="1">
      <alignment horizontal="left" vertical="center"/>
    </xf>
    <xf numFmtId="0" fontId="50" fillId="12" borderId="104" xfId="0" applyFont="1" applyFill="1" applyBorder="1" applyAlignment="1">
      <alignment horizontal="center"/>
    </xf>
    <xf numFmtId="0" fontId="50" fillId="12" borderId="105" xfId="0" applyFont="1" applyFill="1" applyBorder="1" applyAlignment="1">
      <alignment horizontal="left" vertical="center"/>
    </xf>
    <xf numFmtId="0" fontId="50" fillId="12" borderId="106" xfId="0" applyFont="1" applyFill="1" applyBorder="1" applyAlignment="1">
      <alignment horizontal="center"/>
    </xf>
    <xf numFmtId="0" fontId="50" fillId="12" borderId="107" xfId="0" applyFont="1" applyFill="1" applyBorder="1"/>
    <xf numFmtId="2" fontId="50" fillId="12" borderId="108" xfId="0" applyNumberFormat="1" applyFont="1" applyFill="1" applyBorder="1" applyAlignment="1">
      <alignment horizontal="center"/>
    </xf>
    <xf numFmtId="164" fontId="20" fillId="12" borderId="108" xfId="0" applyNumberFormat="1" applyFont="1" applyFill="1" applyBorder="1" applyAlignment="1" applyProtection="1">
      <alignment horizontal="center"/>
      <protection hidden="1"/>
    </xf>
    <xf numFmtId="0" fontId="50" fillId="12" borderId="109" xfId="0" applyFont="1" applyFill="1" applyBorder="1"/>
    <xf numFmtId="0" fontId="50" fillId="12" borderId="102" xfId="0" applyFont="1" applyFill="1" applyBorder="1"/>
    <xf numFmtId="0" fontId="50" fillId="12" borderId="102" xfId="0" applyFont="1" applyFill="1" applyBorder="1" applyAlignment="1">
      <alignment horizontal="center"/>
    </xf>
    <xf numFmtId="2" fontId="20" fillId="12" borderId="102" xfId="0" applyNumberFormat="1" applyFont="1" applyFill="1" applyBorder="1" applyAlignment="1">
      <alignment horizontal="center"/>
    </xf>
    <xf numFmtId="2" fontId="20" fillId="12" borderId="110" xfId="0" applyNumberFormat="1" applyFont="1" applyFill="1" applyBorder="1" applyAlignment="1">
      <alignment horizontal="center"/>
    </xf>
    <xf numFmtId="0" fontId="50" fillId="12" borderId="59" xfId="0" applyFont="1" applyFill="1" applyBorder="1"/>
    <xf numFmtId="0" fontId="67" fillId="0" borderId="0" xfId="0" applyFont="1" applyAlignment="1">
      <alignment horizontal="left" vertical="center"/>
    </xf>
    <xf numFmtId="0" fontId="50" fillId="12" borderId="78" xfId="2" applyFont="1" applyFill="1" applyBorder="1"/>
    <xf numFmtId="0" fontId="50" fillId="12" borderId="31" xfId="0" applyFont="1" applyFill="1" applyBorder="1"/>
    <xf numFmtId="0" fontId="67" fillId="0" borderId="34" xfId="0" applyFont="1" applyBorder="1" applyAlignment="1">
      <alignment vertical="center"/>
    </xf>
    <xf numFmtId="0" fontId="50" fillId="12" borderId="34" xfId="0" applyFont="1" applyFill="1" applyBorder="1" applyAlignment="1">
      <alignment horizontal="center" vertical="center"/>
    </xf>
    <xf numFmtId="0" fontId="50" fillId="12" borderId="34" xfId="0" applyFont="1" applyFill="1" applyBorder="1" applyAlignment="1">
      <alignment horizontal="left" vertical="center"/>
    </xf>
    <xf numFmtId="0" fontId="50" fillId="12" borderId="34" xfId="0" applyFont="1" applyFill="1" applyBorder="1" applyAlignment="1" applyProtection="1">
      <alignment horizontal="left" vertical="center"/>
      <protection locked="0"/>
    </xf>
    <xf numFmtId="0" fontId="50" fillId="12" borderId="34" xfId="0" applyFont="1" applyFill="1" applyBorder="1"/>
    <xf numFmtId="0" fontId="50" fillId="12" borderId="32" xfId="0" applyFont="1" applyFill="1" applyBorder="1"/>
    <xf numFmtId="0" fontId="37" fillId="12" borderId="38" xfId="0" applyFont="1" applyFill="1" applyBorder="1" applyAlignment="1">
      <alignment horizontal="right" vertical="center"/>
    </xf>
    <xf numFmtId="0" fontId="37" fillId="12" borderId="47" xfId="0" applyFont="1" applyFill="1" applyBorder="1" applyAlignment="1">
      <alignment vertical="center"/>
    </xf>
    <xf numFmtId="0" fontId="37" fillId="12" borderId="47" xfId="0" applyFont="1" applyFill="1" applyBorder="1" applyAlignment="1">
      <alignment horizontal="right" vertical="center"/>
    </xf>
    <xf numFmtId="164" fontId="2" fillId="12" borderId="47" xfId="2" applyNumberFormat="1" applyFont="1" applyFill="1" applyBorder="1" applyAlignment="1" applyProtection="1">
      <alignment horizontal="right"/>
      <protection hidden="1"/>
    </xf>
    <xf numFmtId="0" fontId="37" fillId="12" borderId="45" xfId="0" applyFont="1" applyFill="1" applyBorder="1" applyAlignment="1">
      <alignment horizontal="right" vertical="center"/>
    </xf>
    <xf numFmtId="0" fontId="37" fillId="12" borderId="46" xfId="0" applyFont="1" applyFill="1" applyBorder="1" applyAlignment="1">
      <alignment horizontal="right" vertical="center"/>
    </xf>
    <xf numFmtId="164" fontId="2" fillId="12" borderId="46" xfId="2" applyNumberFormat="1" applyFont="1" applyFill="1" applyBorder="1" applyAlignment="1" applyProtection="1">
      <alignment horizontal="right"/>
      <protection hidden="1"/>
    </xf>
    <xf numFmtId="0" fontId="68" fillId="12" borderId="35" xfId="0" applyFont="1" applyFill="1" applyBorder="1" applyAlignment="1">
      <alignment vertical="center"/>
    </xf>
    <xf numFmtId="0" fontId="112" fillId="0" borderId="0" xfId="1"/>
    <xf numFmtId="0" fontId="115" fillId="0" borderId="0" xfId="3" applyFont="1" applyAlignment="1">
      <alignment horizontal="center"/>
    </xf>
    <xf numFmtId="0" fontId="94" fillId="0" borderId="0" xfId="3" applyFont="1" applyAlignment="1">
      <alignment horizontal="center"/>
    </xf>
    <xf numFmtId="0" fontId="96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101" fillId="0" borderId="0" xfId="3" applyFont="1" applyAlignment="1">
      <alignment horizontal="left" vertical="center"/>
    </xf>
    <xf numFmtId="0" fontId="113" fillId="0" borderId="0" xfId="3" applyAlignment="1">
      <alignment horizontal="center"/>
    </xf>
    <xf numFmtId="0" fontId="113" fillId="0" borderId="0" xfId="3"/>
    <xf numFmtId="0" fontId="102" fillId="12" borderId="0" xfId="5" applyFont="1" applyFill="1" applyAlignment="1">
      <alignment horizontal="center"/>
    </xf>
    <xf numFmtId="0" fontId="102" fillId="12" borderId="0" xfId="5" applyFont="1" applyFill="1" applyAlignment="1">
      <alignment horizontal="left"/>
    </xf>
    <xf numFmtId="172" fontId="2" fillId="0" borderId="34" xfId="3" applyNumberFormat="1" applyFont="1" applyBorder="1" applyAlignment="1">
      <alignment horizontal="left"/>
    </xf>
    <xf numFmtId="0" fontId="113" fillId="0" borderId="34" xfId="3" applyBorder="1"/>
    <xf numFmtId="0" fontId="33" fillId="0" borderId="34" xfId="3" applyFont="1" applyBorder="1" applyAlignment="1">
      <alignment horizontal="left"/>
    </xf>
    <xf numFmtId="0" fontId="20" fillId="0" borderId="41" xfId="1" applyFont="1" applyBorder="1" applyAlignment="1">
      <alignment horizontal="center" vertical="center"/>
    </xf>
    <xf numFmtId="0" fontId="20" fillId="0" borderId="21" xfId="1" applyFont="1" applyBorder="1" applyAlignment="1">
      <alignment horizontal="center" vertical="center"/>
    </xf>
    <xf numFmtId="0" fontId="50" fillId="0" borderId="21" xfId="1" applyFont="1" applyBorder="1" applyAlignment="1" applyProtection="1">
      <alignment horizontal="center" vertical="center"/>
      <protection locked="0"/>
    </xf>
    <xf numFmtId="0" fontId="11" fillId="0" borderId="21" xfId="1" applyFont="1" applyBorder="1" applyAlignment="1" applyProtection="1">
      <alignment horizontal="center"/>
      <protection locked="0"/>
    </xf>
    <xf numFmtId="0" fontId="50" fillId="0" borderId="21" xfId="1" applyFont="1" applyBorder="1" applyAlignment="1" applyProtection="1">
      <alignment horizontal="center"/>
      <protection locked="0"/>
    </xf>
    <xf numFmtId="164" fontId="50" fillId="0" borderId="21" xfId="1" applyNumberFormat="1" applyFont="1" applyBorder="1" applyAlignment="1" applyProtection="1">
      <alignment horizontal="center" vertical="center"/>
      <protection locked="0"/>
    </xf>
    <xf numFmtId="0" fontId="11" fillId="0" borderId="21" xfId="1" applyFont="1" applyBorder="1" applyAlignment="1" applyProtection="1">
      <alignment horizontal="center" vertical="center"/>
      <protection locked="0"/>
    </xf>
    <xf numFmtId="3" fontId="50" fillId="0" borderId="21" xfId="1" applyNumberFormat="1" applyFont="1" applyBorder="1" applyAlignment="1" applyProtection="1">
      <alignment horizontal="center" vertical="center"/>
      <protection locked="0"/>
    </xf>
    <xf numFmtId="164" fontId="50" fillId="0" borderId="21" xfId="1" applyNumberFormat="1" applyFont="1" applyBorder="1" applyAlignment="1" applyProtection="1">
      <alignment horizontal="center" vertical="center"/>
      <protection hidden="1"/>
    </xf>
    <xf numFmtId="0" fontId="11" fillId="0" borderId="21" xfId="1" applyFont="1" applyBorder="1" applyAlignment="1" applyProtection="1">
      <alignment horizontal="center" vertical="center"/>
      <protection hidden="1"/>
    </xf>
    <xf numFmtId="0" fontId="50" fillId="0" borderId="21" xfId="1" applyFont="1" applyBorder="1" applyAlignment="1" applyProtection="1">
      <alignment horizontal="center"/>
      <protection hidden="1"/>
    </xf>
    <xf numFmtId="164" fontId="50" fillId="0" borderId="24" xfId="1" applyNumberFormat="1" applyFont="1" applyBorder="1" applyAlignment="1" applyProtection="1">
      <alignment horizontal="center" vertical="center"/>
      <protection locked="0"/>
    </xf>
    <xf numFmtId="0" fontId="11" fillId="0" borderId="24" xfId="1" applyFont="1" applyBorder="1" applyAlignment="1" applyProtection="1">
      <alignment horizontal="center" vertical="center"/>
      <protection locked="0"/>
    </xf>
    <xf numFmtId="0" fontId="50" fillId="0" borderId="24" xfId="1" applyFont="1" applyBorder="1" applyAlignment="1" applyProtection="1">
      <alignment horizontal="center" vertical="center"/>
      <protection locked="0"/>
    </xf>
    <xf numFmtId="3" fontId="50" fillId="0" borderId="21" xfId="1" applyNumberFormat="1" applyFont="1" applyBorder="1" applyAlignment="1" applyProtection="1">
      <alignment horizontal="center" vertical="center"/>
      <protection hidden="1"/>
    </xf>
    <xf numFmtId="10" fontId="20" fillId="0" borderId="21" xfId="1" applyNumberFormat="1" applyFont="1" applyBorder="1" applyAlignment="1" applyProtection="1">
      <alignment horizontal="center" vertical="center"/>
      <protection hidden="1"/>
    </xf>
    <xf numFmtId="164" fontId="117" fillId="0" borderId="43" xfId="1" applyNumberFormat="1" applyFont="1" applyBorder="1" applyAlignment="1" applyProtection="1">
      <alignment horizontal="centerContinuous" vertical="top"/>
      <protection hidden="1"/>
    </xf>
    <xf numFmtId="0" fontId="62" fillId="0" borderId="21" xfId="1" applyFont="1" applyBorder="1" applyAlignment="1" applyProtection="1">
      <alignment horizontal="center" vertical="center"/>
      <protection hidden="1"/>
    </xf>
    <xf numFmtId="0" fontId="20" fillId="0" borderId="0" xfId="1" applyFont="1"/>
    <xf numFmtId="0" fontId="62" fillId="0" borderId="0" xfId="1" applyFont="1"/>
    <xf numFmtId="0" fontId="33" fillId="0" borderId="0" xfId="3" applyFont="1" applyAlignment="1">
      <alignment horizontal="left"/>
    </xf>
    <xf numFmtId="0" fontId="38" fillId="12" borderId="33" xfId="0" applyFont="1" applyFill="1" applyBorder="1" applyAlignment="1">
      <alignment horizontal="center" vertical="center"/>
    </xf>
    <xf numFmtId="0" fontId="59" fillId="0" borderId="42" xfId="1" applyFont="1" applyBorder="1"/>
    <xf numFmtId="0" fontId="59" fillId="0" borderId="33" xfId="1" applyFont="1" applyBorder="1"/>
    <xf numFmtId="0" fontId="59" fillId="0" borderId="77" xfId="1" applyFont="1" applyBorder="1"/>
    <xf numFmtId="0" fontId="33" fillId="0" borderId="78" xfId="3" applyFont="1" applyBorder="1" applyAlignment="1">
      <alignment horizontal="left"/>
    </xf>
    <xf numFmtId="0" fontId="33" fillId="0" borderId="32" xfId="3" applyFont="1" applyBorder="1" applyAlignment="1">
      <alignment horizontal="left"/>
    </xf>
    <xf numFmtId="0" fontId="62" fillId="0" borderId="35" xfId="3" applyFont="1" applyBorder="1"/>
    <xf numFmtId="0" fontId="62" fillId="0" borderId="36" xfId="3" applyFont="1" applyBorder="1"/>
    <xf numFmtId="172" fontId="62" fillId="0" borderId="36" xfId="3" applyNumberFormat="1" applyFont="1" applyBorder="1" applyAlignment="1">
      <alignment horizontal="left"/>
    </xf>
    <xf numFmtId="172" fontId="2" fillId="0" borderId="36" xfId="3" applyNumberFormat="1" applyFont="1" applyBorder="1" applyAlignment="1">
      <alignment horizontal="left"/>
    </xf>
    <xf numFmtId="0" fontId="113" fillId="0" borderId="36" xfId="3" applyBorder="1"/>
    <xf numFmtId="0" fontId="68" fillId="12" borderId="111" xfId="0" applyFont="1" applyFill="1" applyBorder="1" applyAlignment="1">
      <alignment vertical="center"/>
    </xf>
    <xf numFmtId="0" fontId="114" fillId="0" borderId="38" xfId="3" applyFont="1" applyBorder="1" applyAlignment="1">
      <alignment vertical="center"/>
    </xf>
    <xf numFmtId="0" fontId="114" fillId="0" borderId="47" xfId="3" applyFont="1" applyBorder="1" applyAlignment="1">
      <alignment vertical="center"/>
    </xf>
    <xf numFmtId="0" fontId="114" fillId="0" borderId="48" xfId="3" applyFont="1" applyBorder="1" applyAlignment="1">
      <alignment vertical="center"/>
    </xf>
    <xf numFmtId="0" fontId="114" fillId="0" borderId="39" xfId="3" applyFont="1" applyBorder="1" applyAlignment="1">
      <alignment vertical="center"/>
    </xf>
    <xf numFmtId="0" fontId="114" fillId="0" borderId="0" xfId="3" applyFont="1" applyAlignment="1">
      <alignment vertical="center"/>
    </xf>
    <xf numFmtId="0" fontId="114" fillId="0" borderId="49" xfId="3" applyFont="1" applyBorder="1" applyAlignment="1">
      <alignment vertical="center"/>
    </xf>
    <xf numFmtId="0" fontId="114" fillId="0" borderId="45" xfId="3" applyFont="1" applyBorder="1" applyAlignment="1">
      <alignment vertical="center"/>
    </xf>
    <xf numFmtId="0" fontId="114" fillId="0" borderId="46" xfId="3" applyFont="1" applyBorder="1" applyAlignment="1">
      <alignment vertical="center"/>
    </xf>
    <xf numFmtId="0" fontId="114" fillId="0" borderId="50" xfId="3" applyFont="1" applyBorder="1" applyAlignment="1">
      <alignment vertical="center"/>
    </xf>
    <xf numFmtId="0" fontId="121" fillId="12" borderId="58" xfId="0" applyFont="1" applyFill="1" applyBorder="1" applyAlignment="1">
      <alignment horizontal="center" vertical="center"/>
    </xf>
    <xf numFmtId="0" fontId="121" fillId="12" borderId="79" xfId="0" applyFont="1" applyFill="1" applyBorder="1" applyAlignment="1">
      <alignment horizontal="center" vertical="center"/>
    </xf>
    <xf numFmtId="0" fontId="121" fillId="12" borderId="21" xfId="0" applyFont="1" applyFill="1" applyBorder="1" applyAlignment="1">
      <alignment horizontal="center" vertical="center"/>
    </xf>
    <xf numFmtId="0" fontId="121" fillId="12" borderId="53" xfId="0" applyFont="1" applyFill="1" applyBorder="1" applyAlignment="1">
      <alignment horizontal="center" vertical="center"/>
    </xf>
    <xf numFmtId="2" fontId="121" fillId="12" borderId="21" xfId="0" applyNumberFormat="1" applyFont="1" applyFill="1" applyBorder="1" applyAlignment="1">
      <alignment horizontal="center" vertical="center"/>
    </xf>
    <xf numFmtId="2" fontId="121" fillId="12" borderId="53" xfId="0" applyNumberFormat="1" applyFont="1" applyFill="1" applyBorder="1" applyAlignment="1">
      <alignment horizontal="center" vertical="center"/>
    </xf>
    <xf numFmtId="1" fontId="121" fillId="12" borderId="21" xfId="0" applyNumberFormat="1" applyFont="1" applyFill="1" applyBorder="1" applyAlignment="1">
      <alignment horizontal="center" vertical="center"/>
    </xf>
    <xf numFmtId="166" fontId="122" fillId="12" borderId="21" xfId="0" applyNumberFormat="1" applyFont="1" applyFill="1" applyBorder="1" applyAlignment="1">
      <alignment horizontal="center" vertical="center"/>
    </xf>
    <xf numFmtId="165" fontId="123" fillId="12" borderId="21" xfId="0" applyNumberFormat="1" applyFont="1" applyFill="1" applyBorder="1" applyAlignment="1">
      <alignment horizontal="center" vertical="center"/>
    </xf>
    <xf numFmtId="0" fontId="58" fillId="17" borderId="0" xfId="2" applyFont="1" applyFill="1"/>
    <xf numFmtId="0" fontId="59" fillId="12" borderId="78" xfId="2" applyFont="1" applyFill="1" applyBorder="1" applyAlignment="1">
      <alignment horizontal="center"/>
    </xf>
    <xf numFmtId="0" fontId="50" fillId="12" borderId="35" xfId="0" applyFont="1" applyFill="1" applyBorder="1"/>
    <xf numFmtId="0" fontId="50" fillId="12" borderId="35" xfId="0" applyFont="1" applyFill="1" applyBorder="1" applyAlignment="1">
      <alignment horizontal="center"/>
    </xf>
    <xf numFmtId="170" fontId="37" fillId="12" borderId="35" xfId="0" applyNumberFormat="1" applyFont="1" applyFill="1" applyBorder="1" applyAlignment="1" applyProtection="1">
      <alignment vertical="center"/>
      <protection locked="0"/>
    </xf>
    <xf numFmtId="9" fontId="37" fillId="12" borderId="35" xfId="0" applyNumberFormat="1" applyFont="1" applyFill="1" applyBorder="1" applyAlignment="1">
      <alignment vertical="center"/>
    </xf>
    <xf numFmtId="0" fontId="37" fillId="12" borderId="35" xfId="0" applyFont="1" applyFill="1" applyBorder="1" applyAlignment="1">
      <alignment vertical="center"/>
    </xf>
    <xf numFmtId="0" fontId="50" fillId="12" borderId="36" xfId="0" applyFont="1" applyFill="1" applyBorder="1"/>
    <xf numFmtId="0" fontId="50" fillId="12" borderId="36" xfId="0" applyFont="1" applyFill="1" applyBorder="1" applyAlignment="1">
      <alignment horizontal="center"/>
    </xf>
    <xf numFmtId="2" fontId="20" fillId="12" borderId="36" xfId="0" applyNumberFormat="1" applyFont="1" applyFill="1" applyBorder="1" applyAlignment="1">
      <alignment horizontal="center"/>
    </xf>
    <xf numFmtId="2" fontId="50" fillId="12" borderId="36" xfId="0" applyNumberFormat="1" applyFont="1" applyFill="1" applyBorder="1" applyAlignment="1">
      <alignment horizontal="center"/>
    </xf>
    <xf numFmtId="0" fontId="50" fillId="12" borderId="42" xfId="0" applyFont="1" applyFill="1" applyBorder="1"/>
    <xf numFmtId="0" fontId="50" fillId="12" borderId="33" xfId="0" applyFont="1" applyFill="1" applyBorder="1" applyAlignment="1">
      <alignment horizontal="center" vertical="center"/>
    </xf>
    <xf numFmtId="0" fontId="68" fillId="12" borderId="33" xfId="0" applyFont="1" applyFill="1" applyBorder="1" applyAlignment="1">
      <alignment vertical="center"/>
    </xf>
    <xf numFmtId="0" fontId="50" fillId="12" borderId="33" xfId="0" applyFont="1" applyFill="1" applyBorder="1" applyAlignment="1" applyProtection="1">
      <alignment horizontal="left" vertical="center"/>
      <protection locked="0"/>
    </xf>
    <xf numFmtId="0" fontId="50" fillId="12" borderId="33" xfId="0" applyFont="1" applyFill="1" applyBorder="1"/>
    <xf numFmtId="0" fontId="50" fillId="12" borderId="77" xfId="0" applyFont="1" applyFill="1" applyBorder="1"/>
    <xf numFmtId="0" fontId="50" fillId="12" borderId="78" xfId="0" applyFont="1" applyFill="1" applyBorder="1"/>
    <xf numFmtId="0" fontId="104" fillId="12" borderId="34" xfId="0" applyFont="1" applyFill="1" applyBorder="1"/>
    <xf numFmtId="2" fontId="50" fillId="12" borderId="34" xfId="0" applyNumberFormat="1" applyFont="1" applyFill="1" applyBorder="1"/>
    <xf numFmtId="14" fontId="68" fillId="12" borderId="101" xfId="0" applyNumberFormat="1" applyFont="1" applyFill="1" applyBorder="1" applyAlignment="1">
      <alignment horizontal="left" vertical="center"/>
    </xf>
    <xf numFmtId="0" fontId="62" fillId="0" borderId="37" xfId="1" applyFont="1" applyBorder="1"/>
    <xf numFmtId="0" fontId="20" fillId="0" borderId="36" xfId="1" applyFont="1" applyBorder="1"/>
    <xf numFmtId="0" fontId="62" fillId="0" borderId="36" xfId="1" applyFont="1" applyBorder="1"/>
    <xf numFmtId="0" fontId="112" fillId="0" borderId="42" xfId="1" applyBorder="1"/>
    <xf numFmtId="0" fontId="112" fillId="0" borderId="33" xfId="1" applyBorder="1"/>
    <xf numFmtId="0" fontId="112" fillId="0" borderId="77" xfId="1" applyBorder="1"/>
    <xf numFmtId="0" fontId="20" fillId="0" borderId="59" xfId="1" applyFont="1" applyBorder="1"/>
    <xf numFmtId="0" fontId="62" fillId="0" borderId="78" xfId="1" applyFont="1" applyBorder="1"/>
    <xf numFmtId="0" fontId="62" fillId="0" borderId="112" xfId="1" applyFont="1" applyBorder="1"/>
    <xf numFmtId="0" fontId="20" fillId="0" borderId="113" xfId="1" applyFont="1" applyBorder="1"/>
    <xf numFmtId="0" fontId="62" fillId="0" borderId="101" xfId="1" applyFont="1" applyBorder="1"/>
    <xf numFmtId="0" fontId="20" fillId="0" borderId="31" xfId="1" applyFont="1" applyBorder="1"/>
    <xf numFmtId="0" fontId="20" fillId="0" borderId="34" xfId="1" applyFont="1" applyBorder="1"/>
    <xf numFmtId="0" fontId="62" fillId="0" borderId="34" xfId="1" applyFont="1" applyBorder="1"/>
    <xf numFmtId="0" fontId="62" fillId="0" borderId="32" xfId="1" applyFont="1" applyBorder="1"/>
    <xf numFmtId="0" fontId="67" fillId="12" borderId="0" xfId="0" applyFont="1" applyFill="1" applyAlignment="1">
      <alignment vertical="center"/>
    </xf>
    <xf numFmtId="0" fontId="68" fillId="12" borderId="35" xfId="0" applyFont="1" applyFill="1" applyBorder="1" applyAlignment="1">
      <alignment horizontal="left" vertical="center"/>
    </xf>
    <xf numFmtId="166" fontId="43" fillId="12" borderId="21" xfId="0" applyNumberFormat="1" applyFont="1" applyFill="1" applyBorder="1" applyAlignment="1">
      <alignment horizontal="center" vertical="center"/>
    </xf>
    <xf numFmtId="165" fontId="38" fillId="12" borderId="21" xfId="0" applyNumberFormat="1" applyFont="1" applyFill="1" applyBorder="1" applyAlignment="1">
      <alignment horizontal="center" vertical="center"/>
    </xf>
    <xf numFmtId="0" fontId="36" fillId="12" borderId="21" xfId="0" applyFont="1" applyFill="1" applyBorder="1" applyAlignment="1">
      <alignment horizontal="center" vertical="center"/>
    </xf>
    <xf numFmtId="164" fontId="40" fillId="12" borderId="21" xfId="0" applyNumberFormat="1" applyFont="1" applyFill="1" applyBorder="1" applyAlignment="1">
      <alignment horizontal="center" vertical="center"/>
    </xf>
    <xf numFmtId="0" fontId="67" fillId="12" borderId="34" xfId="0" applyFont="1" applyFill="1" applyBorder="1" applyAlignment="1">
      <alignment vertical="center"/>
    </xf>
    <xf numFmtId="0" fontId="36" fillId="12" borderId="34" xfId="0" applyFont="1" applyFill="1" applyBorder="1" applyAlignment="1">
      <alignment horizontal="left" vertical="center"/>
    </xf>
    <xf numFmtId="0" fontId="36" fillId="12" borderId="33" xfId="0" applyFont="1" applyFill="1" applyBorder="1" applyAlignment="1">
      <alignment horizontal="left" vertical="center"/>
    </xf>
    <xf numFmtId="0" fontId="36" fillId="12" borderId="0" xfId="0" applyFont="1" applyFill="1" applyAlignment="1">
      <alignment horizontal="left" vertical="center"/>
    </xf>
    <xf numFmtId="164" fontId="20" fillId="12" borderId="21" xfId="0" applyNumberFormat="1" applyFont="1" applyFill="1" applyBorder="1" applyAlignment="1">
      <alignment horizontal="center" vertical="center"/>
    </xf>
    <xf numFmtId="173" fontId="0" fillId="12" borderId="114" xfId="0" applyNumberFormat="1" applyFill="1" applyBorder="1" applyAlignment="1">
      <alignment horizontal="center" vertical="center"/>
    </xf>
    <xf numFmtId="0" fontId="37" fillId="12" borderId="100" xfId="0" applyFont="1" applyFill="1" applyBorder="1" applyAlignment="1">
      <alignment vertical="center"/>
    </xf>
    <xf numFmtId="0" fontId="68" fillId="12" borderId="102" xfId="0" applyFont="1" applyFill="1" applyBorder="1" applyAlignment="1">
      <alignment horizontal="left" vertical="center"/>
    </xf>
    <xf numFmtId="0" fontId="119" fillId="12" borderId="0" xfId="0" applyFont="1" applyFill="1" applyAlignment="1">
      <alignment horizontal="center" vertical="center"/>
    </xf>
    <xf numFmtId="0" fontId="33" fillId="12" borderId="0" xfId="2" applyFont="1" applyFill="1" applyAlignment="1">
      <alignment vertical="center"/>
    </xf>
    <xf numFmtId="0" fontId="33" fillId="12" borderId="0" xfId="2" applyFont="1" applyFill="1" applyAlignment="1">
      <alignment horizontal="center" vertical="center"/>
    </xf>
    <xf numFmtId="0" fontId="2" fillId="12" borderId="0" xfId="0" applyFont="1" applyFill="1" applyAlignment="1">
      <alignment vertical="center" wrapText="1"/>
    </xf>
    <xf numFmtId="0" fontId="33" fillId="12" borderId="0" xfId="0" applyFont="1" applyFill="1" applyAlignment="1">
      <alignment horizontal="right" vertical="center"/>
    </xf>
    <xf numFmtId="0" fontId="33" fillId="12" borderId="0" xfId="2" applyFont="1" applyFill="1" applyAlignment="1">
      <alignment horizontal="right" vertical="center"/>
    </xf>
    <xf numFmtId="174" fontId="2" fillId="12" borderId="0" xfId="0" applyNumberFormat="1" applyFont="1" applyFill="1" applyAlignment="1">
      <alignment horizontal="left" vertical="center"/>
    </xf>
    <xf numFmtId="0" fontId="36" fillId="12" borderId="47" xfId="0" applyFont="1" applyFill="1" applyBorder="1" applyAlignment="1">
      <alignment vertical="center"/>
    </xf>
    <xf numFmtId="0" fontId="0" fillId="12" borderId="47" xfId="0" applyFill="1" applyBorder="1" applyAlignment="1">
      <alignment vertical="center"/>
    </xf>
    <xf numFmtId="0" fontId="110" fillId="12" borderId="0" xfId="0" applyFont="1" applyFill="1" applyAlignment="1">
      <alignment vertical="center" wrapText="1"/>
    </xf>
    <xf numFmtId="0" fontId="33" fillId="19" borderId="0" xfId="0" applyFont="1" applyFill="1" applyAlignment="1">
      <alignment horizontal="center" vertical="center"/>
    </xf>
    <xf numFmtId="17" fontId="2" fillId="12" borderId="0" xfId="0" applyNumberFormat="1" applyFont="1" applyFill="1" applyAlignment="1">
      <alignment vertical="center"/>
    </xf>
    <xf numFmtId="0" fontId="120" fillId="12" borderId="0" xfId="2" applyFont="1" applyFill="1" applyAlignment="1">
      <alignment vertical="center"/>
    </xf>
    <xf numFmtId="0" fontId="68" fillId="0" borderId="0" xfId="0" applyFont="1" applyProtection="1">
      <protection hidden="1"/>
    </xf>
    <xf numFmtId="0" fontId="33" fillId="19" borderId="42" xfId="2" applyFont="1" applyFill="1" applyBorder="1" applyAlignment="1">
      <alignment vertical="center"/>
    </xf>
    <xf numFmtId="0" fontId="33" fillId="19" borderId="33" xfId="2" applyFont="1" applyFill="1" applyBorder="1" applyAlignment="1">
      <alignment horizontal="center" vertical="center"/>
    </xf>
    <xf numFmtId="0" fontId="2" fillId="19" borderId="33" xfId="0" applyFont="1" applyFill="1" applyBorder="1" applyAlignment="1">
      <alignment horizontal="left" vertical="center" wrapText="1"/>
    </xf>
    <xf numFmtId="0" fontId="33" fillId="19" borderId="33" xfId="2" applyFont="1" applyFill="1" applyBorder="1" applyAlignment="1">
      <alignment horizontal="right" vertical="center"/>
    </xf>
    <xf numFmtId="0" fontId="33" fillId="19" borderId="77" xfId="2" applyFont="1" applyFill="1" applyBorder="1" applyAlignment="1">
      <alignment horizontal="center" vertical="center"/>
    </xf>
    <xf numFmtId="0" fontId="120" fillId="19" borderId="59" xfId="2" applyFont="1" applyFill="1" applyBorder="1" applyAlignment="1">
      <alignment vertical="center"/>
    </xf>
    <xf numFmtId="0" fontId="120" fillId="19" borderId="0" xfId="2" applyFont="1" applyFill="1" applyAlignment="1">
      <alignment vertical="center"/>
    </xf>
    <xf numFmtId="0" fontId="120" fillId="19" borderId="78" xfId="2" applyFont="1" applyFill="1" applyBorder="1" applyAlignment="1">
      <alignment vertical="center"/>
    </xf>
    <xf numFmtId="0" fontId="2" fillId="19" borderId="59" xfId="2" applyFont="1" applyFill="1" applyBorder="1" applyAlignment="1">
      <alignment vertical="center"/>
    </xf>
    <xf numFmtId="0" fontId="2" fillId="19" borderId="0" xfId="2" applyFont="1" applyFill="1" applyAlignment="1">
      <alignment horizontal="center" vertical="center"/>
    </xf>
    <xf numFmtId="0" fontId="2" fillId="19" borderId="0" xfId="0" applyFont="1" applyFill="1" applyAlignment="1">
      <alignment vertical="center"/>
    </xf>
    <xf numFmtId="0" fontId="58" fillId="19" borderId="0" xfId="0" applyFont="1" applyFill="1" applyProtection="1">
      <protection hidden="1"/>
    </xf>
    <xf numFmtId="0" fontId="2" fillId="19" borderId="0" xfId="2" applyFont="1" applyFill="1" applyAlignment="1">
      <alignment horizontal="right" vertical="center"/>
    </xf>
    <xf numFmtId="175" fontId="2" fillId="19" borderId="78" xfId="0" applyNumberFormat="1" applyFont="1" applyFill="1" applyBorder="1" applyAlignment="1" applyProtection="1">
      <alignment horizontal="left" vertical="center"/>
      <protection hidden="1"/>
    </xf>
    <xf numFmtId="14" fontId="2" fillId="19" borderId="78" xfId="0" applyNumberFormat="1" applyFont="1" applyFill="1" applyBorder="1" applyAlignment="1" applyProtection="1">
      <alignment horizontal="left" vertical="center"/>
      <protection hidden="1"/>
    </xf>
    <xf numFmtId="0" fontId="68" fillId="19" borderId="31" xfId="0" applyFont="1" applyFill="1" applyBorder="1" applyProtection="1">
      <protection hidden="1"/>
    </xf>
    <xf numFmtId="0" fontId="68" fillId="19" borderId="34" xfId="0" applyFont="1" applyFill="1" applyBorder="1" applyProtection="1">
      <protection hidden="1"/>
    </xf>
    <xf numFmtId="0" fontId="68" fillId="19" borderId="32" xfId="0" applyFont="1" applyFill="1" applyBorder="1" applyProtection="1">
      <protection hidden="1"/>
    </xf>
    <xf numFmtId="0" fontId="2" fillId="19" borderId="0" xfId="0" applyFont="1" applyFill="1" applyAlignment="1">
      <alignment horizontal="left" vertical="center"/>
    </xf>
    <xf numFmtId="0" fontId="0" fillId="19" borderId="0" xfId="0" applyFill="1" applyAlignment="1">
      <alignment vertical="center"/>
    </xf>
    <xf numFmtId="0" fontId="20" fillId="0" borderId="0" xfId="0" applyFont="1" applyProtection="1">
      <protection hidden="1"/>
    </xf>
    <xf numFmtId="0" fontId="2" fillId="19" borderId="0" xfId="0" applyFont="1" applyFill="1" applyAlignment="1" applyProtection="1">
      <alignment vertical="center"/>
      <protection hidden="1"/>
    </xf>
    <xf numFmtId="0" fontId="20" fillId="19" borderId="38" xfId="0" applyFont="1" applyFill="1" applyBorder="1" applyAlignment="1">
      <alignment vertical="center"/>
    </xf>
    <xf numFmtId="0" fontId="20" fillId="19" borderId="47" xfId="0" applyFont="1" applyFill="1" applyBorder="1" applyAlignment="1">
      <alignment vertical="center"/>
    </xf>
    <xf numFmtId="0" fontId="102" fillId="19" borderId="47" xfId="0" applyFont="1" applyFill="1" applyBorder="1" applyAlignment="1">
      <alignment vertical="center"/>
    </xf>
    <xf numFmtId="0" fontId="20" fillId="19" borderId="39" xfId="0" applyFont="1" applyFill="1" applyBorder="1" applyAlignment="1">
      <alignment vertical="center"/>
    </xf>
    <xf numFmtId="0" fontId="33" fillId="19" borderId="0" xfId="2" applyFont="1" applyFill="1" applyAlignment="1">
      <alignment vertical="center"/>
    </xf>
    <xf numFmtId="0" fontId="2" fillId="12" borderId="40" xfId="0" applyFont="1" applyFill="1" applyBorder="1" applyAlignment="1">
      <alignment vertical="center"/>
    </xf>
    <xf numFmtId="0" fontId="2" fillId="12" borderId="43" xfId="0" applyFont="1" applyFill="1" applyBorder="1" applyAlignment="1">
      <alignment vertical="center"/>
    </xf>
    <xf numFmtId="0" fontId="2" fillId="12" borderId="41" xfId="0" applyFont="1" applyFill="1" applyBorder="1" applyAlignment="1">
      <alignment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vertical="center"/>
    </xf>
    <xf numFmtId="0" fontId="2" fillId="12" borderId="20" xfId="0" applyFont="1" applyFill="1" applyBorder="1" applyAlignment="1">
      <alignment horizontal="center" vertical="center"/>
    </xf>
    <xf numFmtId="0" fontId="2" fillId="12" borderId="115" xfId="0" applyFont="1" applyFill="1" applyBorder="1" applyAlignment="1">
      <alignment vertical="center"/>
    </xf>
    <xf numFmtId="0" fontId="2" fillId="12" borderId="87" xfId="0" applyFont="1" applyFill="1" applyBorder="1" applyAlignment="1">
      <alignment horizontal="center" vertical="center"/>
    </xf>
    <xf numFmtId="0" fontId="2" fillId="12" borderId="87" xfId="0" applyFont="1" applyFill="1" applyBorder="1" applyAlignment="1">
      <alignment vertical="center"/>
    </xf>
    <xf numFmtId="0" fontId="2" fillId="12" borderId="101" xfId="0" applyFont="1" applyFill="1" applyBorder="1" applyAlignment="1">
      <alignment vertical="center"/>
    </xf>
    <xf numFmtId="164" fontId="2" fillId="12" borderId="101" xfId="0" applyNumberFormat="1" applyFont="1" applyFill="1" applyBorder="1" applyAlignment="1">
      <alignment horizontal="center" vertical="center"/>
    </xf>
    <xf numFmtId="164" fontId="2" fillId="12" borderId="116" xfId="0" applyNumberFormat="1" applyFont="1" applyFill="1" applyBorder="1" applyAlignment="1">
      <alignment horizontal="center" vertical="center"/>
    </xf>
    <xf numFmtId="2" fontId="2" fillId="12" borderId="116" xfId="0" applyNumberFormat="1" applyFont="1" applyFill="1" applyBorder="1" applyAlignment="1">
      <alignment horizontal="center" vertical="center"/>
    </xf>
    <xf numFmtId="0" fontId="2" fillId="12" borderId="112" xfId="0" applyFont="1" applyFill="1" applyBorder="1" applyAlignment="1">
      <alignment vertical="center"/>
    </xf>
    <xf numFmtId="164" fontId="2" fillId="12" borderId="112" xfId="0" applyNumberFormat="1" applyFont="1" applyFill="1" applyBorder="1" applyAlignment="1">
      <alignment horizontal="center" vertical="center"/>
    </xf>
    <xf numFmtId="164" fontId="2" fillId="12" borderId="117" xfId="0" applyNumberFormat="1" applyFont="1" applyFill="1" applyBorder="1" applyAlignment="1">
      <alignment horizontal="center" vertical="center"/>
    </xf>
    <xf numFmtId="2" fontId="2" fillId="12" borderId="117" xfId="0" applyNumberFormat="1" applyFont="1" applyFill="1" applyBorder="1" applyAlignment="1">
      <alignment horizontal="center" vertical="center"/>
    </xf>
    <xf numFmtId="164" fontId="33" fillId="12" borderId="21" xfId="0" applyNumberFormat="1" applyFont="1" applyFill="1" applyBorder="1" applyAlignment="1">
      <alignment horizontal="center" vertical="center"/>
    </xf>
    <xf numFmtId="164" fontId="33" fillId="12" borderId="40" xfId="0" applyNumberFormat="1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177" fontId="2" fillId="12" borderId="0" xfId="0" applyNumberFormat="1" applyFont="1" applyFill="1" applyAlignment="1">
      <alignment horizontal="left" vertical="center"/>
    </xf>
    <xf numFmtId="0" fontId="50" fillId="12" borderId="40" xfId="0" applyFont="1" applyFill="1" applyBorder="1" applyAlignment="1">
      <alignment vertical="center"/>
    </xf>
    <xf numFmtId="0" fontId="50" fillId="12" borderId="41" xfId="0" applyFont="1" applyFill="1" applyBorder="1" applyAlignment="1">
      <alignment vertical="center"/>
    </xf>
    <xf numFmtId="0" fontId="2" fillId="0" borderId="87" xfId="0" applyFont="1" applyBorder="1" applyAlignment="1">
      <alignment horizontal="center" vertical="center"/>
    </xf>
    <xf numFmtId="0" fontId="2" fillId="0" borderId="116" xfId="0" applyFont="1" applyBorder="1" applyAlignment="1">
      <alignment horizontal="center" vertical="center"/>
    </xf>
    <xf numFmtId="164" fontId="2" fillId="0" borderId="116" xfId="0" applyNumberFormat="1" applyFont="1" applyBorder="1" applyAlignment="1" applyProtection="1">
      <alignment horizontal="right" vertical="center"/>
      <protection hidden="1"/>
    </xf>
    <xf numFmtId="0" fontId="2" fillId="0" borderId="117" xfId="0" applyFont="1" applyBorder="1" applyAlignment="1">
      <alignment horizontal="center" vertical="center"/>
    </xf>
    <xf numFmtId="164" fontId="2" fillId="0" borderId="117" xfId="0" applyNumberFormat="1" applyFont="1" applyBorder="1" applyAlignment="1" applyProtection="1">
      <alignment horizontal="right" vertical="center"/>
      <protection hidden="1"/>
    </xf>
    <xf numFmtId="0" fontId="2" fillId="0" borderId="118" xfId="0" applyFont="1" applyBorder="1" applyAlignment="1">
      <alignment horizontal="center" vertical="center"/>
    </xf>
    <xf numFmtId="0" fontId="2" fillId="0" borderId="113" xfId="0" applyFont="1" applyBorder="1" applyAlignment="1">
      <alignment horizontal="center" vertical="center"/>
    </xf>
    <xf numFmtId="0" fontId="2" fillId="0" borderId="119" xfId="0" applyFont="1" applyBorder="1" applyAlignment="1">
      <alignment horizontal="center" vertical="center"/>
    </xf>
    <xf numFmtId="167" fontId="2" fillId="19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3" fillId="19" borderId="0" xfId="0" applyFont="1" applyFill="1" applyAlignment="1">
      <alignment horizontal="right" vertical="center"/>
    </xf>
    <xf numFmtId="0" fontId="2" fillId="12" borderId="0" xfId="0" applyFont="1" applyFill="1" applyAlignment="1">
      <alignment horizontal="left" vertical="center"/>
    </xf>
    <xf numFmtId="0" fontId="80" fillId="12" borderId="0" xfId="0" applyFont="1" applyFill="1"/>
    <xf numFmtId="168" fontId="4" fillId="0" borderId="30" xfId="0" applyNumberFormat="1" applyFont="1" applyBorder="1" applyAlignment="1">
      <alignment horizontal="center" vertical="center"/>
    </xf>
    <xf numFmtId="168" fontId="4" fillId="0" borderId="76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18" fillId="19" borderId="0" xfId="0" applyFont="1" applyFill="1" applyAlignment="1">
      <alignment horizontal="center" vertical="center"/>
    </xf>
    <xf numFmtId="0" fontId="2" fillId="0" borderId="156" xfId="0" applyFont="1" applyBorder="1" applyAlignment="1">
      <alignment horizontal="left" vertical="center"/>
    </xf>
    <xf numFmtId="0" fontId="2" fillId="0" borderId="157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164" fontId="126" fillId="0" borderId="0" xfId="0" applyNumberFormat="1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164" fontId="124" fillId="0" borderId="0" xfId="0" applyNumberFormat="1" applyFont="1" applyAlignment="1">
      <alignment horizontal="center" vertical="center"/>
    </xf>
    <xf numFmtId="164" fontId="124" fillId="0" borderId="0" xfId="0" applyNumberFormat="1" applyFont="1" applyAlignment="1">
      <alignment vertical="center"/>
    </xf>
    <xf numFmtId="2" fontId="124" fillId="0" borderId="0" xfId="0" applyNumberFormat="1" applyFont="1" applyAlignment="1">
      <alignment vertical="center"/>
    </xf>
    <xf numFmtId="164" fontId="2" fillId="0" borderId="78" xfId="0" applyNumberFormat="1" applyFont="1" applyBorder="1" applyAlignment="1" applyProtection="1">
      <alignment vertical="center"/>
      <protection locked="0"/>
    </xf>
    <xf numFmtId="164" fontId="33" fillId="0" borderId="78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0" fontId="2" fillId="0" borderId="160" xfId="0" applyFont="1" applyBorder="1" applyAlignment="1">
      <alignment vertical="center"/>
    </xf>
    <xf numFmtId="0" fontId="59" fillId="19" borderId="45" xfId="0" applyFont="1" applyFill="1" applyBorder="1" applyAlignment="1">
      <alignment vertical="center"/>
    </xf>
    <xf numFmtId="0" fontId="59" fillId="19" borderId="46" xfId="0" applyFont="1" applyFill="1" applyBorder="1" applyAlignment="1">
      <alignment vertical="center"/>
    </xf>
    <xf numFmtId="0" fontId="59" fillId="19" borderId="0" xfId="0" applyFont="1" applyFill="1" applyAlignment="1">
      <alignment vertical="center"/>
    </xf>
    <xf numFmtId="0" fontId="50" fillId="0" borderId="157" xfId="0" applyFont="1" applyBorder="1" applyAlignment="1">
      <alignment vertical="center"/>
    </xf>
    <xf numFmtId="0" fontId="2" fillId="0" borderId="78" xfId="0" applyFont="1" applyBorder="1" applyAlignment="1" applyProtection="1">
      <alignment vertical="center" wrapText="1"/>
      <protection hidden="1"/>
    </xf>
    <xf numFmtId="0" fontId="50" fillId="19" borderId="0" xfId="0" applyFont="1" applyFill="1" applyAlignment="1">
      <alignment vertical="center"/>
    </xf>
    <xf numFmtId="0" fontId="2" fillId="0" borderId="162" xfId="0" applyFont="1" applyBorder="1" applyAlignment="1">
      <alignment horizontal="center" vertical="center" wrapText="1"/>
    </xf>
    <xf numFmtId="0" fontId="96" fillId="0" borderId="0" xfId="0" applyFont="1" applyAlignment="1" applyProtection="1">
      <alignment vertical="center" wrapText="1"/>
      <protection hidden="1"/>
    </xf>
    <xf numFmtId="164" fontId="125" fillId="0" borderId="160" xfId="0" applyNumberFormat="1" applyFont="1" applyBorder="1" applyAlignment="1">
      <alignment horizontal="center" vertical="center"/>
    </xf>
    <xf numFmtId="0" fontId="124" fillId="0" borderId="160" xfId="0" applyFont="1" applyBorder="1" applyAlignment="1">
      <alignment horizontal="center" vertical="center"/>
    </xf>
    <xf numFmtId="164" fontId="124" fillId="0" borderId="160" xfId="0" applyNumberFormat="1" applyFont="1" applyBorder="1" applyAlignment="1">
      <alignment horizontal="center" vertical="center"/>
    </xf>
    <xf numFmtId="164" fontId="33" fillId="0" borderId="161" xfId="0" applyNumberFormat="1" applyFont="1" applyBorder="1" applyAlignment="1">
      <alignment horizontal="center" vertical="center"/>
    </xf>
    <xf numFmtId="0" fontId="2" fillId="0" borderId="157" xfId="0" applyFont="1" applyBorder="1" applyAlignment="1">
      <alignment vertical="center"/>
    </xf>
    <xf numFmtId="0" fontId="58" fillId="19" borderId="47" xfId="0" applyFont="1" applyFill="1" applyBorder="1" applyProtection="1">
      <protection hidden="1"/>
    </xf>
    <xf numFmtId="0" fontId="50" fillId="12" borderId="48" xfId="0" applyFont="1" applyFill="1" applyBorder="1" applyAlignment="1">
      <alignment vertical="center"/>
    </xf>
    <xf numFmtId="0" fontId="20" fillId="19" borderId="0" xfId="0" applyFont="1" applyFill="1" applyAlignment="1">
      <alignment vertical="center"/>
    </xf>
    <xf numFmtId="0" fontId="102" fillId="19" borderId="0" xfId="0" applyFont="1" applyFill="1" applyAlignment="1">
      <alignment vertical="center"/>
    </xf>
    <xf numFmtId="0" fontId="50" fillId="12" borderId="49" xfId="0" applyFont="1" applyFill="1" applyBorder="1" applyAlignment="1">
      <alignment vertical="center"/>
    </xf>
    <xf numFmtId="0" fontId="50" fillId="12" borderId="50" xfId="0" applyFont="1" applyFill="1" applyBorder="1" applyAlignment="1">
      <alignment vertical="center"/>
    </xf>
    <xf numFmtId="0" fontId="127" fillId="0" borderId="159" xfId="0" applyFont="1" applyBorder="1" applyAlignment="1">
      <alignment horizontal="left" vertical="center"/>
    </xf>
    <xf numFmtId="0" fontId="96" fillId="0" borderId="35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50" fillId="0" borderId="35" xfId="0" applyFont="1" applyBorder="1" applyAlignment="1">
      <alignment vertical="center"/>
    </xf>
    <xf numFmtId="0" fontId="2" fillId="0" borderId="35" xfId="0" quotePrefix="1" applyFont="1" applyBorder="1" applyAlignment="1">
      <alignment horizontal="left"/>
    </xf>
    <xf numFmtId="0" fontId="2" fillId="0" borderId="36" xfId="0" applyFont="1" applyBorder="1" applyAlignment="1">
      <alignment vertical="center"/>
    </xf>
    <xf numFmtId="0" fontId="33" fillId="0" borderId="36" xfId="0" applyFont="1" applyBorder="1" applyAlignment="1">
      <alignment vertical="center"/>
    </xf>
    <xf numFmtId="167" fontId="2" fillId="0" borderId="36" xfId="0" applyNumberFormat="1" applyFont="1" applyBorder="1" applyAlignment="1">
      <alignment horizontal="center" vertical="center"/>
    </xf>
    <xf numFmtId="0" fontId="127" fillId="0" borderId="0" xfId="0" applyFont="1" applyAlignment="1">
      <alignment vertical="center" wrapText="1"/>
    </xf>
    <xf numFmtId="0" fontId="33" fillId="0" borderId="163" xfId="0" applyFont="1" applyBorder="1" applyAlignment="1">
      <alignment horizontal="left" vertical="center"/>
    </xf>
    <xf numFmtId="0" fontId="33" fillId="0" borderId="157" xfId="0" applyFont="1" applyBorder="1" applyAlignment="1">
      <alignment horizontal="center" vertical="center"/>
    </xf>
    <xf numFmtId="0" fontId="1" fillId="0" borderId="157" xfId="0" applyFont="1" applyBorder="1" applyAlignment="1">
      <alignment vertical="center"/>
    </xf>
    <xf numFmtId="0" fontId="1" fillId="0" borderId="158" xfId="0" applyFont="1" applyBorder="1" applyAlignment="1">
      <alignment vertical="center"/>
    </xf>
    <xf numFmtId="0" fontId="1" fillId="0" borderId="78" xfId="0" applyFont="1" applyBorder="1" applyAlignment="1">
      <alignment vertical="center"/>
    </xf>
    <xf numFmtId="0" fontId="1" fillId="12" borderId="0" xfId="0" applyFont="1" applyFill="1" applyAlignment="1">
      <alignment vertical="center"/>
    </xf>
    <xf numFmtId="0" fontId="1" fillId="12" borderId="78" xfId="0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78" xfId="0" applyNumberFormat="1" applyFont="1" applyBorder="1" applyAlignment="1">
      <alignment vertical="center"/>
    </xf>
    <xf numFmtId="0" fontId="62" fillId="0" borderId="164" xfId="0" applyFont="1" applyBorder="1" applyAlignment="1">
      <alignment horizontal="center" vertical="center" wrapText="1"/>
    </xf>
    <xf numFmtId="0" fontId="62" fillId="0" borderId="162" xfId="0" applyFont="1" applyBorder="1" applyAlignment="1">
      <alignment horizontal="center" vertical="center"/>
    </xf>
    <xf numFmtId="164" fontId="128" fillId="20" borderId="162" xfId="7" applyNumberFormat="1" applyFont="1" applyFill="1" applyBorder="1" applyAlignment="1" applyProtection="1">
      <alignment horizontal="center" vertical="center"/>
      <protection locked="0"/>
    </xf>
    <xf numFmtId="164" fontId="128" fillId="0" borderId="163" xfId="7" applyNumberFormat="1" applyFont="1" applyBorder="1" applyAlignment="1" applyProtection="1">
      <alignment horizontal="center" vertical="center"/>
      <protection locked="0"/>
    </xf>
    <xf numFmtId="0" fontId="62" fillId="0" borderId="162" xfId="0" applyFont="1" applyBorder="1" applyAlignment="1">
      <alignment horizontal="center" vertical="center" wrapText="1"/>
    </xf>
    <xf numFmtId="164" fontId="128" fillId="20" borderId="20" xfId="7" applyNumberFormat="1" applyFont="1" applyFill="1" applyBorder="1" applyAlignment="1" applyProtection="1">
      <alignment horizontal="center" vertical="center"/>
      <protection locked="0"/>
    </xf>
    <xf numFmtId="164" fontId="62" fillId="0" borderId="20" xfId="0" applyNumberFormat="1" applyFont="1" applyBorder="1" applyAlignment="1">
      <alignment horizontal="center" vertical="center"/>
    </xf>
    <xf numFmtId="0" fontId="62" fillId="0" borderId="165" xfId="0" applyFont="1" applyBorder="1" applyAlignment="1">
      <alignment horizontal="center" vertical="center" wrapText="1"/>
    </xf>
    <xf numFmtId="0" fontId="62" fillId="0" borderId="166" xfId="0" applyFont="1" applyBorder="1" applyAlignment="1">
      <alignment horizontal="center" vertical="center" wrapText="1"/>
    </xf>
    <xf numFmtId="0" fontId="62" fillId="0" borderId="167" xfId="0" applyFont="1" applyBorder="1" applyAlignment="1">
      <alignment horizontal="center" vertical="center" wrapText="1"/>
    </xf>
    <xf numFmtId="0" fontId="62" fillId="0" borderId="49" xfId="0" applyFont="1" applyBorder="1" applyAlignment="1">
      <alignment horizontal="center" vertical="center"/>
    </xf>
    <xf numFmtId="0" fontId="62" fillId="0" borderId="169" xfId="0" applyFont="1" applyBorder="1" applyAlignment="1">
      <alignment horizontal="center" vertical="center"/>
    </xf>
    <xf numFmtId="164" fontId="128" fillId="20" borderId="169" xfId="7" applyNumberFormat="1" applyFont="1" applyFill="1" applyBorder="1" applyAlignment="1" applyProtection="1">
      <alignment horizontal="center" vertical="center"/>
      <protection locked="0"/>
    </xf>
    <xf numFmtId="164" fontId="62" fillId="0" borderId="170" xfId="0" applyNumberFormat="1" applyFont="1" applyBorder="1" applyAlignment="1">
      <alignment horizontal="center" vertical="center"/>
    </xf>
    <xf numFmtId="164" fontId="62" fillId="0" borderId="171" xfId="0" applyNumberFormat="1" applyFont="1" applyBorder="1" applyAlignment="1">
      <alignment horizontal="center" vertical="center" wrapText="1"/>
    </xf>
    <xf numFmtId="0" fontId="62" fillId="0" borderId="0" xfId="0" applyFont="1" applyAlignment="1">
      <alignment horizontal="center" vertical="center"/>
    </xf>
    <xf numFmtId="0" fontId="62" fillId="0" borderId="166" xfId="0" applyFont="1" applyBorder="1" applyAlignment="1">
      <alignment horizontal="center" vertical="center"/>
    </xf>
    <xf numFmtId="164" fontId="62" fillId="0" borderId="167" xfId="0" applyNumberFormat="1" applyFont="1" applyBorder="1" applyAlignment="1">
      <alignment horizontal="center" vertical="center" wrapText="1"/>
    </xf>
    <xf numFmtId="164" fontId="62" fillId="0" borderId="170" xfId="0" applyNumberFormat="1" applyFont="1" applyBorder="1" applyAlignment="1">
      <alignment vertical="center"/>
    </xf>
    <xf numFmtId="0" fontId="62" fillId="0" borderId="162" xfId="0" applyFont="1" applyBorder="1" applyAlignment="1">
      <alignment vertical="center"/>
    </xf>
    <xf numFmtId="0" fontId="62" fillId="0" borderId="168" xfId="0" applyFont="1" applyBorder="1" applyAlignment="1">
      <alignment vertical="center"/>
    </xf>
    <xf numFmtId="0" fontId="62" fillId="0" borderId="169" xfId="0" applyFont="1" applyBorder="1" applyAlignment="1">
      <alignment vertical="center"/>
    </xf>
    <xf numFmtId="164" fontId="128" fillId="20" borderId="169" xfId="7" applyNumberFormat="1" applyFont="1" applyFill="1" applyBorder="1" applyAlignment="1" applyProtection="1">
      <alignment vertical="center"/>
      <protection locked="0"/>
    </xf>
    <xf numFmtId="0" fontId="62" fillId="0" borderId="166" xfId="0" applyFont="1" applyBorder="1" applyAlignment="1">
      <alignment vertical="center"/>
    </xf>
    <xf numFmtId="0" fontId="62" fillId="0" borderId="38" xfId="0" applyFont="1" applyBorder="1" applyAlignment="1">
      <alignment vertical="center"/>
    </xf>
    <xf numFmtId="0" fontId="62" fillId="0" borderId="47" xfId="0" applyFont="1" applyBorder="1" applyAlignment="1">
      <alignment vertical="center"/>
    </xf>
    <xf numFmtId="0" fontId="62" fillId="0" borderId="48" xfId="0" applyFont="1" applyBorder="1" applyAlignment="1">
      <alignment vertical="center"/>
    </xf>
    <xf numFmtId="0" fontId="62" fillId="0" borderId="163" xfId="0" applyFont="1" applyBorder="1" applyAlignment="1">
      <alignment horizontal="center" vertical="center"/>
    </xf>
    <xf numFmtId="0" fontId="62" fillId="0" borderId="49" xfId="0" applyFont="1" applyBorder="1" applyAlignment="1">
      <alignment vertical="center"/>
    </xf>
    <xf numFmtId="0" fontId="96" fillId="0" borderId="39" xfId="0" applyFont="1" applyBorder="1" applyAlignment="1">
      <alignment vertical="center"/>
    </xf>
    <xf numFmtId="0" fontId="62" fillId="0" borderId="0" xfId="0" applyFont="1" applyAlignment="1">
      <alignment vertical="center"/>
    </xf>
    <xf numFmtId="164" fontId="62" fillId="0" borderId="162" xfId="0" applyNumberFormat="1" applyFont="1" applyBorder="1" applyAlignment="1">
      <alignment horizontal="center" vertical="center"/>
    </xf>
    <xf numFmtId="0" fontId="96" fillId="0" borderId="163" xfId="0" applyFont="1" applyBorder="1"/>
    <xf numFmtId="0" fontId="50" fillId="12" borderId="163" xfId="0" applyFont="1" applyFill="1" applyBorder="1" applyAlignment="1">
      <alignment vertical="center"/>
    </xf>
    <xf numFmtId="0" fontId="96" fillId="0" borderId="0" xfId="0" applyFont="1" applyAlignment="1" applyProtection="1">
      <alignment vertical="center"/>
      <protection hidden="1"/>
    </xf>
    <xf numFmtId="0" fontId="2" fillId="12" borderId="162" xfId="0" applyFont="1" applyFill="1" applyBorder="1" applyAlignment="1">
      <alignment vertical="center"/>
    </xf>
    <xf numFmtId="0" fontId="96" fillId="0" borderId="162" xfId="0" applyFont="1" applyBorder="1" applyAlignment="1" applyProtection="1">
      <alignment vertical="center" wrapText="1"/>
      <protection hidden="1"/>
    </xf>
    <xf numFmtId="0" fontId="1" fillId="12" borderId="21" xfId="0" applyFont="1" applyFill="1" applyBorder="1" applyAlignment="1">
      <alignment vertical="center"/>
    </xf>
    <xf numFmtId="0" fontId="62" fillId="0" borderId="162" xfId="0" applyFont="1" applyBorder="1" applyAlignment="1" applyProtection="1">
      <alignment vertical="center" wrapText="1"/>
      <protection hidden="1"/>
    </xf>
    <xf numFmtId="0" fontId="62" fillId="12" borderId="162" xfId="0" applyFont="1" applyFill="1" applyBorder="1" applyAlignment="1">
      <alignment vertical="center"/>
    </xf>
    <xf numFmtId="0" fontId="37" fillId="12" borderId="0" xfId="0" applyFont="1" applyFill="1" applyAlignment="1">
      <alignment horizontal="center" vertical="center"/>
    </xf>
    <xf numFmtId="0" fontId="36" fillId="12" borderId="42" xfId="0" applyFont="1" applyFill="1" applyBorder="1" applyAlignment="1">
      <alignment horizontal="center" vertical="center"/>
    </xf>
    <xf numFmtId="0" fontId="36" fillId="12" borderId="33" xfId="0" applyFont="1" applyFill="1" applyBorder="1" applyAlignment="1">
      <alignment horizontal="center" vertical="center"/>
    </xf>
    <xf numFmtId="0" fontId="36" fillId="12" borderId="77" xfId="0" applyFont="1" applyFill="1" applyBorder="1" applyAlignment="1">
      <alignment horizontal="center" vertical="center"/>
    </xf>
    <xf numFmtId="0" fontId="36" fillId="12" borderId="31" xfId="0" applyFont="1" applyFill="1" applyBorder="1" applyAlignment="1">
      <alignment horizontal="center" vertical="center"/>
    </xf>
    <xf numFmtId="0" fontId="36" fillId="12" borderId="34" xfId="0" applyFont="1" applyFill="1" applyBorder="1" applyAlignment="1">
      <alignment horizontal="center" vertical="center"/>
    </xf>
    <xf numFmtId="0" fontId="36" fillId="12" borderId="32" xfId="0" applyFont="1" applyFill="1" applyBorder="1" applyAlignment="1">
      <alignment horizontal="center" vertical="center"/>
    </xf>
    <xf numFmtId="0" fontId="36" fillId="12" borderId="40" xfId="0" applyFont="1" applyFill="1" applyBorder="1" applyAlignment="1">
      <alignment horizontal="center" vertical="center"/>
    </xf>
    <xf numFmtId="0" fontId="36" fillId="12" borderId="41" xfId="0" applyFont="1" applyFill="1" applyBorder="1" applyAlignment="1">
      <alignment horizontal="center" vertical="center"/>
    </xf>
    <xf numFmtId="170" fontId="37" fillId="12" borderId="36" xfId="0" applyNumberFormat="1" applyFont="1" applyFill="1" applyBorder="1" applyAlignment="1" applyProtection="1">
      <alignment horizontal="left" vertical="center"/>
      <protection locked="0"/>
    </xf>
    <xf numFmtId="164" fontId="36" fillId="12" borderId="40" xfId="0" applyNumberFormat="1" applyFont="1" applyFill="1" applyBorder="1" applyAlignment="1">
      <alignment horizontal="center" vertical="center"/>
    </xf>
    <xf numFmtId="164" fontId="36" fillId="12" borderId="43" xfId="0" applyNumberFormat="1" applyFont="1" applyFill="1" applyBorder="1" applyAlignment="1">
      <alignment horizontal="center" vertical="center"/>
    </xf>
    <xf numFmtId="164" fontId="36" fillId="12" borderId="41" xfId="0" applyNumberFormat="1" applyFont="1" applyFill="1" applyBorder="1" applyAlignment="1">
      <alignment horizontal="center" vertical="center"/>
    </xf>
    <xf numFmtId="164" fontId="46" fillId="12" borderId="0" xfId="0" applyNumberFormat="1" applyFont="1" applyFill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2" fontId="36" fillId="12" borderId="81" xfId="0" applyNumberFormat="1" applyFont="1" applyFill="1" applyBorder="1" applyAlignment="1">
      <alignment horizontal="center" vertical="center"/>
    </xf>
    <xf numFmtId="2" fontId="36" fillId="12" borderId="85" xfId="0" applyNumberFormat="1" applyFont="1" applyFill="1" applyBorder="1" applyAlignment="1">
      <alignment horizontal="center" vertical="center"/>
    </xf>
    <xf numFmtId="2" fontId="36" fillId="12" borderId="52" xfId="0" applyNumberFormat="1" applyFont="1" applyFill="1" applyBorder="1" applyAlignment="1">
      <alignment horizontal="center" vertical="center"/>
    </xf>
    <xf numFmtId="2" fontId="36" fillId="12" borderId="86" xfId="0" applyNumberFormat="1" applyFont="1" applyFill="1" applyBorder="1" applyAlignment="1">
      <alignment horizontal="center" vertical="center"/>
    </xf>
    <xf numFmtId="164" fontId="37" fillId="12" borderId="40" xfId="0" applyNumberFormat="1" applyFont="1" applyFill="1" applyBorder="1" applyAlignment="1">
      <alignment horizontal="center" vertical="center"/>
    </xf>
    <xf numFmtId="164" fontId="37" fillId="12" borderId="43" xfId="0" applyNumberFormat="1" applyFont="1" applyFill="1" applyBorder="1" applyAlignment="1">
      <alignment horizontal="center" vertical="center"/>
    </xf>
    <xf numFmtId="164" fontId="37" fillId="12" borderId="41" xfId="0" applyNumberFormat="1" applyFont="1" applyFill="1" applyBorder="1" applyAlignment="1">
      <alignment horizontal="center" vertical="center"/>
    </xf>
    <xf numFmtId="0" fontId="41" fillId="12" borderId="0" xfId="0" applyFont="1" applyFill="1" applyAlignment="1">
      <alignment horizontal="center" vertical="center"/>
    </xf>
    <xf numFmtId="0" fontId="69" fillId="12" borderId="0" xfId="0" applyFont="1" applyFill="1" applyAlignment="1">
      <alignment horizontal="center" vertical="center"/>
    </xf>
    <xf numFmtId="0" fontId="86" fillId="12" borderId="0" xfId="0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horizontal="left" vertical="center"/>
    </xf>
    <xf numFmtId="0" fontId="37" fillId="12" borderId="62" xfId="0" applyFont="1" applyFill="1" applyBorder="1" applyAlignment="1">
      <alignment horizontal="left" vertical="center"/>
    </xf>
    <xf numFmtId="0" fontId="37" fillId="12" borderId="63" xfId="0" applyFont="1" applyFill="1" applyBorder="1" applyAlignment="1">
      <alignment horizontal="left" vertical="center"/>
    </xf>
    <xf numFmtId="0" fontId="37" fillId="12" borderId="120" xfId="0" applyFont="1" applyFill="1" applyBorder="1" applyAlignment="1">
      <alignment horizontal="left" vertical="center"/>
    </xf>
    <xf numFmtId="0" fontId="37" fillId="12" borderId="41" xfId="0" applyFont="1" applyFill="1" applyBorder="1" applyAlignment="1">
      <alignment horizontal="left" vertical="center"/>
    </xf>
    <xf numFmtId="164" fontId="40" fillId="12" borderId="0" xfId="0" applyNumberFormat="1" applyFont="1" applyFill="1" applyAlignment="1">
      <alignment horizontal="center" vertical="center"/>
    </xf>
    <xf numFmtId="0" fontId="43" fillId="12" borderId="40" xfId="0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0" fontId="43" fillId="12" borderId="24" xfId="0" applyFont="1" applyFill="1" applyBorder="1" applyAlignment="1">
      <alignment horizontal="center" vertical="center"/>
    </xf>
    <xf numFmtId="0" fontId="43" fillId="12" borderId="20" xfId="0" applyFont="1" applyFill="1" applyBorder="1" applyAlignment="1">
      <alignment horizontal="center" vertical="center"/>
    </xf>
    <xf numFmtId="171" fontId="2" fillId="12" borderId="0" xfId="2" applyNumberFormat="1" applyFont="1" applyFill="1" applyAlignment="1">
      <alignment horizontal="left"/>
    </xf>
    <xf numFmtId="0" fontId="93" fillId="12" borderId="0" xfId="0" applyFont="1" applyFill="1" applyAlignment="1">
      <alignment horizontal="center" vertical="center"/>
    </xf>
    <xf numFmtId="1" fontId="37" fillId="12" borderId="0" xfId="0" applyNumberFormat="1" applyFont="1" applyFill="1" applyAlignment="1">
      <alignment horizontal="center" vertical="center"/>
    </xf>
    <xf numFmtId="0" fontId="37" fillId="12" borderId="58" xfId="0" applyFont="1" applyFill="1" applyBorder="1" applyAlignment="1">
      <alignment horizontal="left" vertical="center"/>
    </xf>
    <xf numFmtId="0" fontId="37" fillId="12" borderId="21" xfId="0" applyFont="1" applyFill="1" applyBorder="1" applyAlignment="1">
      <alignment horizontal="left" vertical="center"/>
    </xf>
    <xf numFmtId="0" fontId="43" fillId="12" borderId="22" xfId="0" applyFont="1" applyFill="1" applyBorder="1" applyAlignment="1">
      <alignment horizontal="center" vertical="center"/>
    </xf>
    <xf numFmtId="0" fontId="37" fillId="12" borderId="54" xfId="0" applyFont="1" applyFill="1" applyBorder="1" applyAlignment="1">
      <alignment horizontal="left" vertical="center"/>
    </xf>
    <xf numFmtId="0" fontId="37" fillId="12" borderId="61" xfId="0" applyFont="1" applyFill="1" applyBorder="1" applyAlignment="1">
      <alignment horizontal="left" vertical="center"/>
    </xf>
    <xf numFmtId="14" fontId="38" fillId="12" borderId="36" xfId="0" applyNumberFormat="1" applyFont="1" applyFill="1" applyBorder="1" applyAlignment="1">
      <alignment horizontal="left" vertical="center"/>
    </xf>
    <xf numFmtId="0" fontId="109" fillId="12" borderId="121" xfId="0" applyFont="1" applyFill="1" applyBorder="1" applyAlignment="1">
      <alignment horizontal="center" vertical="center" wrapText="1"/>
    </xf>
    <xf numFmtId="0" fontId="68" fillId="12" borderId="0" xfId="0" applyFont="1" applyFill="1" applyAlignment="1">
      <alignment horizontal="center" vertical="top" wrapText="1"/>
    </xf>
    <xf numFmtId="0" fontId="37" fillId="12" borderId="43" xfId="0" applyFont="1" applyFill="1" applyBorder="1" applyAlignment="1">
      <alignment horizontal="left" vertical="center"/>
    </xf>
    <xf numFmtId="0" fontId="37" fillId="12" borderId="122" xfId="0" applyFont="1" applyFill="1" applyBorder="1" applyAlignment="1">
      <alignment horizontal="left" vertical="center"/>
    </xf>
    <xf numFmtId="0" fontId="37" fillId="12" borderId="123" xfId="0" applyFont="1" applyFill="1" applyBorder="1" applyAlignment="1">
      <alignment horizontal="left" vertical="center"/>
    </xf>
    <xf numFmtId="0" fontId="37" fillId="12" borderId="124" xfId="0" applyFont="1" applyFill="1" applyBorder="1" applyAlignment="1">
      <alignment horizontal="left" vertical="center"/>
    </xf>
    <xf numFmtId="0" fontId="43" fillId="12" borderId="43" xfId="0" applyFont="1" applyFill="1" applyBorder="1" applyAlignment="1">
      <alignment horizontal="center" vertical="center"/>
    </xf>
    <xf numFmtId="0" fontId="40" fillId="12" borderId="59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5" fontId="68" fillId="0" borderId="36" xfId="0" applyNumberFormat="1" applyFont="1" applyBorder="1" applyAlignment="1" applyProtection="1">
      <alignment horizontal="left"/>
      <protection hidden="1"/>
    </xf>
    <xf numFmtId="165" fontId="37" fillId="12" borderId="0" xfId="0" applyNumberFormat="1" applyFont="1" applyFill="1" applyAlignment="1">
      <alignment horizontal="left" vertical="center"/>
    </xf>
    <xf numFmtId="165" fontId="36" fillId="12" borderId="59" xfId="0" applyNumberFormat="1" applyFont="1" applyFill="1" applyBorder="1" applyAlignment="1">
      <alignment horizontal="center" vertical="center"/>
    </xf>
    <xf numFmtId="165" fontId="36" fillId="12" borderId="0" xfId="0" applyNumberFormat="1" applyFont="1" applyFill="1" applyAlignment="1">
      <alignment horizontal="center" vertical="center"/>
    </xf>
    <xf numFmtId="0" fontId="2" fillId="0" borderId="125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7" fillId="12" borderId="0" xfId="4" applyFont="1" applyFill="1" applyAlignment="1">
      <alignment horizontal="center"/>
    </xf>
    <xf numFmtId="0" fontId="20" fillId="12" borderId="46" xfId="2" applyFont="1" applyFill="1" applyBorder="1" applyAlignment="1">
      <alignment horizontal="center"/>
    </xf>
    <xf numFmtId="20" fontId="50" fillId="12" borderId="99" xfId="0" quotePrefix="1" applyNumberFormat="1" applyFont="1" applyFill="1" applyBorder="1" applyAlignment="1">
      <alignment horizontal="center"/>
    </xf>
    <xf numFmtId="20" fontId="50" fillId="12" borderId="98" xfId="0" quotePrefix="1" applyNumberFormat="1" applyFont="1" applyFill="1" applyBorder="1" applyAlignment="1">
      <alignment horizontal="center"/>
    </xf>
    <xf numFmtId="0" fontId="15" fillId="12" borderId="126" xfId="4" applyFont="1" applyFill="1" applyBorder="1" applyAlignment="1">
      <alignment horizontal="center" wrapText="1"/>
    </xf>
    <xf numFmtId="0" fontId="15" fillId="12" borderId="121" xfId="4" applyFont="1" applyFill="1" applyBorder="1" applyAlignment="1">
      <alignment horizontal="center" wrapText="1"/>
    </xf>
    <xf numFmtId="0" fontId="15" fillId="12" borderId="127" xfId="4" applyFont="1" applyFill="1" applyBorder="1" applyAlignment="1">
      <alignment horizontal="center" wrapText="1"/>
    </xf>
    <xf numFmtId="0" fontId="50" fillId="12" borderId="99" xfId="0" applyFont="1" applyFill="1" applyBorder="1" applyAlignment="1">
      <alignment horizontal="center"/>
    </xf>
    <xf numFmtId="0" fontId="50" fillId="12" borderId="98" xfId="0" applyFont="1" applyFill="1" applyBorder="1" applyAlignment="1">
      <alignment horizontal="center"/>
    </xf>
    <xf numFmtId="0" fontId="50" fillId="12" borderId="128" xfId="0" applyFont="1" applyFill="1" applyBorder="1" applyAlignment="1">
      <alignment horizontal="center"/>
    </xf>
    <xf numFmtId="0" fontId="50" fillId="12" borderId="100" xfId="0" applyFont="1" applyFill="1" applyBorder="1" applyAlignment="1">
      <alignment horizontal="center"/>
    </xf>
    <xf numFmtId="0" fontId="50" fillId="12" borderId="129" xfId="0" applyFont="1" applyFill="1" applyBorder="1" applyAlignment="1">
      <alignment horizontal="center"/>
    </xf>
    <xf numFmtId="2" fontId="50" fillId="12" borderId="99" xfId="0" quotePrefix="1" applyNumberFormat="1" applyFont="1" applyFill="1" applyBorder="1" applyAlignment="1">
      <alignment horizontal="center"/>
    </xf>
    <xf numFmtId="2" fontId="50" fillId="12" borderId="98" xfId="0" quotePrefix="1" applyNumberFormat="1" applyFont="1" applyFill="1" applyBorder="1" applyAlignment="1">
      <alignment horizontal="center"/>
    </xf>
    <xf numFmtId="20" fontId="50" fillId="12" borderId="99" xfId="0" applyNumberFormat="1" applyFont="1" applyFill="1" applyBorder="1" applyAlignment="1">
      <alignment horizontal="center"/>
    </xf>
    <xf numFmtId="20" fontId="50" fillId="12" borderId="98" xfId="0" applyNumberFormat="1" applyFont="1" applyFill="1" applyBorder="1" applyAlignment="1">
      <alignment horizontal="center"/>
    </xf>
    <xf numFmtId="9" fontId="37" fillId="12" borderId="0" xfId="0" applyNumberFormat="1" applyFont="1" applyFill="1" applyAlignment="1">
      <alignment horizontal="left" vertical="center"/>
    </xf>
    <xf numFmtId="0" fontId="37" fillId="12" borderId="78" xfId="0" applyFont="1" applyFill="1" applyBorder="1" applyAlignment="1">
      <alignment horizontal="left" vertical="center"/>
    </xf>
    <xf numFmtId="0" fontId="50" fillId="12" borderId="0" xfId="0" applyFont="1" applyFill="1" applyAlignment="1">
      <alignment horizontal="center" vertical="top" wrapText="1"/>
    </xf>
    <xf numFmtId="2" fontId="20" fillId="12" borderId="102" xfId="0" applyNumberFormat="1" applyFont="1" applyFill="1" applyBorder="1" applyAlignment="1">
      <alignment horizontal="center"/>
    </xf>
    <xf numFmtId="2" fontId="50" fillId="12" borderId="99" xfId="0" applyNumberFormat="1" applyFont="1" applyFill="1" applyBorder="1" applyAlignment="1">
      <alignment horizontal="center"/>
    </xf>
    <xf numFmtId="2" fontId="50" fillId="12" borderId="98" xfId="0" applyNumberFormat="1" applyFont="1" applyFill="1" applyBorder="1" applyAlignment="1">
      <alignment horizontal="center"/>
    </xf>
    <xf numFmtId="2" fontId="50" fillId="12" borderId="99" xfId="0" applyNumberFormat="1" applyFont="1" applyFill="1" applyBorder="1" applyAlignment="1" applyProtection="1">
      <alignment horizontal="center"/>
      <protection hidden="1"/>
    </xf>
    <xf numFmtId="2" fontId="50" fillId="12" borderId="98" xfId="0" applyNumberFormat="1" applyFont="1" applyFill="1" applyBorder="1" applyAlignment="1" applyProtection="1">
      <alignment horizontal="center"/>
      <protection hidden="1"/>
    </xf>
    <xf numFmtId="0" fontId="20" fillId="0" borderId="40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50" fillId="0" borderId="21" xfId="1" applyFont="1" applyBorder="1" applyAlignment="1">
      <alignment horizontal="center" vertical="center"/>
    </xf>
    <xf numFmtId="0" fontId="15" fillId="12" borderId="126" xfId="5" applyFont="1" applyFill="1" applyBorder="1" applyAlignment="1">
      <alignment horizontal="center" vertical="center" wrapText="1"/>
    </xf>
    <xf numFmtId="0" fontId="15" fillId="12" borderId="121" xfId="5" applyFont="1" applyFill="1" applyBorder="1" applyAlignment="1">
      <alignment horizontal="center" vertical="center" wrapText="1"/>
    </xf>
    <xf numFmtId="0" fontId="15" fillId="12" borderId="127" xfId="5" applyFont="1" applyFill="1" applyBorder="1" applyAlignment="1">
      <alignment horizontal="center" vertical="center" wrapText="1"/>
    </xf>
    <xf numFmtId="0" fontId="102" fillId="0" borderId="42" xfId="1" applyFont="1" applyBorder="1" applyAlignment="1">
      <alignment horizontal="center" vertical="center"/>
    </xf>
    <xf numFmtId="0" fontId="102" fillId="0" borderId="33" xfId="1" applyFont="1" applyBorder="1" applyAlignment="1">
      <alignment horizontal="center" vertical="center"/>
    </xf>
    <xf numFmtId="0" fontId="102" fillId="0" borderId="77" xfId="1" applyFont="1" applyBorder="1" applyAlignment="1">
      <alignment horizontal="center" vertical="center"/>
    </xf>
    <xf numFmtId="0" fontId="102" fillId="0" borderId="31" xfId="1" applyFont="1" applyBorder="1" applyAlignment="1">
      <alignment horizontal="center" vertical="center"/>
    </xf>
    <xf numFmtId="0" fontId="102" fillId="0" borderId="34" xfId="1" applyFont="1" applyBorder="1" applyAlignment="1">
      <alignment horizontal="center" vertical="center"/>
    </xf>
    <xf numFmtId="0" fontId="102" fillId="0" borderId="32" xfId="1" applyFont="1" applyBorder="1" applyAlignment="1">
      <alignment horizontal="center" vertical="center"/>
    </xf>
    <xf numFmtId="0" fontId="20" fillId="0" borderId="43" xfId="1" applyFont="1" applyBorder="1" applyAlignment="1">
      <alignment horizontal="center" vertical="center"/>
    </xf>
    <xf numFmtId="0" fontId="50" fillId="0" borderId="0" xfId="1" applyFont="1" applyAlignment="1">
      <alignment horizontal="center" vertical="top" wrapText="1"/>
    </xf>
    <xf numFmtId="0" fontId="50" fillId="0" borderId="40" xfId="1" applyFont="1" applyBorder="1" applyAlignment="1">
      <alignment horizontal="left" vertical="center"/>
    </xf>
    <xf numFmtId="0" fontId="50" fillId="0" borderId="43" xfId="1" applyFont="1" applyBorder="1" applyAlignment="1">
      <alignment horizontal="left" vertical="center"/>
    </xf>
    <xf numFmtId="0" fontId="50" fillId="0" borderId="41" xfId="1" applyFont="1" applyBorder="1" applyAlignment="1">
      <alignment horizontal="left" vertical="center"/>
    </xf>
    <xf numFmtId="0" fontId="50" fillId="0" borderId="42" xfId="1" applyFont="1" applyBorder="1" applyAlignment="1">
      <alignment horizontal="left" vertical="center"/>
    </xf>
    <xf numFmtId="0" fontId="50" fillId="0" borderId="33" xfId="1" applyFont="1" applyBorder="1" applyAlignment="1">
      <alignment horizontal="left" vertical="center"/>
    </xf>
    <xf numFmtId="0" fontId="50" fillId="0" borderId="77" xfId="1" applyFont="1" applyBorder="1" applyAlignment="1">
      <alignment horizontal="left" vertical="center"/>
    </xf>
    <xf numFmtId="0" fontId="50" fillId="12" borderId="0" xfId="0" applyFont="1" applyFill="1" applyAlignment="1">
      <alignment horizontal="center" vertical="center"/>
    </xf>
    <xf numFmtId="0" fontId="50" fillId="19" borderId="0" xfId="0" applyFont="1" applyFill="1" applyAlignment="1">
      <alignment horizontal="center" vertical="center"/>
    </xf>
    <xf numFmtId="0" fontId="102" fillId="12" borderId="0" xfId="4" applyFont="1" applyFill="1" applyAlignment="1">
      <alignment horizontal="center"/>
    </xf>
    <xf numFmtId="0" fontId="50" fillId="12" borderId="0" xfId="4" applyFont="1" applyFill="1" applyAlignment="1">
      <alignment horizontal="center"/>
    </xf>
    <xf numFmtId="0" fontId="20" fillId="12" borderId="99" xfId="2" applyFont="1" applyFill="1" applyBorder="1" applyAlignment="1">
      <alignment horizontal="center"/>
    </xf>
    <xf numFmtId="0" fontId="20" fillId="12" borderId="36" xfId="2" applyFont="1" applyFill="1" applyBorder="1" applyAlignment="1">
      <alignment horizontal="center"/>
    </xf>
    <xf numFmtId="0" fontId="20" fillId="12" borderId="98" xfId="2" applyFont="1" applyFill="1" applyBorder="1" applyAlignment="1">
      <alignment horizontal="center"/>
    </xf>
    <xf numFmtId="0" fontId="50" fillId="12" borderId="99" xfId="2" applyFont="1" applyFill="1" applyBorder="1" applyAlignment="1">
      <alignment horizontal="center"/>
    </xf>
    <xf numFmtId="0" fontId="50" fillId="12" borderId="36" xfId="2" applyFont="1" applyFill="1" applyBorder="1" applyAlignment="1">
      <alignment horizontal="center"/>
    </xf>
    <xf numFmtId="0" fontId="50" fillId="12" borderId="98" xfId="2" applyFont="1" applyFill="1" applyBorder="1" applyAlignment="1">
      <alignment horizontal="center"/>
    </xf>
    <xf numFmtId="0" fontId="9" fillId="5" borderId="132" xfId="0" applyFont="1" applyFill="1" applyBorder="1" applyAlignment="1">
      <alignment horizontal="center" vertical="center" textRotation="90" wrapText="1"/>
    </xf>
    <xf numFmtId="0" fontId="9" fillId="5" borderId="137" xfId="0" applyFont="1" applyFill="1" applyBorder="1" applyAlignment="1">
      <alignment horizontal="center" vertical="center" textRotation="90" wrapText="1"/>
    </xf>
    <xf numFmtId="0" fontId="23" fillId="5" borderId="22" xfId="0" applyFont="1" applyFill="1" applyBorder="1" applyAlignment="1">
      <alignment horizontal="center" vertical="center" textRotation="90" wrapText="1"/>
    </xf>
    <xf numFmtId="0" fontId="23" fillId="5" borderId="20" xfId="0" applyFont="1" applyFill="1" applyBorder="1" applyAlignment="1">
      <alignment horizontal="center" vertical="center" textRotation="90" wrapText="1"/>
    </xf>
    <xf numFmtId="0" fontId="16" fillId="4" borderId="0" xfId="0" applyFont="1" applyFill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textRotation="90" wrapText="1"/>
    </xf>
    <xf numFmtId="0" fontId="25" fillId="3" borderId="31" xfId="0" applyFont="1" applyFill="1" applyBorder="1" applyAlignment="1">
      <alignment horizontal="center" vertical="center" wrapText="1"/>
    </xf>
    <xf numFmtId="0" fontId="25" fillId="3" borderId="138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left" vertical="center" wrapText="1"/>
    </xf>
    <xf numFmtId="0" fontId="25" fillId="3" borderId="136" xfId="0" applyFont="1" applyFill="1" applyBorder="1" applyAlignment="1">
      <alignment horizontal="left" vertical="center" wrapText="1"/>
    </xf>
    <xf numFmtId="0" fontId="25" fillId="3" borderId="40" xfId="0" applyFont="1" applyFill="1" applyBorder="1" applyAlignment="1">
      <alignment horizontal="center" vertical="center" wrapText="1"/>
    </xf>
    <xf numFmtId="0" fontId="25" fillId="3" borderId="130" xfId="0" applyFont="1" applyFill="1" applyBorder="1" applyAlignment="1">
      <alignment horizontal="center" vertical="center" wrapText="1"/>
    </xf>
    <xf numFmtId="0" fontId="11" fillId="11" borderId="131" xfId="0" applyFont="1" applyFill="1" applyBorder="1" applyAlignment="1">
      <alignment horizontal="center" vertical="center" textRotation="90" wrapText="1"/>
    </xf>
    <xf numFmtId="0" fontId="11" fillId="11" borderId="132" xfId="0" applyFont="1" applyFill="1" applyBorder="1" applyAlignment="1">
      <alignment horizontal="center" vertical="center" textRotation="90" wrapText="1"/>
    </xf>
    <xf numFmtId="0" fontId="11" fillId="11" borderId="133" xfId="0" applyFont="1" applyFill="1" applyBorder="1" applyAlignment="1">
      <alignment horizontal="center" vertical="center" textRotation="90" wrapText="1"/>
    </xf>
    <xf numFmtId="0" fontId="27" fillId="11" borderId="42" xfId="0" applyFont="1" applyFill="1" applyBorder="1" applyAlignment="1">
      <alignment horizontal="center" vertical="center" textRotation="90" wrapText="1"/>
    </xf>
    <xf numFmtId="0" fontId="27" fillId="11" borderId="77" xfId="0" applyFont="1" applyFill="1" applyBorder="1" applyAlignment="1">
      <alignment horizontal="center" vertical="center" textRotation="90" wrapText="1"/>
    </xf>
    <xf numFmtId="0" fontId="27" fillId="11" borderId="59" xfId="0" applyFont="1" applyFill="1" applyBorder="1" applyAlignment="1">
      <alignment horizontal="center" vertical="center" textRotation="90" wrapText="1"/>
    </xf>
    <xf numFmtId="0" fontId="27" fillId="11" borderId="78" xfId="0" applyFont="1" applyFill="1" applyBorder="1" applyAlignment="1">
      <alignment horizontal="center" vertical="center" textRotation="90" wrapText="1"/>
    </xf>
    <xf numFmtId="0" fontId="27" fillId="11" borderId="31" xfId="0" applyFont="1" applyFill="1" applyBorder="1" applyAlignment="1">
      <alignment horizontal="center" vertical="center" textRotation="90" wrapText="1"/>
    </xf>
    <xf numFmtId="0" fontId="27" fillId="11" borderId="32" xfId="0" applyFont="1" applyFill="1" applyBorder="1" applyAlignment="1">
      <alignment horizontal="center" vertical="center" textRotation="90" wrapText="1"/>
    </xf>
    <xf numFmtId="0" fontId="29" fillId="9" borderId="42" xfId="0" applyFont="1" applyFill="1" applyBorder="1" applyAlignment="1">
      <alignment horizontal="left" vertical="center" wrapText="1"/>
    </xf>
    <xf numFmtId="0" fontId="29" fillId="9" borderId="134" xfId="0" applyFont="1" applyFill="1" applyBorder="1" applyAlignment="1">
      <alignment horizontal="left" vertical="center" wrapText="1"/>
    </xf>
    <xf numFmtId="0" fontId="29" fillId="9" borderId="26" xfId="0" applyFont="1" applyFill="1" applyBorder="1" applyAlignment="1">
      <alignment horizontal="left" vertical="center" wrapText="1"/>
    </xf>
    <xf numFmtId="0" fontId="29" fillId="9" borderId="135" xfId="0" applyFont="1" applyFill="1" applyBorder="1" applyAlignment="1">
      <alignment horizontal="left" vertical="center" wrapText="1"/>
    </xf>
    <xf numFmtId="0" fontId="27" fillId="11" borderId="0" xfId="0" applyFont="1" applyFill="1" applyAlignment="1">
      <alignment horizontal="center" vertical="center" textRotation="90" wrapText="1"/>
    </xf>
    <xf numFmtId="0" fontId="27" fillId="11" borderId="34" xfId="0" applyFont="1" applyFill="1" applyBorder="1" applyAlignment="1">
      <alignment horizontal="center" vertical="center" textRotation="90" wrapText="1"/>
    </xf>
    <xf numFmtId="0" fontId="21" fillId="0" borderId="0" xfId="0" applyFont="1" applyAlignment="1">
      <alignment horizontal="center" wrapText="1"/>
    </xf>
    <xf numFmtId="0" fontId="26" fillId="8" borderId="40" xfId="0" applyFont="1" applyFill="1" applyBorder="1" applyAlignment="1">
      <alignment horizontal="center" vertical="center" wrapText="1"/>
    </xf>
    <xf numFmtId="0" fontId="26" fillId="8" borderId="130" xfId="0" applyFont="1" applyFill="1" applyBorder="1" applyAlignment="1">
      <alignment horizontal="center" vertical="center" wrapText="1"/>
    </xf>
    <xf numFmtId="0" fontId="26" fillId="8" borderId="25" xfId="0" applyFont="1" applyFill="1" applyBorder="1" applyAlignment="1">
      <alignment horizontal="left" vertical="center" wrapText="1"/>
    </xf>
    <xf numFmtId="0" fontId="26" fillId="8" borderId="136" xfId="0" applyFont="1" applyFill="1" applyBorder="1" applyAlignment="1">
      <alignment horizontal="left" vertical="center" wrapText="1"/>
    </xf>
    <xf numFmtId="0" fontId="6" fillId="4" borderId="139" xfId="0" applyFont="1" applyFill="1" applyBorder="1" applyAlignment="1">
      <alignment horizontal="center" vertical="center" wrapText="1"/>
    </xf>
    <xf numFmtId="0" fontId="6" fillId="4" borderId="140" xfId="0" applyFont="1" applyFill="1" applyBorder="1" applyAlignment="1">
      <alignment horizontal="center" vertical="center" wrapText="1"/>
    </xf>
    <xf numFmtId="0" fontId="7" fillId="4" borderId="140" xfId="0" applyFont="1" applyFill="1" applyBorder="1" applyAlignment="1">
      <alignment horizontal="center" vertical="center" wrapText="1"/>
    </xf>
    <xf numFmtId="0" fontId="8" fillId="4" borderId="140" xfId="0" applyFont="1" applyFill="1" applyBorder="1" applyAlignment="1">
      <alignment horizontal="center" vertical="center" wrapText="1"/>
    </xf>
    <xf numFmtId="0" fontId="8" fillId="4" borderId="140" xfId="0" applyFont="1" applyFill="1" applyBorder="1" applyAlignment="1">
      <alignment horizontal="center" vertical="center"/>
    </xf>
    <xf numFmtId="0" fontId="8" fillId="4" borderId="141" xfId="0" applyFont="1" applyFill="1" applyBorder="1" applyAlignment="1">
      <alignment horizontal="center" vertical="center"/>
    </xf>
    <xf numFmtId="0" fontId="6" fillId="4" borderId="142" xfId="0" applyFont="1" applyFill="1" applyBorder="1" applyAlignment="1">
      <alignment horizontal="center" vertical="center" wrapText="1"/>
    </xf>
    <xf numFmtId="0" fontId="6" fillId="4" borderId="14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44" xfId="0" applyFont="1" applyFill="1" applyBorder="1" applyAlignment="1">
      <alignment horizontal="center" vertical="center"/>
    </xf>
    <xf numFmtId="0" fontId="9" fillId="4" borderId="145" xfId="0" applyFont="1" applyFill="1" applyBorder="1" applyAlignment="1">
      <alignment horizontal="center" vertical="center"/>
    </xf>
    <xf numFmtId="0" fontId="9" fillId="4" borderId="146" xfId="0" applyFont="1" applyFill="1" applyBorder="1" applyAlignment="1">
      <alignment horizontal="center" vertical="center"/>
    </xf>
    <xf numFmtId="0" fontId="15" fillId="12" borderId="40" xfId="0" applyFont="1" applyFill="1" applyBorder="1" applyAlignment="1">
      <alignment horizontal="center"/>
    </xf>
    <xf numFmtId="0" fontId="15" fillId="12" borderId="41" xfId="0" applyFont="1" applyFill="1" applyBorder="1" applyAlignment="1">
      <alignment horizontal="center"/>
    </xf>
    <xf numFmtId="0" fontId="10" fillId="4" borderId="145" xfId="0" applyFont="1" applyFill="1" applyBorder="1" applyAlignment="1">
      <alignment horizontal="center" vertical="center"/>
    </xf>
    <xf numFmtId="0" fontId="10" fillId="4" borderId="150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51" xfId="0" applyFont="1" applyFill="1" applyBorder="1" applyAlignment="1">
      <alignment horizontal="center" vertical="center"/>
    </xf>
    <xf numFmtId="0" fontId="9" fillId="2" borderId="15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4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47" xfId="0" applyFont="1" applyFill="1" applyBorder="1" applyAlignment="1">
      <alignment horizontal="center" vertical="center"/>
    </xf>
    <xf numFmtId="0" fontId="10" fillId="4" borderId="14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49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4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86" fillId="12" borderId="38" xfId="0" applyFont="1" applyFill="1" applyBorder="1" applyAlignment="1">
      <alignment horizontal="center" vertical="center"/>
    </xf>
    <xf numFmtId="0" fontId="86" fillId="12" borderId="47" xfId="0" applyFont="1" applyFill="1" applyBorder="1" applyAlignment="1">
      <alignment horizontal="center" vertical="center"/>
    </xf>
    <xf numFmtId="0" fontId="86" fillId="12" borderId="48" xfId="0" applyFont="1" applyFill="1" applyBorder="1" applyAlignment="1">
      <alignment horizontal="center" vertical="center"/>
    </xf>
    <xf numFmtId="0" fontId="86" fillId="12" borderId="39" xfId="0" applyFont="1" applyFill="1" applyBorder="1" applyAlignment="1">
      <alignment horizontal="center" vertical="center"/>
    </xf>
    <xf numFmtId="0" fontId="86" fillId="12" borderId="49" xfId="0" applyFont="1" applyFill="1" applyBorder="1" applyAlignment="1">
      <alignment horizontal="center" vertical="center"/>
    </xf>
    <xf numFmtId="0" fontId="86" fillId="12" borderId="45" xfId="0" applyFont="1" applyFill="1" applyBorder="1" applyAlignment="1">
      <alignment horizontal="center" vertical="center"/>
    </xf>
    <xf numFmtId="0" fontId="86" fillId="12" borderId="46" xfId="0" applyFont="1" applyFill="1" applyBorder="1" applyAlignment="1">
      <alignment horizontal="center" vertical="center"/>
    </xf>
    <xf numFmtId="0" fontId="86" fillId="12" borderId="50" xfId="0" applyFont="1" applyFill="1" applyBorder="1" applyAlignment="1">
      <alignment horizontal="center" vertical="center"/>
    </xf>
    <xf numFmtId="0" fontId="72" fillId="12" borderId="2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82" fillId="12" borderId="21" xfId="0" applyFont="1" applyFill="1" applyBorder="1" applyAlignment="1">
      <alignment horizontal="center" vertical="center" wrapText="1"/>
    </xf>
    <xf numFmtId="0" fontId="83" fillId="12" borderId="21" xfId="0" applyFont="1" applyFill="1" applyBorder="1" applyAlignment="1">
      <alignment horizontal="center" vertical="center" wrapText="1"/>
    </xf>
    <xf numFmtId="0" fontId="51" fillId="12" borderId="0" xfId="0" applyFont="1" applyFill="1" applyAlignment="1">
      <alignment horizontal="center"/>
    </xf>
    <xf numFmtId="14" fontId="72" fillId="12" borderId="0" xfId="0" applyNumberFormat="1" applyFont="1" applyFill="1" applyAlignment="1">
      <alignment horizontal="left" vertical="center"/>
    </xf>
    <xf numFmtId="0" fontId="77" fillId="12" borderId="0" xfId="0" applyFont="1" applyFill="1" applyAlignment="1">
      <alignment horizontal="center" vertical="center"/>
    </xf>
    <xf numFmtId="0" fontId="75" fillId="12" borderId="0" xfId="0" applyFont="1" applyFill="1" applyAlignment="1">
      <alignment horizontal="center" vertical="center"/>
    </xf>
    <xf numFmtId="14" fontId="72" fillId="12" borderId="36" xfId="0" applyNumberFormat="1" applyFont="1" applyFill="1" applyBorder="1" applyAlignment="1">
      <alignment horizontal="left" vertical="center"/>
    </xf>
    <xf numFmtId="0" fontId="80" fillId="0" borderId="33" xfId="0" applyFont="1" applyBorder="1" applyAlignment="1">
      <alignment horizontal="center" vertical="center"/>
    </xf>
    <xf numFmtId="0" fontId="80" fillId="0" borderId="34" xfId="0" applyFont="1" applyBorder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80" fillId="0" borderId="31" xfId="0" applyFont="1" applyBorder="1" applyAlignment="1">
      <alignment horizontal="center" vertical="center"/>
    </xf>
    <xf numFmtId="0" fontId="80" fillId="0" borderId="77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6" fillId="12" borderId="153" xfId="0" applyFont="1" applyFill="1" applyBorder="1" applyAlignment="1">
      <alignment horizontal="center" vertical="center"/>
    </xf>
    <xf numFmtId="0" fontId="86" fillId="12" borderId="154" xfId="0" applyFont="1" applyFill="1" applyBorder="1" applyAlignment="1">
      <alignment horizontal="center" vertical="center"/>
    </xf>
    <xf numFmtId="0" fontId="86" fillId="12" borderId="155" xfId="0" applyFont="1" applyFill="1" applyBorder="1" applyAlignment="1">
      <alignment horizontal="center" vertical="center"/>
    </xf>
    <xf numFmtId="0" fontId="52" fillId="12" borderId="0" xfId="0" applyFont="1" applyFill="1" applyAlignment="1">
      <alignment horizontal="center" vertical="center"/>
    </xf>
    <xf numFmtId="10" fontId="1" fillId="12" borderId="65" xfId="6" applyNumberFormat="1" applyFill="1" applyBorder="1" applyAlignment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7" fontId="59" fillId="12" borderId="40" xfId="6" applyNumberFormat="1" applyFont="1" applyFill="1" applyBorder="1" applyAlignment="1">
      <alignment horizontal="center" vertical="center"/>
    </xf>
    <xf numFmtId="167" fontId="59" fillId="12" borderId="43" xfId="6" applyNumberFormat="1" applyFont="1" applyFill="1" applyBorder="1" applyAlignment="1">
      <alignment horizontal="center" vertical="center"/>
    </xf>
    <xf numFmtId="167" fontId="59" fillId="12" borderId="41" xfId="6" applyNumberFormat="1" applyFont="1" applyFill="1" applyBorder="1" applyAlignment="1">
      <alignment horizontal="center" vertical="center"/>
    </xf>
    <xf numFmtId="164" fontId="2" fillId="12" borderId="119" xfId="0" applyNumberFormat="1" applyFont="1" applyFill="1" applyBorder="1" applyAlignment="1">
      <alignment horizontal="center" vertical="center"/>
    </xf>
    <xf numFmtId="164" fontId="2" fillId="12" borderId="112" xfId="0" applyNumberFormat="1" applyFont="1" applyFill="1" applyBorder="1" applyAlignment="1">
      <alignment horizontal="center" vertical="center"/>
    </xf>
    <xf numFmtId="164" fontId="33" fillId="12" borderId="40" xfId="0" applyNumberFormat="1" applyFont="1" applyFill="1" applyBorder="1" applyAlignment="1">
      <alignment horizontal="center" vertical="center"/>
    </xf>
    <xf numFmtId="164" fontId="33" fillId="12" borderId="41" xfId="0" applyNumberFormat="1" applyFont="1" applyFill="1" applyBorder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164" fontId="2" fillId="12" borderId="113" xfId="0" applyNumberFormat="1" applyFont="1" applyFill="1" applyBorder="1" applyAlignment="1">
      <alignment horizontal="center" vertical="center"/>
    </xf>
    <xf numFmtId="164" fontId="2" fillId="12" borderId="101" xfId="0" applyNumberFormat="1" applyFont="1" applyFill="1" applyBorder="1" applyAlignment="1">
      <alignment horizontal="center" vertical="center"/>
    </xf>
    <xf numFmtId="0" fontId="50" fillId="12" borderId="40" xfId="0" applyFont="1" applyFill="1" applyBorder="1" applyAlignment="1">
      <alignment horizontal="center" vertical="center"/>
    </xf>
    <xf numFmtId="0" fontId="50" fillId="12" borderId="43" xfId="0" applyFont="1" applyFill="1" applyBorder="1" applyAlignment="1">
      <alignment horizontal="center" vertical="center"/>
    </xf>
    <xf numFmtId="0" fontId="50" fillId="12" borderId="41" xfId="0" applyFont="1" applyFill="1" applyBorder="1" applyAlignment="1">
      <alignment horizontal="center" vertical="center"/>
    </xf>
    <xf numFmtId="0" fontId="62" fillId="12" borderId="0" xfId="0" applyFont="1" applyFill="1" applyAlignment="1">
      <alignment horizontal="center" vertical="center" wrapText="1"/>
    </xf>
    <xf numFmtId="167" fontId="20" fillId="12" borderId="0" xfId="6" applyNumberFormat="1" applyFont="1" applyFill="1" applyBorder="1" applyAlignment="1">
      <alignment horizontal="center" vertical="center"/>
    </xf>
    <xf numFmtId="0" fontId="96" fillId="12" borderId="42" xfId="0" applyFont="1" applyFill="1" applyBorder="1" applyAlignment="1">
      <alignment horizontal="center" vertical="center" wrapText="1"/>
    </xf>
    <xf numFmtId="0" fontId="96" fillId="12" borderId="77" xfId="0" applyFont="1" applyFill="1" applyBorder="1" applyAlignment="1">
      <alignment horizontal="center" vertical="center" wrapText="1"/>
    </xf>
    <xf numFmtId="0" fontId="96" fillId="12" borderId="31" xfId="0" applyFont="1" applyFill="1" applyBorder="1" applyAlignment="1">
      <alignment horizontal="center" vertical="center" wrapText="1"/>
    </xf>
    <xf numFmtId="0" fontId="96" fillId="12" borderId="32" xfId="0" applyFont="1" applyFill="1" applyBorder="1" applyAlignment="1">
      <alignment horizontal="center" vertical="center" wrapText="1"/>
    </xf>
    <xf numFmtId="173" fontId="62" fillId="12" borderId="24" xfId="0" applyNumberFormat="1" applyFont="1" applyFill="1" applyBorder="1" applyAlignment="1">
      <alignment horizontal="center" vertical="center"/>
    </xf>
    <xf numFmtId="173" fontId="62" fillId="12" borderId="20" xfId="0" applyNumberFormat="1" applyFont="1" applyFill="1" applyBorder="1" applyAlignment="1">
      <alignment horizontal="center" vertical="center"/>
    </xf>
    <xf numFmtId="0" fontId="36" fillId="12" borderId="38" xfId="0" applyFont="1" applyFill="1" applyBorder="1" applyAlignment="1" applyProtection="1">
      <alignment horizontal="center" vertical="center"/>
      <protection locked="0"/>
    </xf>
    <xf numFmtId="0" fontId="36" fillId="12" borderId="47" xfId="0" applyFont="1" applyFill="1" applyBorder="1" applyAlignment="1" applyProtection="1">
      <alignment horizontal="center" vertical="center"/>
      <protection locked="0"/>
    </xf>
    <xf numFmtId="0" fontId="36" fillId="12" borderId="48" xfId="0" applyFont="1" applyFill="1" applyBorder="1" applyAlignment="1" applyProtection="1">
      <alignment horizontal="center" vertical="center"/>
      <protection locked="0"/>
    </xf>
    <xf numFmtId="0" fontId="36" fillId="12" borderId="39" xfId="0" applyFont="1" applyFill="1" applyBorder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center" vertical="center"/>
      <protection locked="0"/>
    </xf>
    <xf numFmtId="0" fontId="36" fillId="12" borderId="49" xfId="0" applyFont="1" applyFill="1" applyBorder="1" applyAlignment="1" applyProtection="1">
      <alignment horizontal="center" vertical="center"/>
      <protection locked="0"/>
    </xf>
    <xf numFmtId="0" fontId="36" fillId="12" borderId="45" xfId="0" applyFont="1" applyFill="1" applyBorder="1" applyAlignment="1" applyProtection="1">
      <alignment horizontal="center" vertical="center"/>
      <protection locked="0"/>
    </xf>
    <xf numFmtId="0" fontId="36" fillId="12" borderId="46" xfId="0" applyFont="1" applyFill="1" applyBorder="1" applyAlignment="1" applyProtection="1">
      <alignment horizontal="center" vertical="center"/>
      <protection locked="0"/>
    </xf>
    <xf numFmtId="0" fontId="36" fillId="12" borderId="50" xfId="0" applyFont="1" applyFill="1" applyBorder="1" applyAlignment="1" applyProtection="1">
      <alignment horizontal="center" vertical="center"/>
      <protection locked="0"/>
    </xf>
    <xf numFmtId="0" fontId="2" fillId="12" borderId="43" xfId="0" applyFont="1" applyFill="1" applyBorder="1" applyAlignment="1">
      <alignment horizontal="center" vertical="center"/>
    </xf>
    <xf numFmtId="0" fontId="2" fillId="12" borderId="118" xfId="0" applyFont="1" applyFill="1" applyBorder="1" applyAlignment="1">
      <alignment horizontal="center" vertical="center"/>
    </xf>
    <xf numFmtId="0" fontId="2" fillId="12" borderId="115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 wrapText="1"/>
    </xf>
    <xf numFmtId="0" fontId="20" fillId="12" borderId="34" xfId="0" applyFont="1" applyFill="1" applyBorder="1" applyAlignment="1">
      <alignment horizontal="center" vertical="center" wrapText="1"/>
    </xf>
    <xf numFmtId="0" fontId="20" fillId="12" borderId="32" xfId="0" applyFont="1" applyFill="1" applyBorder="1" applyAlignment="1">
      <alignment horizontal="center" vertical="center" wrapText="1"/>
    </xf>
    <xf numFmtId="0" fontId="118" fillId="12" borderId="0" xfId="0" applyFont="1" applyFill="1" applyAlignment="1">
      <alignment horizontal="center" vertical="center"/>
    </xf>
    <xf numFmtId="176" fontId="118" fillId="0" borderId="0" xfId="0" applyNumberFormat="1" applyFont="1" applyAlignment="1" applyProtection="1">
      <alignment horizontal="center"/>
      <protection hidden="1"/>
    </xf>
    <xf numFmtId="0" fontId="20" fillId="12" borderId="24" xfId="0" applyFont="1" applyFill="1" applyBorder="1" applyAlignment="1">
      <alignment horizontal="center" vertical="center" wrapText="1"/>
    </xf>
    <xf numFmtId="0" fontId="50" fillId="12" borderId="24" xfId="0" applyFont="1" applyFill="1" applyBorder="1" applyAlignment="1">
      <alignment horizontal="center" vertical="center" wrapText="1"/>
    </xf>
    <xf numFmtId="0" fontId="50" fillId="12" borderId="22" xfId="0" applyFont="1" applyFill="1" applyBorder="1" applyAlignment="1">
      <alignment horizontal="center" vertical="center" wrapText="1"/>
    </xf>
    <xf numFmtId="0" fontId="50" fillId="12" borderId="21" xfId="0" applyFont="1" applyFill="1" applyBorder="1" applyAlignment="1">
      <alignment horizontal="center" vertical="center"/>
    </xf>
    <xf numFmtId="164" fontId="20" fillId="12" borderId="21" xfId="0" applyNumberFormat="1" applyFont="1" applyFill="1" applyBorder="1" applyAlignment="1">
      <alignment horizontal="center" vertical="center"/>
    </xf>
    <xf numFmtId="0" fontId="96" fillId="0" borderId="162" xfId="0" applyFont="1" applyBorder="1" applyAlignment="1" applyProtection="1">
      <alignment horizontal="center" vertical="center"/>
      <protection hidden="1"/>
    </xf>
    <xf numFmtId="0" fontId="62" fillId="0" borderId="163" xfId="0" applyFont="1" applyBorder="1" applyAlignment="1">
      <alignment horizontal="left" wrapText="1"/>
    </xf>
    <xf numFmtId="0" fontId="62" fillId="0" borderId="78" xfId="0" applyFont="1" applyBorder="1" applyAlignment="1">
      <alignment horizontal="left" wrapText="1"/>
    </xf>
    <xf numFmtId="0" fontId="118" fillId="19" borderId="0" xfId="0" applyFont="1" applyFill="1" applyAlignment="1">
      <alignment horizontal="center" vertical="center"/>
    </xf>
    <xf numFmtId="178" fontId="118" fillId="19" borderId="0" xfId="0" applyNumberFormat="1" applyFont="1" applyFill="1" applyAlignment="1" applyProtection="1">
      <alignment horizontal="center"/>
      <protection hidden="1"/>
    </xf>
    <xf numFmtId="0" fontId="20" fillId="19" borderId="156" xfId="0" applyFont="1" applyFill="1" applyBorder="1" applyAlignment="1" applyProtection="1">
      <alignment horizontal="center" vertical="center" wrapText="1"/>
      <protection hidden="1"/>
    </xf>
    <xf numFmtId="0" fontId="20" fillId="19" borderId="157" xfId="0" applyFont="1" applyFill="1" applyBorder="1" applyAlignment="1" applyProtection="1">
      <alignment horizontal="center" vertical="center" wrapText="1"/>
      <protection hidden="1"/>
    </xf>
    <xf numFmtId="0" fontId="20" fillId="19" borderId="158" xfId="0" applyFont="1" applyFill="1" applyBorder="1" applyAlignment="1" applyProtection="1">
      <alignment horizontal="center" vertical="center" wrapText="1"/>
      <protection hidden="1"/>
    </xf>
    <xf numFmtId="0" fontId="20" fillId="19" borderId="159" xfId="0" applyFont="1" applyFill="1" applyBorder="1" applyAlignment="1" applyProtection="1">
      <alignment horizontal="center" vertical="center" wrapText="1"/>
      <protection hidden="1"/>
    </xf>
    <xf numFmtId="0" fontId="20" fillId="19" borderId="160" xfId="0" applyFont="1" applyFill="1" applyBorder="1" applyAlignment="1" applyProtection="1">
      <alignment horizontal="center" vertical="center" wrapText="1"/>
      <protection hidden="1"/>
    </xf>
    <xf numFmtId="0" fontId="20" fillId="19" borderId="161" xfId="0" applyFont="1" applyFill="1" applyBorder="1" applyAlignment="1" applyProtection="1">
      <alignment horizontal="center" vertical="center" wrapText="1"/>
      <protection hidden="1"/>
    </xf>
    <xf numFmtId="0" fontId="0" fillId="12" borderId="0" xfId="0" applyFill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0" fontId="56" fillId="12" borderId="0" xfId="0" applyFont="1" applyFill="1" applyAlignment="1">
      <alignment horizontal="center"/>
    </xf>
    <xf numFmtId="0" fontId="20" fillId="12" borderId="24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77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164" fontId="0" fillId="12" borderId="24" xfId="0" applyNumberFormat="1" applyFill="1" applyBorder="1" applyAlignment="1">
      <alignment horizontal="center" vertical="center"/>
    </xf>
    <xf numFmtId="164" fontId="0" fillId="12" borderId="20" xfId="0" applyNumberFormat="1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33" fillId="12" borderId="21" xfId="2" applyFont="1" applyFill="1" applyBorder="1" applyAlignment="1" applyProtection="1">
      <alignment horizontal="center" vertical="center"/>
      <protection locked="0"/>
    </xf>
  </cellXfs>
  <cellStyles count="8">
    <cellStyle name="Normal" xfId="0" builtinId="0"/>
    <cellStyle name="Normal 2" xfId="7" xr:uid="{97E7A591-3FB6-4A83-8863-4442C4A4EF81}"/>
    <cellStyle name="Normal_ABG-01" xfId="1" xr:uid="{553BF811-FFE8-421A-B6A9-5F12800EACCB}"/>
    <cellStyle name="Normal_ENSAYOS" xfId="2" xr:uid="{548AA62D-F975-4E3E-BF13-EAF38B308F53}"/>
    <cellStyle name="Normal_ENSAYOS 2" xfId="3" xr:uid="{E5AAA136-21BC-441C-B4D8-F6FDE5D51B8A}"/>
    <cellStyle name="Normal_Produc. 07-09-99" xfId="4" xr:uid="{52678C61-8EB0-4C27-9841-3317C8A9FAA5}"/>
    <cellStyle name="Normal_Produc. 07-09-99 2" xfId="5" xr:uid="{70C4EAD1-40C8-49F0-8390-9678BE6050E8}"/>
    <cellStyle name="Porcentaje" xfId="6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</font>
    </dxf>
    <dxf>
      <font>
        <b/>
        <i val="0"/>
        <strike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CURVA GRANULOMETRICA</a:t>
            </a:r>
          </a:p>
        </c:rich>
      </c:tx>
      <c:layout>
        <c:manualLayout>
          <c:xMode val="edge"/>
          <c:yMode val="edge"/>
          <c:x val="0.38095307052135724"/>
          <c:y val="3.35365853658536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68E-2"/>
          <c:y val="0.17073196147931574"/>
          <c:w val="0.86535442540670127"/>
          <c:h val="0.61585457533610322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2-495F-8106-E3CF885870C9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12-495F-8106-E3CF885870C9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12-495F-8106-E3CF885870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12-495F-8106-E3CF885870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12-495F-8106-E3CF885870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212-495F-8106-E3CF885870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212-495F-8106-E3CF885870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212-495F-8106-E3CF885870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212-495F-8106-E3CF885870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3/8"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212-495F-8106-E3CF885870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212-495F-8106-E3CF885870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Nº4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212-495F-8106-E3CF885870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212-495F-8106-E3CF885870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B212-495F-8106-E3CF885870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16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B212-495F-8106-E3CF885870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B212-495F-8106-E3CF885870C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30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B212-495F-8106-E3CF885870C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B212-495F-8106-E3CF885870C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50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B212-495F-8106-E3CF885870C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B212-495F-8106-E3CF885870C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B212-495F-8106-E3CF885870C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100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B212-495F-8106-E3CF885870C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pPr>
                      <a:defRPr sz="475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B212-495F-8106-E3CF885870C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212-495F-8106-E3CF885870C9}"/>
            </c:ext>
          </c:extLst>
        </c:ser>
        <c:ser>
          <c:idx val="3"/>
          <c:order val="3"/>
          <c:tx>
            <c:v>Muestra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'Gran-LLyLP'!$B$23:$B$40</c:f>
              <c:numCache>
                <c:formatCode>0.000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'Gran-LLyLP'!$F$23:$F$40</c:f>
              <c:numCache>
                <c:formatCode>0.0</c:formatCode>
                <c:ptCount val="18"/>
                <c:pt idx="1">
                  <c:v>100</c:v>
                </c:pt>
                <c:pt idx="2">
                  <c:v>100</c:v>
                </c:pt>
                <c:pt idx="3">
                  <c:v>94.6</c:v>
                </c:pt>
                <c:pt idx="4">
                  <c:v>81.900000000000006</c:v>
                </c:pt>
                <c:pt idx="5">
                  <c:v>72.5</c:v>
                </c:pt>
                <c:pt idx="6">
                  <c:v>56.7</c:v>
                </c:pt>
                <c:pt idx="7">
                  <c:v>49</c:v>
                </c:pt>
                <c:pt idx="8">
                  <c:v>40.6</c:v>
                </c:pt>
                <c:pt idx="9">
                  <c:v>37.300000000000004</c:v>
                </c:pt>
                <c:pt idx="10">
                  <c:v>27.800000000000011</c:v>
                </c:pt>
                <c:pt idx="11">
                  <c:v>26.400000000000006</c:v>
                </c:pt>
                <c:pt idx="12">
                  <c:v>19.900000000000006</c:v>
                </c:pt>
                <c:pt idx="13">
                  <c:v>12.600000000000009</c:v>
                </c:pt>
                <c:pt idx="14">
                  <c:v>11.100000000000009</c:v>
                </c:pt>
                <c:pt idx="15">
                  <c:v>9.3000000000000114</c:v>
                </c:pt>
                <c:pt idx="16">
                  <c:v>7.4000000000000057</c:v>
                </c:pt>
                <c:pt idx="1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212-495F-8106-E3CF885870C9}"/>
            </c:ext>
          </c:extLst>
        </c:ser>
        <c:ser>
          <c:idx val="4"/>
          <c:order val="4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'Gran-LLyLP'!$R$50:$R$52</c:f>
              <c:numCache>
                <c:formatCode>0.00</c:formatCode>
                <c:ptCount val="3"/>
                <c:pt idx="0">
                  <c:v>0.36</c:v>
                </c:pt>
                <c:pt idx="1">
                  <c:v>0.36</c:v>
                </c:pt>
                <c:pt idx="2">
                  <c:v>0.36</c:v>
                </c:pt>
              </c:numCache>
            </c:numRef>
          </c:xVal>
          <c:yVal>
            <c:numRef>
              <c:f>'Gran-LLyLP'!$S$50:$S$52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212-495F-8106-E3CF885870C9}"/>
            </c:ext>
          </c:extLst>
        </c:ser>
        <c:ser>
          <c:idx val="5"/>
          <c:order val="5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'Gran-LLyLP'!$R$55:$R$57</c:f>
              <c:numCache>
                <c:formatCode>0.00</c:formatCode>
                <c:ptCount val="3"/>
                <c:pt idx="0">
                  <c:v>2.89</c:v>
                </c:pt>
                <c:pt idx="1">
                  <c:v>2.89</c:v>
                </c:pt>
                <c:pt idx="2">
                  <c:v>2.89</c:v>
                </c:pt>
              </c:numCache>
            </c:numRef>
          </c:xVal>
          <c:yVal>
            <c:numRef>
              <c:f>'Gran-LLyLP'!$S$55:$S$57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212-495F-8106-E3CF885870C9}"/>
            </c:ext>
          </c:extLst>
        </c:ser>
        <c:ser>
          <c:idx val="6"/>
          <c:order val="6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'Gran-LLyLP'!$R$60:$R$62</c:f>
              <c:numCache>
                <c:formatCode>0.00</c:formatCode>
                <c:ptCount val="3"/>
                <c:pt idx="0">
                  <c:v>13.68</c:v>
                </c:pt>
                <c:pt idx="1">
                  <c:v>13.68</c:v>
                </c:pt>
                <c:pt idx="2">
                  <c:v>13.68</c:v>
                </c:pt>
              </c:numCache>
            </c:numRef>
          </c:xVal>
          <c:yVal>
            <c:numRef>
              <c:f>'Gran-LLyLP'!$S$60:$S$62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212-495F-8106-E3CF885870C9}"/>
            </c:ext>
          </c:extLst>
        </c:ser>
        <c:ser>
          <c:idx val="7"/>
          <c:order val="7"/>
          <c:tx>
            <c:v>MIN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('Gran-LLyLP'!$B$25,'Gran-LLyLP'!$B$30,'Gran-LLyLP'!$B$32,'Gran-LLyLP'!$B$34,'Gran-LLyLP'!$B$37,'Gran-LLyLP'!$B$40)</c:f>
              <c:numCache>
                <c:formatCode>0.000</c:formatCode>
                <c:ptCount val="6"/>
                <c:pt idx="0">
                  <c:v>50.6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('Gran-LLyLP'!$G$25,'Gran-LLyLP'!$G$30,'Gran-LLyLP'!$G$32,'Gran-LLyLP'!$G$34,'Gran-LLyLP'!$G$37,'Gran-LLyLP'!$G$40)</c:f>
              <c:numCache>
                <c:formatCode>0</c:formatCode>
                <c:ptCount val="6"/>
                <c:pt idx="0">
                  <c:v>100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212-495F-8106-E3CF885870C9}"/>
            </c:ext>
          </c:extLst>
        </c:ser>
        <c:ser>
          <c:idx val="8"/>
          <c:order val="8"/>
          <c:tx>
            <c:v>MAX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ash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('Gran-LLyLP'!$B$26,'Gran-LLyLP'!$B$30,'Gran-LLyLP'!$B$32,'Gran-LLyLP'!$B$34,'Gran-LLyLP'!$B$37,'Gran-LLyLP'!$B$40)</c:f>
              <c:numCache>
                <c:formatCode>0.000</c:formatCode>
                <c:ptCount val="6"/>
                <c:pt idx="0">
                  <c:v>38.1</c:v>
                </c:pt>
                <c:pt idx="1">
                  <c:v>9.5250000000000004</c:v>
                </c:pt>
                <c:pt idx="2">
                  <c:v>4.76</c:v>
                </c:pt>
                <c:pt idx="3">
                  <c:v>2</c:v>
                </c:pt>
                <c:pt idx="4">
                  <c:v>0.42</c:v>
                </c:pt>
                <c:pt idx="5">
                  <c:v>7.3999999999999996E-2</c:v>
                </c:pt>
              </c:numCache>
            </c:numRef>
          </c:xVal>
          <c:yVal>
            <c:numRef>
              <c:f>('Gran-LLyLP'!$I$26,'Gran-LLyLP'!$I$30,'Gran-LLyLP'!$I$32,'Gran-LLyLP'!$I$34,'Gran-LLyLP'!$I$37,'Gran-LLyLP'!$I$40)</c:f>
              <c:numCache>
                <c:formatCode>0</c:formatCode>
                <c:ptCount val="6"/>
                <c:pt idx="0">
                  <c:v>100</c:v>
                </c:pt>
                <c:pt idx="1">
                  <c:v>65</c:v>
                </c:pt>
                <c:pt idx="2">
                  <c:v>55</c:v>
                </c:pt>
                <c:pt idx="3">
                  <c:v>40</c:v>
                </c:pt>
                <c:pt idx="4">
                  <c:v>20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212-495F-8106-E3CF88587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47583"/>
        <c:axId val="1"/>
      </c:scatterChart>
      <c:valAx>
        <c:axId val="1887547583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573139564450993"/>
              <c:y val="0.8902451827667882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QUE PASA</a:t>
                </a:r>
              </a:p>
            </c:rich>
          </c:tx>
          <c:layout>
            <c:manualLayout>
              <c:xMode val="edge"/>
              <c:yMode val="edge"/>
              <c:x val="0.94088825103758578"/>
              <c:y val="0.37195185967607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87547583"/>
        <c:crossesAt val="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3"/>
          <c:y val="0.11111171393073964"/>
          <c:w val="0.76976203340459015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'Gran-LLyLP'!$R$10:$R$12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'Gran-LLyLP'!$S$10:$S$12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E-4FED-B3D8-DE1DDC089BFD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'Gran-LLyLP'!$R$15:$R$17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'Gran-LLyLP'!$S$15:$S$17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BE-4FED-B3D8-DE1DDC08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551903"/>
        <c:axId val="1"/>
      </c:scatterChart>
      <c:valAx>
        <c:axId val="1887551903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139"/>
              <c:y val="0.883337999416739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0"/>
        <c:minorUnit val="10"/>
      </c:valAx>
      <c:valAx>
        <c:axId val="1"/>
        <c:scaling>
          <c:orientation val="minMax"/>
          <c:max val="20"/>
          <c:min val="1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16668416447943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87551903"/>
        <c:crosses val="autoZero"/>
        <c:crossBetween val="midCat"/>
        <c:majorUnit val="1"/>
        <c:minorUnit val="0.2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ENSAYO DE PROCTOR MODIFICADO</a:t>
            </a:r>
          </a:p>
        </c:rich>
      </c:tx>
      <c:layout>
        <c:manualLayout>
          <c:xMode val="edge"/>
          <c:yMode val="edge"/>
          <c:x val="0.30483290889754022"/>
          <c:y val="1.63934426229508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556"/>
          <c:y val="0.10491803278688525"/>
          <c:w val="0.78438732899930386"/>
          <c:h val="0.68524590163934429"/>
        </c:manualLayout>
      </c:layou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00"/>
              </a:solidFill>
              <a:ln w="9525">
                <a:noFill/>
              </a:ln>
            </c:spPr>
          </c:marker>
          <c:xVal>
            <c:numRef>
              <c:f>Proctor!$J$47:$J$49</c:f>
              <c:numCache>
                <c:formatCode>General</c:formatCode>
                <c:ptCount val="3"/>
                <c:pt idx="0">
                  <c:v>7.2</c:v>
                </c:pt>
                <c:pt idx="1">
                  <c:v>7.2</c:v>
                </c:pt>
                <c:pt idx="2">
                  <c:v>0</c:v>
                </c:pt>
              </c:numCache>
            </c:numRef>
          </c:xVal>
          <c:yVal>
            <c:numRef>
              <c:f>Proctor!$I$47:$I$49</c:f>
              <c:numCache>
                <c:formatCode>General</c:formatCode>
                <c:ptCount val="3"/>
                <c:pt idx="0">
                  <c:v>0</c:v>
                </c:pt>
                <c:pt idx="1">
                  <c:v>2.2650000000000001</c:v>
                </c:pt>
                <c:pt idx="2">
                  <c:v>2.2650000000000001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60-4D99-975F-0B0262526D63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Proctor!$C$36:$G$36</c:f>
              <c:numCache>
                <c:formatCode>0.0</c:formatCode>
                <c:ptCount val="5"/>
                <c:pt idx="0">
                  <c:v>3.1889763779527645</c:v>
                </c:pt>
                <c:pt idx="1">
                  <c:v>5.3289318556944032</c:v>
                </c:pt>
                <c:pt idx="2">
                  <c:v>7.8008298755186765</c:v>
                </c:pt>
                <c:pt idx="3">
                  <c:v>10.466034755134283</c:v>
                </c:pt>
              </c:numCache>
            </c:numRef>
          </c:xVal>
          <c:yVal>
            <c:numRef>
              <c:f>Proctor!$C$37:$G$37</c:f>
              <c:numCache>
                <c:formatCode>0.000</c:formatCode>
                <c:ptCount val="5"/>
                <c:pt idx="0">
                  <c:v>2.2295147967220865</c:v>
                </c:pt>
                <c:pt idx="1">
                  <c:v>2.2550090734073889</c:v>
                </c:pt>
                <c:pt idx="2">
                  <c:v>2.263713583723785</c:v>
                </c:pt>
                <c:pt idx="3">
                  <c:v>2.2257582999920866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60-4D99-975F-0B0262526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098655"/>
        <c:axId val="1"/>
      </c:scatterChart>
      <c:valAx>
        <c:axId val="1893098655"/>
        <c:scaling>
          <c:orientation val="minMax"/>
          <c:max val="11"/>
          <c:min val="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Humedad (%)</a:t>
                </a:r>
              </a:p>
            </c:rich>
          </c:tx>
          <c:layout>
            <c:manualLayout>
              <c:xMode val="edge"/>
              <c:yMode val="edge"/>
              <c:x val="0.49814165422630718"/>
              <c:y val="0.878688524590163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1"/>
        <c:minorUnit val="0.5"/>
      </c:valAx>
      <c:valAx>
        <c:axId val="1"/>
        <c:scaling>
          <c:orientation val="minMax"/>
          <c:max val="2.27"/>
          <c:min val="2.2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Densidad seca (gr/cm</a:t>
                </a:r>
                <a:r>
                  <a:rPr lang="en-US" sz="8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US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2750929368029739E-2"/>
              <c:y val="0.219672131147540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3098655"/>
        <c:crosses val="autoZero"/>
        <c:crossBetween val="midCat"/>
        <c:majorUnit val="0.0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(56 golpes)</a:t>
            </a:r>
          </a:p>
        </c:rich>
      </c:tx>
      <c:layout>
        <c:manualLayout>
          <c:xMode val="edge"/>
          <c:yMode val="edge"/>
          <c:x val="0.30787984835228926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12448636579463"/>
          <c:y val="9.5308666461495675E-2"/>
          <c:w val="0.70660951313802778"/>
          <c:h val="0.7590654507469120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F9-4E1C-AA32-26ED67F89C2C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F9-4E1C-AA32-26ED67F89C2C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F9-4E1C-AA32-26ED67F89C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F9-4E1C-AA32-26ED67F89C2C}"/>
                </c:ext>
              </c:extLst>
            </c:dLbl>
            <c:dLbl>
              <c:idx val="2"/>
              <c:layout>
                <c:manualLayout>
                  <c:x val="4.1727255563836635E-2"/>
                  <c:y val="-4.716589330103306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F9-4E1C-AA32-26ED67F89C2C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Apoyo!$E$19:$E$21</c:f>
              <c:numCache>
                <c:formatCode>0.00</c:formatCode>
                <c:ptCount val="3"/>
                <c:pt idx="0">
                  <c:v>2.6683117197915402</c:v>
                </c:pt>
                <c:pt idx="1">
                  <c:v>2.6683117197915402</c:v>
                </c:pt>
                <c:pt idx="2">
                  <c:v>0</c:v>
                </c:pt>
              </c:numCache>
            </c:numRef>
          </c:xVal>
          <c:yVal>
            <c:numRef>
              <c:f>Apoyo!$E$22:$E$24</c:f>
              <c:numCache>
                <c:formatCode>0.00</c:formatCode>
                <c:ptCount val="3"/>
                <c:pt idx="0">
                  <c:v>0</c:v>
                </c:pt>
                <c:pt idx="1">
                  <c:v>74</c:v>
                </c:pt>
                <c:pt idx="2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F9-4E1C-AA32-26ED67F89C2C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F9-4E1C-AA32-26ED67F89C2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F9-4E1C-AA32-26ED67F89C2C}"/>
                </c:ext>
              </c:extLst>
            </c:dLbl>
            <c:dLbl>
              <c:idx val="2"/>
              <c:layout>
                <c:manualLayout>
                  <c:x val="-0.8688455169544944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F9-4E1C-AA32-26ED67F89C2C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Apoyo!$E$25:$E$27</c:f>
              <c:numCache>
                <c:formatCode>0.00</c:formatCode>
                <c:ptCount val="3"/>
              </c:numCache>
            </c:numRef>
          </c:xVal>
          <c:yVal>
            <c:numRef>
              <c:f>Apoyo!$E$28:$E$30</c:f>
              <c:numCache>
                <c:formatCode>0.00</c:formatCode>
                <c:ptCount val="3"/>
                <c:pt idx="1">
                  <c:v>129.47534153204381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2F9-4E1C-AA32-26ED67F89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89631"/>
        <c:axId val="1"/>
      </c:scatterChart>
      <c:valAx>
        <c:axId val="1891989631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7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3021289005541"/>
              <c:y val="0.919047976145838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3.5330735173254857E-2"/>
              <c:y val="0.384638705876051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1989631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INDICE C.B.R.</a:t>
            </a:r>
          </a:p>
        </c:rich>
      </c:tx>
      <c:layout>
        <c:manualLayout>
          <c:xMode val="edge"/>
          <c:yMode val="edge"/>
          <c:x val="0.40548844504193071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7562609509887"/>
          <c:y val="0.11552366934311073"/>
          <c:w val="0.84146466729091329"/>
          <c:h val="0.7148027040604976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Apoyo!$B$35:$B$37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71.428571428571431</c:v>
                </c:pt>
                <c:pt idx="2">
                  <c:v>48.571428571428577</c:v>
                </c:pt>
              </c:numCache>
            </c:numRef>
          </c:xVal>
          <c:yVal>
            <c:numRef>
              <c:f>Apoyo!$A$35:$A$37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9-43C4-9702-1B621E4B83A6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Apoyo!$D$35:$D$37</c:f>
              <c:numCache>
                <c:formatCode>0.0</c:formatCode>
                <c:ptCount val="3"/>
                <c:pt idx="0">
                  <c:v>105.71428571428572</c:v>
                </c:pt>
                <c:pt idx="1">
                  <c:v>105.71428571428572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Apoyo!$E$35:$E$37</c:f>
              <c:numCache>
                <c:formatCode>0.000</c:formatCode>
                <c:ptCount val="3"/>
                <c:pt idx="0" formatCode="0.0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9-43C4-9702-1B621E4B83A6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Apoyo!$G$35:$G$37</c:f>
              <c:numCache>
                <c:formatCode>0.00</c:formatCode>
                <c:ptCount val="3"/>
                <c:pt idx="0">
                  <c:v>63.58</c:v>
                </c:pt>
                <c:pt idx="1">
                  <c:v>63.58</c:v>
                </c:pt>
                <c:pt idx="2">
                  <c:v>0</c:v>
                </c:pt>
              </c:numCache>
            </c:numRef>
          </c:xVal>
          <c:yVal>
            <c:numRef>
              <c:f>Apoyo!$H$35:$H$37</c:f>
              <c:numCache>
                <c:formatCode>0.000</c:formatCode>
                <c:ptCount val="3"/>
                <c:pt idx="0" formatCode="General">
                  <c:v>0</c:v>
                </c:pt>
                <c:pt idx="1">
                  <c:v>2.1669499999999999</c:v>
                </c:pt>
                <c:pt idx="2">
                  <c:v>2.1669499999999999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89-43C4-9702-1B621E4B83A6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80"/>
                </a:solidFill>
                <a:prstDash val="solid"/>
              </a:ln>
            </c:spPr>
            <c:trendlineType val="poly"/>
            <c:order val="2"/>
            <c:dispRSqr val="0"/>
            <c:dispEq val="0"/>
          </c:trendline>
          <c:xVal>
            <c:numRef>
              <c:f>Apoyo!$B$40:$B$42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83.594549296220933</c:v>
                </c:pt>
                <c:pt idx="2">
                  <c:v>58.568997826409166</c:v>
                </c:pt>
              </c:numCache>
            </c:numRef>
          </c:xVal>
          <c:yVal>
            <c:numRef>
              <c:f>Apoyo!$A$40:$A$42</c:f>
              <c:numCache>
                <c:formatCode>0.000</c:formatCode>
                <c:ptCount val="3"/>
                <c:pt idx="0">
                  <c:v>2.2810000000000001</c:v>
                </c:pt>
                <c:pt idx="1">
                  <c:v>2.2020003637318029</c:v>
                </c:pt>
                <c:pt idx="2">
                  <c:v>2.0998871279061229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89-43C4-9702-1B621E4B83A6}"/>
            </c:ext>
          </c:extLst>
        </c:ser>
        <c:ser>
          <c:idx val="4"/>
          <c:order val="4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Apoyo!$D$40:$D$42</c:f>
              <c:numCache>
                <c:formatCode>0.0</c:formatCode>
                <c:ptCount val="3"/>
                <c:pt idx="0">
                  <c:v>124.49552070388827</c:v>
                </c:pt>
                <c:pt idx="1">
                  <c:v>124.49552070388827</c:v>
                </c:pt>
                <c:pt idx="2" formatCode="General">
                  <c:v>0</c:v>
                </c:pt>
              </c:numCache>
            </c:numRef>
          </c:xVal>
          <c:yVal>
            <c:numRef>
              <c:f>Apoyo!$E$40:$E$42</c:f>
              <c:numCache>
                <c:formatCode>0.00</c:formatCode>
                <c:ptCount val="3"/>
                <c:pt idx="0">
                  <c:v>0</c:v>
                </c:pt>
                <c:pt idx="1">
                  <c:v>2.2810000000000001</c:v>
                </c:pt>
                <c:pt idx="2">
                  <c:v>2.2810000000000001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89-43C4-9702-1B621E4B8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992031"/>
        <c:axId val="1"/>
      </c:scatterChart>
      <c:valAx>
        <c:axId val="1891992031"/>
        <c:scaling>
          <c:orientation val="minMax"/>
          <c:max val="140"/>
          <c:min val="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C.B.R. (%)</a:t>
                </a:r>
              </a:p>
            </c:rich>
          </c:tx>
          <c:layout>
            <c:manualLayout>
              <c:xMode val="edge"/>
              <c:yMode val="edge"/>
              <c:x val="0.43902503040778434"/>
              <c:y val="0.9133589167780019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  <c:max val="2.3199999999999998"/>
          <c:min val="2.0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Maxima Densidad Seca (gr/cm3)</a:t>
                </a:r>
              </a:p>
            </c:rich>
          </c:tx>
          <c:layout>
            <c:manualLayout>
              <c:xMode val="edge"/>
              <c:yMode val="edge"/>
              <c:x val="1.524390243902439E-2"/>
              <c:y val="0.1696754692667026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1992031"/>
        <c:crosses val="autoZero"/>
        <c:crossBetween val="midCat"/>
        <c:majorUnit val="0.02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(10 golpes)</a:t>
            </a:r>
          </a:p>
        </c:rich>
      </c:tx>
      <c:layout>
        <c:manualLayout>
          <c:xMode val="edge"/>
          <c:yMode val="edge"/>
          <c:x val="0.31020209973753282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1272741782665"/>
          <c:y val="9.5308666461495675E-2"/>
          <c:w val="0.7404829891893191"/>
          <c:h val="0.779488736417232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Apoyo!$D$4:$D$12</c:f>
              <c:numCache>
                <c:formatCode>0.00</c:formatCode>
                <c:ptCount val="9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06-45F6-9FBC-C50B042CB369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06-45F6-9FBC-C50B042CB369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06-45F6-9FBC-C50B042C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06-45F6-9FBC-C50B042CB369}"/>
                </c:ext>
              </c:extLst>
            </c:dLbl>
            <c:dLbl>
              <c:idx val="2"/>
              <c:layout>
                <c:manualLayout>
                  <c:x val="-2.4388267427279398E-3"/>
                  <c:y val="-3.7798776986910587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06-45F6-9FBC-C50B042CB369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Apoyo!$G$19:$G$21</c:f>
              <c:numCache>
                <c:formatCode>0.00</c:formatCode>
                <c:ptCount val="3"/>
                <c:pt idx="0">
                  <c:v>2.6559046199701939</c:v>
                </c:pt>
                <c:pt idx="1">
                  <c:v>2.6559046199701939</c:v>
                </c:pt>
                <c:pt idx="2">
                  <c:v>0</c:v>
                </c:pt>
              </c:numCache>
            </c:numRef>
          </c:xVal>
          <c:yVal>
            <c:numRef>
              <c:f>Apoyo!$G$22:$G$24</c:f>
              <c:numCache>
                <c:formatCode>0.00</c:formatCode>
                <c:ptCount val="3"/>
                <c:pt idx="0">
                  <c:v>0</c:v>
                </c:pt>
                <c:pt idx="1">
                  <c:v>34</c:v>
                </c:pt>
                <c:pt idx="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06-45F6-9FBC-C50B042CB369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06-45F6-9FBC-C50B042CB3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06-45F6-9FBC-C50B042CB369}"/>
                </c:ext>
              </c:extLst>
            </c:dLbl>
            <c:dLbl>
              <c:idx val="2"/>
              <c:layout>
                <c:manualLayout>
                  <c:x val="-0.84502198923434868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06-45F6-9FBC-C50B042CB369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Apoyo!$G$25:$G$27</c:f>
              <c:numCache>
                <c:formatCode>0.00</c:formatCode>
                <c:ptCount val="3"/>
              </c:numCache>
            </c:numRef>
          </c:xVal>
          <c:yVal>
            <c:numRef>
              <c:f>Apoyo!$G$28:$G$30</c:f>
              <c:numCache>
                <c:formatCode>0.00</c:formatCode>
                <c:ptCount val="3"/>
                <c:pt idx="1">
                  <c:v>60.911757739465536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906-45F6-9FBC-C50B042C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89087"/>
        <c:axId val="1"/>
      </c:scatterChart>
      <c:valAx>
        <c:axId val="1892289087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2521207349081366"/>
              <c:y val="0.932663417072865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14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5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55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5016272965879265E-2"/>
              <c:y val="0.4186773081936186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2289087"/>
        <c:crossesAt val="0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C.B.R. (25 golpes)</a:t>
            </a:r>
          </a:p>
        </c:rich>
      </c:tx>
      <c:layout>
        <c:manualLayout>
          <c:xMode val="edge"/>
          <c:yMode val="edge"/>
          <c:x val="0.31114472077128974"/>
          <c:y val="2.04231613905404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79692707387146"/>
          <c:y val="9.5308666461495675E-2"/>
          <c:w val="0.72600411888497507"/>
          <c:h val="0.765873212637018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FF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Apoyo!$C$4:$C$12</c:f>
              <c:numCache>
                <c:formatCode>0.00</c:formatCode>
                <c:ptCount val="9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F-4E1D-B9D6-1D506F4697C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Apoyo!$F$4:$F$15</c:f>
              <c:numCache>
                <c:formatCode>0.00</c:formatCode>
                <c:ptCount val="12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F-4E1D-B9D6-1D506F4697CF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2F-4E1D-B9D6-1D506F4697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2F-4E1D-B9D6-1D506F4697CF}"/>
                </c:ext>
              </c:extLst>
            </c:dLbl>
            <c:dLbl>
              <c:idx val="2"/>
              <c:layout>
                <c:manualLayout>
                  <c:x val="1.3192577111415598E-2"/>
                  <c:y val="-4.4596788686421279E-2"/>
                </c:manualLayout>
              </c:layout>
              <c:numFmt formatCode="0.0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2F-4E1D-B9D6-1D506F4697CF}"/>
                </c:ext>
              </c:extLst>
            </c:dLbl>
            <c:numFmt formatCode="0.0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Apoyo!$F$19:$F$21</c:f>
              <c:numCache>
                <c:formatCode>0.00</c:formatCode>
                <c:ptCount val="3"/>
                <c:pt idx="0">
                  <c:v>2.659831445878325</c:v>
                </c:pt>
                <c:pt idx="1">
                  <c:v>2.659831445878325</c:v>
                </c:pt>
                <c:pt idx="2">
                  <c:v>0</c:v>
                </c:pt>
              </c:numCache>
            </c:numRef>
          </c:xVal>
          <c:yVal>
            <c:numRef>
              <c:f>Apoyo!$F$22:$F$24</c:f>
              <c:numCache>
                <c:formatCode>0.00</c:formatCode>
                <c:ptCount val="3"/>
                <c:pt idx="0">
                  <c:v>0</c:v>
                </c:pt>
                <c:pt idx="1">
                  <c:v>50</c:v>
                </c:pt>
                <c:pt idx="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2F-4E1D-B9D6-1D506F4697CF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F2F-4E1D-B9D6-1D506F4697C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2F-4E1D-B9D6-1D506F4697CF}"/>
                </c:ext>
              </c:extLst>
            </c:dLbl>
            <c:dLbl>
              <c:idx val="2"/>
              <c:layout>
                <c:manualLayout>
                  <c:x val="-0.84689837445941851"/>
                  <c:y val="1.7019404725267084E-2"/>
                </c:manualLayout>
              </c:layout>
              <c:numFmt formatCode="0.0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5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2F-4E1D-B9D6-1D506F4697CF}"/>
                </c:ext>
              </c:extLst>
            </c:dLbl>
            <c:numFmt formatCode="0.0" sourceLinked="0"/>
            <c:spPr>
              <a:solidFill>
                <a:srgbClr val="FFFFFF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Apoyo!$F$25:$F$27</c:f>
              <c:numCache>
                <c:formatCode>0.00</c:formatCode>
                <c:ptCount val="3"/>
              </c:numCache>
            </c:numRef>
          </c:xVal>
          <c:yVal>
            <c:numRef>
              <c:f>Apoyo!$F$28:$F$30</c:f>
              <c:numCache>
                <c:formatCode>0.00</c:formatCode>
                <c:ptCount val="3"/>
                <c:pt idx="1">
                  <c:v>86.938331268069774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F2F-4E1D-B9D6-1D506F46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3887"/>
        <c:axId val="1"/>
      </c:scatterChart>
      <c:valAx>
        <c:axId val="1892293887"/>
        <c:scaling>
          <c:orientation val="minMax"/>
          <c:max val="12.7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31114472077128974"/>
              <c:y val="0.9224518363775956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Kg/cm</a:t>
                </a:r>
                <a:r>
                  <a:rPr lang="en-US" sz="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2.4694264702060757E-2"/>
              <c:y val="0.411869587730105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2293887"/>
        <c:crosses val="autoZero"/>
        <c:crossBetween val="midCat"/>
        <c:majorUnit val="2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PRUEBA DE PENETRACION</a:t>
            </a:r>
          </a:p>
        </c:rich>
      </c:tx>
      <c:layout>
        <c:manualLayout>
          <c:xMode val="edge"/>
          <c:yMode val="edge"/>
          <c:x val="0.31956009631027527"/>
          <c:y val="1.53061224489795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3669544350315"/>
          <c:y val="8.9285714285714288E-2"/>
          <c:w val="0.75757779565307459"/>
          <c:h val="0.83163265306122447"/>
        </c:manualLayout>
      </c:layout>
      <c:scatterChart>
        <c:scatterStyle val="lineMarker"/>
        <c:varyColors val="0"/>
        <c:ser>
          <c:idx val="0"/>
          <c:order val="0"/>
          <c:tx>
            <c:v>Molde I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Apoyo!$A$4:$A$12</c:f>
              <c:numCache>
                <c:formatCode>0.00</c:formatCode>
                <c:ptCount val="9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Apoyo!$B$4:$B$12</c:f>
              <c:numCache>
                <c:formatCode>0.00</c:formatCode>
                <c:ptCount val="9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6-41D9-AAD0-48CFD6DAB4C2}"/>
            </c:ext>
          </c:extLst>
        </c:ser>
        <c:ser>
          <c:idx val="1"/>
          <c:order val="1"/>
          <c:tx>
            <c:v>Molde II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Apoyo!$C$4:$C$16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36-41D9-AAD0-48CFD6DAB4C2}"/>
            </c:ext>
          </c:extLst>
        </c:ser>
        <c:ser>
          <c:idx val="2"/>
          <c:order val="2"/>
          <c:tx>
            <c:v>Molde III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Apoyo!$D$4:$D$16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36-41D9-AAD0-48CFD6DAB4C2}"/>
            </c:ext>
          </c:extLst>
        </c:ser>
        <c:ser>
          <c:idx val="3"/>
          <c:order val="3"/>
          <c:tx>
            <c:v>L-I</c:v>
          </c:tx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FF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245345952335"/>
                  <c:y val="-7.653061224489794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Apoyo!$E$4:$E$16</c:f>
              <c:numCache>
                <c:formatCode>0.00</c:formatCode>
                <c:ptCount val="13"/>
                <c:pt idx="0">
                  <c:v>0</c:v>
                </c:pt>
                <c:pt idx="1">
                  <c:v>12.066463870495873</c:v>
                </c:pt>
                <c:pt idx="2">
                  <c:v>34.059183879364682</c:v>
                </c:pt>
                <c:pt idx="3">
                  <c:v>55.253163921130756</c:v>
                </c:pt>
                <c:pt idx="4">
                  <c:v>72.462420592748401</c:v>
                </c:pt>
                <c:pt idx="5">
                  <c:v>100.89830983106884</c:v>
                </c:pt>
                <c:pt idx="6">
                  <c:v>129.47534153204381</c:v>
                </c:pt>
                <c:pt idx="7">
                  <c:v>161.83350219402899</c:v>
                </c:pt>
                <c:pt idx="8">
                  <c:v>185.83203416458724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36-41D9-AAD0-48CFD6DAB4C2}"/>
            </c:ext>
          </c:extLst>
        </c:ser>
        <c:ser>
          <c:idx val="4"/>
          <c:order val="4"/>
          <c:tx>
            <c:v>L-II</c:v>
          </c:tx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8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6.219133322620387E-2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8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Apoyo!$F$4:$F$16</c:f>
              <c:numCache>
                <c:formatCode>0.00</c:formatCode>
                <c:ptCount val="13"/>
                <c:pt idx="0">
                  <c:v>0</c:v>
                </c:pt>
                <c:pt idx="1">
                  <c:v>8.3538746216301689</c:v>
                </c:pt>
                <c:pt idx="2">
                  <c:v>23.193931731301845</c:v>
                </c:pt>
                <c:pt idx="3">
                  <c:v>37.019870938069758</c:v>
                </c:pt>
                <c:pt idx="4">
                  <c:v>48.605316887146564</c:v>
                </c:pt>
                <c:pt idx="5">
                  <c:v>67.549304887658593</c:v>
                </c:pt>
                <c:pt idx="6">
                  <c:v>86.938331268069774</c:v>
                </c:pt>
                <c:pt idx="7">
                  <c:v>109.70236653879252</c:v>
                </c:pt>
                <c:pt idx="8">
                  <c:v>126.30527335993165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36-41D9-AAD0-48CFD6DAB4C2}"/>
            </c:ext>
          </c:extLst>
        </c:ser>
        <c:ser>
          <c:idx val="5"/>
          <c:order val="5"/>
          <c:tx>
            <c:v>L-III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1"/>
            <c:trendlineLbl>
              <c:layout>
                <c:manualLayout>
                  <c:x val="-0.34356304635474283"/>
                  <c:y val="-0.32473967539771814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s-PE"/>
                </a:p>
              </c:txPr>
            </c:trendlineLbl>
          </c:trendline>
          <c:xVal>
            <c:numRef>
              <c:f>Apoyo!$A$4:$A$16</c:f>
              <c:numCache>
                <c:formatCode>0.00</c:formatCode>
                <c:ptCount val="13"/>
                <c:pt idx="0">
                  <c:v>0</c:v>
                </c:pt>
                <c:pt idx="1">
                  <c:v>0.64</c:v>
                </c:pt>
                <c:pt idx="2">
                  <c:v>1.27</c:v>
                </c:pt>
                <c:pt idx="3">
                  <c:v>1.91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  <c:pt idx="9">
                  <c:v>8.89</c:v>
                </c:pt>
                <c:pt idx="10">
                  <c:v>10.16</c:v>
                </c:pt>
                <c:pt idx="11">
                  <c:v>11.43</c:v>
                </c:pt>
                <c:pt idx="12">
                  <c:v>12.7</c:v>
                </c:pt>
              </c:numCache>
            </c:numRef>
          </c:xVal>
          <c:yVal>
            <c:numRef>
              <c:f>Apoyo!$G$4:$G$16</c:f>
              <c:numCache>
                <c:formatCode>0.00</c:formatCode>
                <c:ptCount val="13"/>
                <c:pt idx="0">
                  <c:v>0</c:v>
                </c:pt>
                <c:pt idx="1">
                  <c:v>4.3918872956725279</c:v>
                </c:pt>
                <c:pt idx="2">
                  <c:v>15.777336471729724</c:v>
                </c:pt>
                <c:pt idx="3">
                  <c:v>26.405657219280414</c:v>
                </c:pt>
                <c:pt idx="4">
                  <c:v>33.565629222616735</c:v>
                </c:pt>
                <c:pt idx="5">
                  <c:v>45.402517966853651</c:v>
                </c:pt>
                <c:pt idx="6">
                  <c:v>60.911757739465536</c:v>
                </c:pt>
                <c:pt idx="7">
                  <c:v>72.462420592748401</c:v>
                </c:pt>
                <c:pt idx="8">
                  <c:v>86.202908895174986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136-41D9-AAD0-48CFD6DAB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93071"/>
        <c:axId val="1"/>
      </c:scatterChart>
      <c:valAx>
        <c:axId val="1890493071"/>
        <c:scaling>
          <c:orientation val="minMax"/>
          <c:max val="12.7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Penetración (mm.)</a:t>
                </a:r>
              </a:p>
            </c:rich>
          </c:tx>
          <c:layout>
            <c:manualLayout>
              <c:xMode val="edge"/>
              <c:yMode val="edge"/>
              <c:x val="0.46832071610883352"/>
              <c:y val="0.951530344421232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  <c:majorUnit val="2.54"/>
        <c:minorUnit val="0.63"/>
      </c:val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ngsanaUPC"/>
                    <a:ea typeface="AngsanaUPC"/>
                    <a:cs typeface="AngsanaUPC"/>
                  </a:defRPr>
                </a:pPr>
                <a:r>
                  <a:rPr lang="en-US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Presión (Kg/cm</a:t>
                </a:r>
                <a:r>
                  <a:rPr lang="en-US" sz="5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3774104683195593E-2"/>
              <c:y val="0.400510204081632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493071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78740157480314965" l="0.78740157480314965" r="0.78740157480314965" t="0.78740157480314965" header="0" footer="0"/>
    <c:pageSetup paperSize="9" orientation="portrait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ANALISIS GRANULOMETRICO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C7E-49F6-9B38-A5409E1E17D0}"/>
            </c:ext>
          </c:extLst>
        </c:ser>
        <c:ser>
          <c:idx val="1"/>
          <c:order val="1"/>
          <c:tx>
            <c:v/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C7E-49F6-9B38-A5409E1E17D0}"/>
            </c:ext>
          </c:extLst>
        </c:ser>
        <c:ser>
          <c:idx val="2"/>
          <c:order val="2"/>
          <c:tx>
            <c:v/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C7E-49F6-9B38-A5409E1E1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287855"/>
        <c:axId val="1"/>
      </c:scatterChart>
      <c:valAx>
        <c:axId val="18902878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28785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w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wmf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5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wmf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76200</xdr:rowOff>
    </xdr:from>
    <xdr:to>
      <xdr:col>15</xdr:col>
      <xdr:colOff>0</xdr:colOff>
      <xdr:row>68</xdr:row>
      <xdr:rowOff>0</xdr:rowOff>
    </xdr:to>
    <xdr:graphicFrame macro="">
      <xdr:nvGraphicFramePr>
        <xdr:cNvPr id="1491" name="Gráfico 4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28</xdr:row>
      <xdr:rowOff>19050</xdr:rowOff>
    </xdr:from>
    <xdr:to>
      <xdr:col>15</xdr:col>
      <xdr:colOff>0</xdr:colOff>
      <xdr:row>41</xdr:row>
      <xdr:rowOff>0</xdr:rowOff>
    </xdr:to>
    <xdr:graphicFrame macro="">
      <xdr:nvGraphicFramePr>
        <xdr:cNvPr id="1492" name="Gráfico 16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219075</xdr:colOff>
      <xdr:row>0</xdr:row>
      <xdr:rowOff>0</xdr:rowOff>
    </xdr:from>
    <xdr:to>
      <xdr:col>15</xdr:col>
      <xdr:colOff>47625</xdr:colOff>
      <xdr:row>4</xdr:row>
      <xdr:rowOff>28575</xdr:rowOff>
    </xdr:to>
    <xdr:pic>
      <xdr:nvPicPr>
        <xdr:cNvPr id="1493" name="Picture 24" descr="mtc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0"/>
          <a:ext cx="15716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371475</xdr:colOff>
      <xdr:row>4</xdr:row>
      <xdr:rowOff>0</xdr:rowOff>
    </xdr:to>
    <xdr:pic>
      <xdr:nvPicPr>
        <xdr:cNvPr id="1494" name="Picture 26" descr="logo conirsa t2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28575</xdr:rowOff>
    </xdr:from>
    <xdr:to>
      <xdr:col>6</xdr:col>
      <xdr:colOff>657225</xdr:colOff>
      <xdr:row>59</xdr:row>
      <xdr:rowOff>38100</xdr:rowOff>
    </xdr:to>
    <xdr:graphicFrame macro="">
      <xdr:nvGraphicFramePr>
        <xdr:cNvPr id="7629" name="Gráfico 3">
          <a:extLst>
            <a:ext uri="{FF2B5EF4-FFF2-40B4-BE49-F238E27FC236}">
              <a16:creationId xmlns:a16="http://schemas.microsoft.com/office/drawing/2014/main" id="{00000000-0008-0000-0200-0000CD1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702945</xdr:colOff>
      <xdr:row>12</xdr:row>
      <xdr:rowOff>133350</xdr:rowOff>
    </xdr:from>
    <xdr:to>
      <xdr:col>1</xdr:col>
      <xdr:colOff>4158</xdr:colOff>
      <xdr:row>17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00000000-0008-0000-0200-0000041C0000}"/>
            </a:ext>
          </a:extLst>
        </xdr:cNvPr>
        <xdr:cNvSpPr txBox="1">
          <a:spLocks noChangeArrowheads="1"/>
        </xdr:cNvSpPr>
      </xdr:nvSpPr>
      <xdr:spPr bwMode="auto">
        <a:xfrm>
          <a:off x="695325" y="1590675"/>
          <a:ext cx="66675" cy="6286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endParaRPr lang="es-P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</xdr:col>
      <xdr:colOff>695325</xdr:colOff>
      <xdr:row>0</xdr:row>
      <xdr:rowOff>0</xdr:rowOff>
    </xdr:from>
    <xdr:to>
      <xdr:col>7</xdr:col>
      <xdr:colOff>123825</xdr:colOff>
      <xdr:row>4</xdr:row>
      <xdr:rowOff>57150</xdr:rowOff>
    </xdr:to>
    <xdr:pic>
      <xdr:nvPicPr>
        <xdr:cNvPr id="7631" name="Picture 19" descr="mtc">
          <a:extLst>
            <a:ext uri="{FF2B5EF4-FFF2-40B4-BE49-F238E27FC236}">
              <a16:creationId xmlns:a16="http://schemas.microsoft.com/office/drawing/2014/main" id="{00000000-0008-0000-02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0"/>
          <a:ext cx="1571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314325</xdr:colOff>
      <xdr:row>4</xdr:row>
      <xdr:rowOff>0</xdr:rowOff>
    </xdr:to>
    <xdr:pic>
      <xdr:nvPicPr>
        <xdr:cNvPr id="7632" name="Picture 20" descr="logo conirsa t2">
          <a:extLst>
            <a:ext uri="{FF2B5EF4-FFF2-40B4-BE49-F238E27FC236}">
              <a16:creationId xmlns:a16="http://schemas.microsoft.com/office/drawing/2014/main" id="{00000000-0008-0000-02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146685</xdr:colOff>
      <xdr:row>12</xdr:row>
      <xdr:rowOff>66675</xdr:rowOff>
    </xdr:from>
    <xdr:ext cx="54117" cy="346948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 txBox="1">
          <a:spLocks noChangeArrowheads="1"/>
        </xdr:cNvSpPr>
      </xdr:nvSpPr>
      <xdr:spPr bwMode="auto">
        <a:xfrm>
          <a:off x="1956435" y="2752725"/>
          <a:ext cx="54117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>
    <xdr:from>
      <xdr:col>26</xdr:col>
      <xdr:colOff>95250</xdr:colOff>
      <xdr:row>26</xdr:row>
      <xdr:rowOff>38100</xdr:rowOff>
    </xdr:from>
    <xdr:to>
      <xdr:col>26</xdr:col>
      <xdr:colOff>95250</xdr:colOff>
      <xdr:row>28</xdr:row>
      <xdr:rowOff>171450</xdr:rowOff>
    </xdr:to>
    <xdr:sp macro="" textlink="">
      <xdr:nvSpPr>
        <xdr:cNvPr id="4615" name="Line 16">
          <a:extLst>
            <a:ext uri="{FF2B5EF4-FFF2-40B4-BE49-F238E27FC236}">
              <a16:creationId xmlns:a16="http://schemas.microsoft.com/office/drawing/2014/main" id="{00000000-0008-0000-0300-000007120000}"/>
            </a:ext>
          </a:extLst>
        </xdr:cNvPr>
        <xdr:cNvSpPr>
          <a:spLocks noChangeShapeType="1"/>
        </xdr:cNvSpPr>
      </xdr:nvSpPr>
      <xdr:spPr bwMode="auto">
        <a:xfrm>
          <a:off x="10534650" y="5391150"/>
          <a:ext cx="0" cy="5143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228600</xdr:colOff>
      <xdr:row>0</xdr:row>
      <xdr:rowOff>123825</xdr:rowOff>
    </xdr:from>
    <xdr:to>
      <xdr:col>12</xdr:col>
      <xdr:colOff>57150</xdr:colOff>
      <xdr:row>5</xdr:row>
      <xdr:rowOff>95250</xdr:rowOff>
    </xdr:to>
    <xdr:pic>
      <xdr:nvPicPr>
        <xdr:cNvPr id="4616" name="2 Imagen">
          <a:extLst>
            <a:ext uri="{FF2B5EF4-FFF2-40B4-BE49-F238E27FC236}">
              <a16:creationId xmlns:a16="http://schemas.microsoft.com/office/drawing/2014/main" id="{00000000-0008-0000-0300-000008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23825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50</xdr:row>
      <xdr:rowOff>57150</xdr:rowOff>
    </xdr:from>
    <xdr:to>
      <xdr:col>14</xdr:col>
      <xdr:colOff>438150</xdr:colOff>
      <xdr:row>50</xdr:row>
      <xdr:rowOff>114300</xdr:rowOff>
    </xdr:to>
    <xdr:pic>
      <xdr:nvPicPr>
        <xdr:cNvPr id="4617" name="3 Imagen">
          <a:extLst>
            <a:ext uri="{FF2B5EF4-FFF2-40B4-BE49-F238E27FC236}">
              <a16:creationId xmlns:a16="http://schemas.microsoft.com/office/drawing/2014/main" id="{00000000-0008-0000-03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944100"/>
          <a:ext cx="6105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400050</xdr:colOff>
      <xdr:row>43</xdr:row>
      <xdr:rowOff>0</xdr:rowOff>
    </xdr:from>
    <xdr:to>
      <xdr:col>14</xdr:col>
      <xdr:colOff>171450</xdr:colOff>
      <xdr:row>48</xdr:row>
      <xdr:rowOff>161925</xdr:rowOff>
    </xdr:to>
    <xdr:pic>
      <xdr:nvPicPr>
        <xdr:cNvPr id="4618" name="5 Imagen">
          <a:extLst>
            <a:ext uri="{FF2B5EF4-FFF2-40B4-BE49-F238E27FC236}">
              <a16:creationId xmlns:a16="http://schemas.microsoft.com/office/drawing/2014/main" id="{00000000-0008-0000-03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8591550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57150</xdr:rowOff>
    </xdr:from>
    <xdr:to>
      <xdr:col>5</xdr:col>
      <xdr:colOff>85725</xdr:colOff>
      <xdr:row>29</xdr:row>
      <xdr:rowOff>0</xdr:rowOff>
    </xdr:to>
    <xdr:graphicFrame macro="">
      <xdr:nvGraphicFramePr>
        <xdr:cNvPr id="906396" name="Gráfico 2">
          <a:extLst>
            <a:ext uri="{FF2B5EF4-FFF2-40B4-BE49-F238E27FC236}">
              <a16:creationId xmlns:a16="http://schemas.microsoft.com/office/drawing/2014/main" id="{00000000-0008-0000-0400-00009C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47625</xdr:rowOff>
    </xdr:from>
    <xdr:to>
      <xdr:col>8</xdr:col>
      <xdr:colOff>161925</xdr:colOff>
      <xdr:row>47</xdr:row>
      <xdr:rowOff>19050</xdr:rowOff>
    </xdr:to>
    <xdr:graphicFrame macro="">
      <xdr:nvGraphicFramePr>
        <xdr:cNvPr id="906397" name="Gráfico 3">
          <a:extLst>
            <a:ext uri="{FF2B5EF4-FFF2-40B4-BE49-F238E27FC236}">
              <a16:creationId xmlns:a16="http://schemas.microsoft.com/office/drawing/2014/main" id="{00000000-0008-0000-0400-00009D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295275</xdr:colOff>
      <xdr:row>14</xdr:row>
      <xdr:rowOff>57150</xdr:rowOff>
    </xdr:from>
    <xdr:to>
      <xdr:col>15</xdr:col>
      <xdr:colOff>342900</xdr:colOff>
      <xdr:row>29</xdr:row>
      <xdr:rowOff>0</xdr:rowOff>
    </xdr:to>
    <xdr:graphicFrame macro="">
      <xdr:nvGraphicFramePr>
        <xdr:cNvPr id="906398" name="Gráfico 4">
          <a:extLst>
            <a:ext uri="{FF2B5EF4-FFF2-40B4-BE49-F238E27FC236}">
              <a16:creationId xmlns:a16="http://schemas.microsoft.com/office/drawing/2014/main" id="{00000000-0008-0000-0400-00009E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161925</xdr:colOff>
      <xdr:row>14</xdr:row>
      <xdr:rowOff>66675</xdr:rowOff>
    </xdr:from>
    <xdr:to>
      <xdr:col>10</xdr:col>
      <xdr:colOff>228600</xdr:colOff>
      <xdr:row>29</xdr:row>
      <xdr:rowOff>9525</xdr:rowOff>
    </xdr:to>
    <xdr:graphicFrame macro="">
      <xdr:nvGraphicFramePr>
        <xdr:cNvPr id="906399" name="Gráfico 5">
          <a:extLst>
            <a:ext uri="{FF2B5EF4-FFF2-40B4-BE49-F238E27FC236}">
              <a16:creationId xmlns:a16="http://schemas.microsoft.com/office/drawing/2014/main" id="{00000000-0008-0000-0400-00009FD4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66675</xdr:colOff>
      <xdr:row>57</xdr:row>
      <xdr:rowOff>0</xdr:rowOff>
    </xdr:to>
    <xdr:sp macro="" textlink="">
      <xdr:nvSpPr>
        <xdr:cNvPr id="906400" name="Text Box 6">
          <a:extLst>
            <a:ext uri="{FF2B5EF4-FFF2-40B4-BE49-F238E27FC236}">
              <a16:creationId xmlns:a16="http://schemas.microsoft.com/office/drawing/2014/main" id="{00000000-0008-0000-0400-0000A0D40D00}"/>
            </a:ext>
          </a:extLst>
        </xdr:cNvPr>
        <xdr:cNvSpPr txBox="1">
          <a:spLocks noChangeArrowheads="1"/>
        </xdr:cNvSpPr>
      </xdr:nvSpPr>
      <xdr:spPr bwMode="auto">
        <a:xfrm>
          <a:off x="2971800" y="1069657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228600</xdr:colOff>
      <xdr:row>42</xdr:row>
      <xdr:rowOff>38100</xdr:rowOff>
    </xdr:from>
    <xdr:to>
      <xdr:col>14</xdr:col>
      <xdr:colOff>295275</xdr:colOff>
      <xdr:row>43</xdr:row>
      <xdr:rowOff>38100</xdr:rowOff>
    </xdr:to>
    <xdr:sp macro="" textlink="">
      <xdr:nvSpPr>
        <xdr:cNvPr id="906401" name="Text Box 7">
          <a:extLst>
            <a:ext uri="{FF2B5EF4-FFF2-40B4-BE49-F238E27FC236}">
              <a16:creationId xmlns:a16="http://schemas.microsoft.com/office/drawing/2014/main" id="{00000000-0008-0000-0400-0000A1D40D00}"/>
            </a:ext>
          </a:extLst>
        </xdr:cNvPr>
        <xdr:cNvSpPr txBox="1">
          <a:spLocks noChangeArrowheads="1"/>
        </xdr:cNvSpPr>
      </xdr:nvSpPr>
      <xdr:spPr bwMode="auto">
        <a:xfrm>
          <a:off x="5429250" y="8039100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325755</xdr:colOff>
      <xdr:row>35</xdr:row>
      <xdr:rowOff>185737</xdr:rowOff>
    </xdr:from>
    <xdr:to>
      <xdr:col>5</xdr:col>
      <xdr:colOff>76101</xdr:colOff>
      <xdr:row>36</xdr:row>
      <xdr:rowOff>128587</xdr:rowOff>
    </xdr:to>
    <xdr:sp macro="" textlink="">
      <xdr:nvSpPr>
        <xdr:cNvPr id="6153" name="Rectangle 9">
          <a:extLst>
            <a:ext uri="{FF2B5EF4-FFF2-40B4-BE49-F238E27FC236}">
              <a16:creationId xmlns:a16="http://schemas.microsoft.com/office/drawing/2014/main" id="{00000000-0008-0000-0400-000009180000}"/>
            </a:ext>
          </a:extLst>
        </xdr:cNvPr>
        <xdr:cNvSpPr>
          <a:spLocks noChangeArrowheads="1"/>
        </xdr:cNvSpPr>
      </xdr:nvSpPr>
      <xdr:spPr bwMode="auto">
        <a:xfrm>
          <a:off x="1076325" y="6853237"/>
          <a:ext cx="8572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100%  M.D.S.</a:t>
          </a:r>
        </a:p>
      </xdr:txBody>
    </xdr:sp>
    <xdr:clientData/>
  </xdr:twoCellAnchor>
  <xdr:twoCellAnchor>
    <xdr:from>
      <xdr:col>1</xdr:col>
      <xdr:colOff>104775</xdr:colOff>
      <xdr:row>41</xdr:row>
      <xdr:rowOff>85725</xdr:rowOff>
    </xdr:from>
    <xdr:to>
      <xdr:col>2</xdr:col>
      <xdr:colOff>231024</xdr:colOff>
      <xdr:row>42</xdr:row>
      <xdr:rowOff>19050</xdr:rowOff>
    </xdr:to>
    <xdr:sp macro="" textlink="">
      <xdr:nvSpPr>
        <xdr:cNvPr id="6154" name="Rectangle 10">
          <a:extLst>
            <a:ext uri="{FF2B5EF4-FFF2-40B4-BE49-F238E27FC236}">
              <a16:creationId xmlns:a16="http://schemas.microsoft.com/office/drawing/2014/main" id="{00000000-0008-0000-0400-00000A180000}"/>
            </a:ext>
          </a:extLst>
        </xdr:cNvPr>
        <xdr:cNvSpPr>
          <a:spLocks noChangeArrowheads="1"/>
        </xdr:cNvSpPr>
      </xdr:nvSpPr>
      <xdr:spPr bwMode="auto">
        <a:xfrm>
          <a:off x="476250" y="7553325"/>
          <a:ext cx="50482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CBR al 95%  M.D.S.</a:t>
          </a:r>
        </a:p>
      </xdr:txBody>
    </xdr:sp>
    <xdr:clientData/>
  </xdr:twoCellAnchor>
  <xdr:twoCellAnchor editAs="oneCell">
    <xdr:from>
      <xdr:col>2</xdr:col>
      <xdr:colOff>133350</xdr:colOff>
      <xdr:row>0</xdr:row>
      <xdr:rowOff>114300</xdr:rowOff>
    </xdr:from>
    <xdr:to>
      <xdr:col>12</xdr:col>
      <xdr:colOff>238125</xdr:colOff>
      <xdr:row>5</xdr:row>
      <xdr:rowOff>85725</xdr:rowOff>
    </xdr:to>
    <xdr:pic>
      <xdr:nvPicPr>
        <xdr:cNvPr id="906404" name="2 Imagen">
          <a:extLst>
            <a:ext uri="{FF2B5EF4-FFF2-40B4-BE49-F238E27FC236}">
              <a16:creationId xmlns:a16="http://schemas.microsoft.com/office/drawing/2014/main" id="{00000000-0008-0000-0400-0000A4D4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4300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54</xdr:row>
      <xdr:rowOff>57150</xdr:rowOff>
    </xdr:from>
    <xdr:to>
      <xdr:col>17</xdr:col>
      <xdr:colOff>38100</xdr:colOff>
      <xdr:row>54</xdr:row>
      <xdr:rowOff>114300</xdr:rowOff>
    </xdr:to>
    <xdr:pic>
      <xdr:nvPicPr>
        <xdr:cNvPr id="906405" name="3 Imagen">
          <a:extLst>
            <a:ext uri="{FF2B5EF4-FFF2-40B4-BE49-F238E27FC236}">
              <a16:creationId xmlns:a16="http://schemas.microsoft.com/office/drawing/2014/main" id="{00000000-0008-0000-0400-0000A5D4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372725"/>
          <a:ext cx="63150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171450</xdr:colOff>
      <xdr:row>48</xdr:row>
      <xdr:rowOff>76200</xdr:rowOff>
    </xdr:from>
    <xdr:to>
      <xdr:col>15</xdr:col>
      <xdr:colOff>323850</xdr:colOff>
      <xdr:row>53</xdr:row>
      <xdr:rowOff>161925</xdr:rowOff>
    </xdr:to>
    <xdr:pic>
      <xdr:nvPicPr>
        <xdr:cNvPr id="906406" name="11 Imagen">
          <a:extLst>
            <a:ext uri="{FF2B5EF4-FFF2-40B4-BE49-F238E27FC236}">
              <a16:creationId xmlns:a16="http://schemas.microsoft.com/office/drawing/2014/main" id="{00000000-0008-0000-0400-0000A6D4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9220200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13</xdr:col>
      <xdr:colOff>180975</xdr:colOff>
      <xdr:row>26</xdr:row>
      <xdr:rowOff>19050</xdr:rowOff>
    </xdr:to>
    <xdr:graphicFrame macro="">
      <xdr:nvGraphicFramePr>
        <xdr:cNvPr id="5232" name="Gráfico 1">
          <a:extLst>
            <a:ext uri="{FF2B5EF4-FFF2-40B4-BE49-F238E27FC236}">
              <a16:creationId xmlns:a16="http://schemas.microsoft.com/office/drawing/2014/main" id="{00000000-0008-0000-0500-000070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15</xdr:col>
      <xdr:colOff>9525</xdr:colOff>
      <xdr:row>12</xdr:row>
      <xdr:rowOff>0</xdr:rowOff>
    </xdr:to>
    <xdr:sp macro="" textlink="">
      <xdr:nvSpPr>
        <xdr:cNvPr id="21882" name="Rectangle 1">
          <a:extLst>
            <a:ext uri="{FF2B5EF4-FFF2-40B4-BE49-F238E27FC236}">
              <a16:creationId xmlns:a16="http://schemas.microsoft.com/office/drawing/2014/main" id="{00000000-0008-0000-0600-00007A550000}"/>
            </a:ext>
          </a:extLst>
        </xdr:cNvPr>
        <xdr:cNvSpPr>
          <a:spLocks noChangeArrowheads="1"/>
        </xdr:cNvSpPr>
      </xdr:nvSpPr>
      <xdr:spPr bwMode="auto">
        <a:xfrm>
          <a:off x="8620125" y="2686050"/>
          <a:ext cx="9525" cy="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828675</xdr:colOff>
      <xdr:row>0</xdr:row>
      <xdr:rowOff>133350</xdr:rowOff>
    </xdr:from>
    <xdr:to>
      <xdr:col>9</xdr:col>
      <xdr:colOff>238125</xdr:colOff>
      <xdr:row>5</xdr:row>
      <xdr:rowOff>114300</xdr:rowOff>
    </xdr:to>
    <xdr:pic>
      <xdr:nvPicPr>
        <xdr:cNvPr id="21883" name="2 Imagen">
          <a:extLst>
            <a:ext uri="{FF2B5EF4-FFF2-40B4-BE49-F238E27FC236}">
              <a16:creationId xmlns:a16="http://schemas.microsoft.com/office/drawing/2014/main" id="{00000000-0008-0000-0600-00007B5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133350"/>
          <a:ext cx="40862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45</xdr:row>
      <xdr:rowOff>47625</xdr:rowOff>
    </xdr:from>
    <xdr:to>
      <xdr:col>11</xdr:col>
      <xdr:colOff>114300</xdr:colOff>
      <xdr:row>45</xdr:row>
      <xdr:rowOff>104775</xdr:rowOff>
    </xdr:to>
    <xdr:pic>
      <xdr:nvPicPr>
        <xdr:cNvPr id="21884" name="3 Imagen">
          <a:extLst>
            <a:ext uri="{FF2B5EF4-FFF2-40B4-BE49-F238E27FC236}">
              <a16:creationId xmlns:a16="http://schemas.microsoft.com/office/drawing/2014/main" id="{00000000-0008-0000-0600-00007C5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0487025"/>
          <a:ext cx="62198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0</xdr:rowOff>
    </xdr:to>
    <xdr:graphicFrame macro="">
      <xdr:nvGraphicFramePr>
        <xdr:cNvPr id="898415" name="Gráfico 1">
          <a:extLst>
            <a:ext uri="{FF2B5EF4-FFF2-40B4-BE49-F238E27FC236}">
              <a16:creationId xmlns:a16="http://schemas.microsoft.com/office/drawing/2014/main" id="{00000000-0008-0000-0700-00006FB50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0</xdr:row>
      <xdr:rowOff>0</xdr:rowOff>
    </xdr:from>
    <xdr:to>
      <xdr:col>8</xdr:col>
      <xdr:colOff>1864</xdr:colOff>
      <xdr:row>0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6772275" y="0"/>
          <a:ext cx="7620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Nº200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80</a:t>
          </a:r>
        </a:p>
      </xdr:txBody>
    </xdr:sp>
    <xdr:clientData/>
  </xdr:twoCellAnchor>
  <xdr:twoCellAnchor>
    <xdr:from>
      <xdr:col>5</xdr:col>
      <xdr:colOff>480060</xdr:colOff>
      <xdr:row>0</xdr:row>
      <xdr:rowOff>0</xdr:rowOff>
    </xdr:from>
    <xdr:to>
      <xdr:col>5</xdr:col>
      <xdr:colOff>739571</xdr:colOff>
      <xdr:row>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5524500" y="0"/>
          <a:ext cx="26670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Nº50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20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16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10</a:t>
          </a:r>
        </a:p>
      </xdr:txBody>
    </xdr:sp>
    <xdr:clientData/>
  </xdr:twoCellAnchor>
  <xdr:twoCellAnchor>
    <xdr:from>
      <xdr:col>4</xdr:col>
      <xdr:colOff>85725</xdr:colOff>
      <xdr:row>0</xdr:row>
      <xdr:rowOff>0</xdr:rowOff>
    </xdr:from>
    <xdr:to>
      <xdr:col>4</xdr:col>
      <xdr:colOff>266700</xdr:colOff>
      <xdr:row>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3933825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Nº8</a:t>
          </a:r>
        </a:p>
      </xdr:txBody>
    </xdr:sp>
    <xdr:clientData/>
  </xdr:twoCellAnchor>
  <xdr:twoCellAnchor>
    <xdr:from>
      <xdr:col>3</xdr:col>
      <xdr:colOff>398145</xdr:colOff>
      <xdr:row>0</xdr:row>
      <xdr:rowOff>0</xdr:rowOff>
    </xdr:from>
    <xdr:to>
      <xdr:col>3</xdr:col>
      <xdr:colOff>557706</xdr:colOff>
      <xdr:row>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Arrowheads="1"/>
        </xdr:cNvSpPr>
      </xdr:nvSpPr>
      <xdr:spPr bwMode="auto">
        <a:xfrm>
          <a:off x="3048000" y="0"/>
          <a:ext cx="1809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Nº4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Arrowheads="1"/>
        </xdr:cNvSpPr>
      </xdr:nvSpPr>
      <xdr:spPr bwMode="auto">
        <a:xfrm>
          <a:off x="7696200" y="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3/8"</a:t>
          </a:r>
        </a:p>
      </xdr:txBody>
    </xdr:sp>
    <xdr:clientData/>
  </xdr:twoCellAnchor>
  <xdr:twoCellAnchor>
    <xdr:from>
      <xdr:col>2</xdr:col>
      <xdr:colOff>632460</xdr:colOff>
      <xdr:row>0</xdr:row>
      <xdr:rowOff>0</xdr:rowOff>
    </xdr:from>
    <xdr:to>
      <xdr:col>3</xdr:col>
      <xdr:colOff>97037</xdr:colOff>
      <xdr:row>0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2114550" y="0"/>
          <a:ext cx="638175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1/2"</a:t>
          </a:r>
        </a:p>
      </xdr:txBody>
    </xdr:sp>
    <xdr:clientData/>
  </xdr:twoCellAnchor>
  <xdr:twoCellAnchor>
    <xdr:from>
      <xdr:col>2</xdr:col>
      <xdr:colOff>325755</xdr:colOff>
      <xdr:row>0</xdr:row>
      <xdr:rowOff>0</xdr:rowOff>
    </xdr:from>
    <xdr:to>
      <xdr:col>2</xdr:col>
      <xdr:colOff>529301</xdr:colOff>
      <xdr:row>0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1790700" y="0"/>
          <a:ext cx="209550" cy="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PE" sz="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3/4"</a:t>
          </a:r>
        </a:p>
      </xdr:txBody>
    </xdr:sp>
    <xdr:clientData/>
  </xdr:twoCellAnchor>
  <xdr:twoCellAnchor>
    <xdr:from>
      <xdr:col>2</xdr:col>
      <xdr:colOff>447675</xdr:colOff>
      <xdr:row>0</xdr:row>
      <xdr:rowOff>0</xdr:rowOff>
    </xdr:from>
    <xdr:to>
      <xdr:col>2</xdr:col>
      <xdr:colOff>447675</xdr:colOff>
      <xdr:row>0</xdr:row>
      <xdr:rowOff>0</xdr:rowOff>
    </xdr:to>
    <xdr:sp macro="" textlink="">
      <xdr:nvSpPr>
        <xdr:cNvPr id="898431" name="Line 17">
          <a:extLst>
            <a:ext uri="{FF2B5EF4-FFF2-40B4-BE49-F238E27FC236}">
              <a16:creationId xmlns:a16="http://schemas.microsoft.com/office/drawing/2014/main" id="{00000000-0008-0000-0700-00007FB50D00}"/>
            </a:ext>
          </a:extLst>
        </xdr:cNvPr>
        <xdr:cNvSpPr>
          <a:spLocks noChangeShapeType="1"/>
        </xdr:cNvSpPr>
      </xdr:nvSpPr>
      <xdr:spPr bwMode="auto">
        <a:xfrm flipV="1">
          <a:off x="13049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0</xdr:row>
      <xdr:rowOff>0</xdr:rowOff>
    </xdr:from>
    <xdr:to>
      <xdr:col>2</xdr:col>
      <xdr:colOff>742950</xdr:colOff>
      <xdr:row>0</xdr:row>
      <xdr:rowOff>0</xdr:rowOff>
    </xdr:to>
    <xdr:sp macro="" textlink="">
      <xdr:nvSpPr>
        <xdr:cNvPr id="898432" name="Line 18">
          <a:extLst>
            <a:ext uri="{FF2B5EF4-FFF2-40B4-BE49-F238E27FC236}">
              <a16:creationId xmlns:a16="http://schemas.microsoft.com/office/drawing/2014/main" id="{00000000-0008-0000-0700-000080B50D00}"/>
            </a:ext>
          </a:extLst>
        </xdr:cNvPr>
        <xdr:cNvSpPr>
          <a:spLocks noChangeShapeType="1"/>
        </xdr:cNvSpPr>
      </xdr:nvSpPr>
      <xdr:spPr bwMode="auto">
        <a:xfrm flipV="1">
          <a:off x="16002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0</xdr:row>
      <xdr:rowOff>0</xdr:rowOff>
    </xdr:from>
    <xdr:to>
      <xdr:col>3</xdr:col>
      <xdr:colOff>476250</xdr:colOff>
      <xdr:row>0</xdr:row>
      <xdr:rowOff>0</xdr:rowOff>
    </xdr:to>
    <xdr:sp macro="" textlink="">
      <xdr:nvSpPr>
        <xdr:cNvPr id="898433" name="Line 19">
          <a:extLst>
            <a:ext uri="{FF2B5EF4-FFF2-40B4-BE49-F238E27FC236}">
              <a16:creationId xmlns:a16="http://schemas.microsoft.com/office/drawing/2014/main" id="{00000000-0008-0000-0700-000081B50D00}"/>
            </a:ext>
          </a:extLst>
        </xdr:cNvPr>
        <xdr:cNvSpPr>
          <a:spLocks noChangeShapeType="1"/>
        </xdr:cNvSpPr>
      </xdr:nvSpPr>
      <xdr:spPr bwMode="auto">
        <a:xfrm flipV="1">
          <a:off x="21717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142875</xdr:colOff>
      <xdr:row>0</xdr:row>
      <xdr:rowOff>0</xdr:rowOff>
    </xdr:to>
    <xdr:sp macro="" textlink="">
      <xdr:nvSpPr>
        <xdr:cNvPr id="898434" name="Line 20">
          <a:extLst>
            <a:ext uri="{FF2B5EF4-FFF2-40B4-BE49-F238E27FC236}">
              <a16:creationId xmlns:a16="http://schemas.microsoft.com/office/drawing/2014/main" id="{00000000-0008-0000-0700-000082B50D00}"/>
            </a:ext>
          </a:extLst>
        </xdr:cNvPr>
        <xdr:cNvSpPr>
          <a:spLocks noChangeShapeType="1"/>
        </xdr:cNvSpPr>
      </xdr:nvSpPr>
      <xdr:spPr bwMode="auto">
        <a:xfrm flipV="1">
          <a:off x="29432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0</xdr:row>
      <xdr:rowOff>0</xdr:rowOff>
    </xdr:from>
    <xdr:to>
      <xdr:col>5</xdr:col>
      <xdr:colOff>571500</xdr:colOff>
      <xdr:row>0</xdr:row>
      <xdr:rowOff>0</xdr:rowOff>
    </xdr:to>
    <xdr:sp macro="" textlink="">
      <xdr:nvSpPr>
        <xdr:cNvPr id="898435" name="Line 21">
          <a:extLst>
            <a:ext uri="{FF2B5EF4-FFF2-40B4-BE49-F238E27FC236}">
              <a16:creationId xmlns:a16="http://schemas.microsoft.com/office/drawing/2014/main" id="{00000000-0008-0000-0700-000083B50D00}"/>
            </a:ext>
          </a:extLst>
        </xdr:cNvPr>
        <xdr:cNvSpPr>
          <a:spLocks noChangeShapeType="1"/>
        </xdr:cNvSpPr>
      </xdr:nvSpPr>
      <xdr:spPr bwMode="auto">
        <a:xfrm flipV="1">
          <a:off x="44767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628650</xdr:colOff>
      <xdr:row>0</xdr:row>
      <xdr:rowOff>0</xdr:rowOff>
    </xdr:from>
    <xdr:to>
      <xdr:col>7</xdr:col>
      <xdr:colOff>628650</xdr:colOff>
      <xdr:row>0</xdr:row>
      <xdr:rowOff>0</xdr:rowOff>
    </xdr:to>
    <xdr:sp macro="" textlink="">
      <xdr:nvSpPr>
        <xdr:cNvPr id="898436" name="Line 22">
          <a:extLst>
            <a:ext uri="{FF2B5EF4-FFF2-40B4-BE49-F238E27FC236}">
              <a16:creationId xmlns:a16="http://schemas.microsoft.com/office/drawing/2014/main" id="{00000000-0008-0000-0700-000084B50D00}"/>
            </a:ext>
          </a:extLst>
        </xdr:cNvPr>
        <xdr:cNvSpPr>
          <a:spLocks noChangeShapeType="1"/>
        </xdr:cNvSpPr>
      </xdr:nvSpPr>
      <xdr:spPr bwMode="auto">
        <a:xfrm flipV="1">
          <a:off x="56483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28575</xdr:colOff>
      <xdr:row>0</xdr:row>
      <xdr:rowOff>85725</xdr:rowOff>
    </xdr:from>
    <xdr:to>
      <xdr:col>5</xdr:col>
      <xdr:colOff>704850</xdr:colOff>
      <xdr:row>5</xdr:row>
      <xdr:rowOff>57150</xdr:rowOff>
    </xdr:to>
    <xdr:pic>
      <xdr:nvPicPr>
        <xdr:cNvPr id="898437" name="2 Imagen">
          <a:extLst>
            <a:ext uri="{FF2B5EF4-FFF2-40B4-BE49-F238E27FC236}">
              <a16:creationId xmlns:a16="http://schemas.microsoft.com/office/drawing/2014/main" id="{00000000-0008-0000-0700-000085B5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85725"/>
          <a:ext cx="38195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43</xdr:row>
      <xdr:rowOff>66675</xdr:rowOff>
    </xdr:from>
    <xdr:to>
      <xdr:col>8</xdr:col>
      <xdr:colOff>0</xdr:colOff>
      <xdr:row>43</xdr:row>
      <xdr:rowOff>123825</xdr:rowOff>
    </xdr:to>
    <xdr:pic>
      <xdr:nvPicPr>
        <xdr:cNvPr id="898438" name="3 Imagen">
          <a:extLst>
            <a:ext uri="{FF2B5EF4-FFF2-40B4-BE49-F238E27FC236}">
              <a16:creationId xmlns:a16="http://schemas.microsoft.com/office/drawing/2014/main" id="{00000000-0008-0000-0700-000086B5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0315575"/>
          <a:ext cx="60674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323850</xdr:colOff>
      <xdr:row>0</xdr:row>
      <xdr:rowOff>0</xdr:rowOff>
    </xdr:to>
    <xdr:grpSp>
      <xdr:nvGrpSpPr>
        <xdr:cNvPr id="18989" name="Group 1">
          <a:extLst>
            <a:ext uri="{FF2B5EF4-FFF2-40B4-BE49-F238E27FC236}">
              <a16:creationId xmlns:a16="http://schemas.microsoft.com/office/drawing/2014/main" id="{00000000-0008-0000-0800-00002D4A0000}"/>
            </a:ext>
          </a:extLst>
        </xdr:cNvPr>
        <xdr:cNvGrpSpPr>
          <a:grpSpLocks/>
        </xdr:cNvGrpSpPr>
      </xdr:nvGrpSpPr>
      <xdr:grpSpPr bwMode="auto">
        <a:xfrm>
          <a:off x="76200" y="0"/>
          <a:ext cx="2708910" cy="0"/>
          <a:chOff x="3" y="19"/>
          <a:chExt cx="324" cy="32"/>
        </a:xfrm>
      </xdr:grpSpPr>
      <xdr:pic>
        <xdr:nvPicPr>
          <xdr:cNvPr id="18992" name="Picture 2">
            <a:extLst>
              <a:ext uri="{FF2B5EF4-FFF2-40B4-BE49-F238E27FC236}">
                <a16:creationId xmlns:a16="http://schemas.microsoft.com/office/drawing/2014/main" id="{00000000-0008-0000-0800-0000304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8435" name="Text Box 3">
            <a:extLst>
              <a:ext uri="{FF2B5EF4-FFF2-40B4-BE49-F238E27FC236}">
                <a16:creationId xmlns:a16="http://schemas.microsoft.com/office/drawing/2014/main" id="{00000000-0008-0000-0800-000003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968693492177" y="0"/>
            <a:ext cx="172" cy="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u="none" strike="noStrike" baseline="0">
                <a:solidFill>
                  <a:srgbClr val="000000"/>
                </a:solidFill>
                <a:latin typeface="Arial Black"/>
                <a:cs typeface="Arial"/>
              </a:rPr>
              <a:t> -</a:t>
            </a:r>
            <a:endParaRPr lang="es-PE" sz="1200" b="1" i="0" u="none" strike="noStrike" baseline="0">
              <a:solidFill>
                <a:srgbClr val="000000"/>
              </a:solidFill>
              <a:latin typeface="Arial Black"/>
            </a:endParaRPr>
          </a:p>
        </xdr:txBody>
      </xdr:sp>
    </xdr:grpSp>
    <xdr:clientData/>
  </xdr:twoCellAnchor>
  <xdr:twoCellAnchor editAs="oneCell">
    <xdr:from>
      <xdr:col>7</xdr:col>
      <xdr:colOff>85725</xdr:colOff>
      <xdr:row>0</xdr:row>
      <xdr:rowOff>0</xdr:rowOff>
    </xdr:from>
    <xdr:to>
      <xdr:col>8</xdr:col>
      <xdr:colOff>771525</xdr:colOff>
      <xdr:row>3</xdr:row>
      <xdr:rowOff>95250</xdr:rowOff>
    </xdr:to>
    <xdr:pic>
      <xdr:nvPicPr>
        <xdr:cNvPr id="18990" name="Picture 5" descr="mtc">
          <a:extLst>
            <a:ext uri="{FF2B5EF4-FFF2-40B4-BE49-F238E27FC236}">
              <a16:creationId xmlns:a16="http://schemas.microsoft.com/office/drawing/2014/main" id="{00000000-0008-0000-0800-00002E4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0"/>
          <a:ext cx="1466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1076325</xdr:colOff>
      <xdr:row>3</xdr:row>
      <xdr:rowOff>104775</xdr:rowOff>
    </xdr:to>
    <xdr:pic>
      <xdr:nvPicPr>
        <xdr:cNvPr id="18991" name="Picture 6" descr="logo conirsa t2">
          <a:extLst>
            <a:ext uri="{FF2B5EF4-FFF2-40B4-BE49-F238E27FC236}">
              <a16:creationId xmlns:a16="http://schemas.microsoft.com/office/drawing/2014/main" id="{00000000-0008-0000-0800-00002F4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240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363855</xdr:colOff>
      <xdr:row>0</xdr:row>
      <xdr:rowOff>104775</xdr:rowOff>
    </xdr:from>
    <xdr:to>
      <xdr:col>14</xdr:col>
      <xdr:colOff>220980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00000000-0008-0000-0A00-0000010C0000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 baseline="0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0</xdr:row>
          <xdr:rowOff>60960</xdr:rowOff>
        </xdr:from>
        <xdr:to>
          <xdr:col>14</xdr:col>
          <xdr:colOff>502920</xdr:colOff>
          <xdr:row>4</xdr:row>
          <xdr:rowOff>7620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C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1026795</xdr:colOff>
      <xdr:row>16</xdr:row>
      <xdr:rowOff>0</xdr:rowOff>
    </xdr:from>
    <xdr:to>
      <xdr:col>0</xdr:col>
      <xdr:colOff>1141775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00000000-0008-0000-0D00-000001380000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1097280</xdr:colOff>
          <xdr:row>0</xdr:row>
          <xdr:rowOff>45720</xdr:rowOff>
        </xdr:from>
        <xdr:to>
          <xdr:col>3</xdr:col>
          <xdr:colOff>1143000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D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104775</xdr:rowOff>
    </xdr:from>
    <xdr:to>
      <xdr:col>9</xdr:col>
      <xdr:colOff>95250</xdr:colOff>
      <xdr:row>4</xdr:row>
      <xdr:rowOff>104775</xdr:rowOff>
    </xdr:to>
    <xdr:pic>
      <xdr:nvPicPr>
        <xdr:cNvPr id="13793" name="2 Imagen">
          <a:extLst>
            <a:ext uri="{FF2B5EF4-FFF2-40B4-BE49-F238E27FC236}">
              <a16:creationId xmlns:a16="http://schemas.microsoft.com/office/drawing/2014/main" id="{00000000-0008-0000-0E00-0000E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04775"/>
          <a:ext cx="31051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123825</xdr:rowOff>
    </xdr:from>
    <xdr:to>
      <xdr:col>11</xdr:col>
      <xdr:colOff>742950</xdr:colOff>
      <xdr:row>57</xdr:row>
      <xdr:rowOff>19050</xdr:rowOff>
    </xdr:to>
    <xdr:pic>
      <xdr:nvPicPr>
        <xdr:cNvPr id="13794" name="3 Imagen">
          <a:extLst>
            <a:ext uri="{FF2B5EF4-FFF2-40B4-BE49-F238E27FC236}">
              <a16:creationId xmlns:a16="http://schemas.microsoft.com/office/drawing/2014/main" id="{00000000-0008-0000-0E00-0000E2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"/>
          <a:ext cx="62960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228600</xdr:colOff>
      <xdr:row>50</xdr:row>
      <xdr:rowOff>0</xdr:rowOff>
    </xdr:from>
    <xdr:to>
      <xdr:col>9</xdr:col>
      <xdr:colOff>552450</xdr:colOff>
      <xdr:row>56</xdr:row>
      <xdr:rowOff>95250</xdr:rowOff>
    </xdr:to>
    <xdr:pic>
      <xdr:nvPicPr>
        <xdr:cNvPr id="13795" name="9 Imagen">
          <a:extLst>
            <a:ext uri="{FF2B5EF4-FFF2-40B4-BE49-F238E27FC236}">
              <a16:creationId xmlns:a16="http://schemas.microsoft.com/office/drawing/2014/main" id="{00000000-0008-0000-0E00-0000E33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9210675"/>
          <a:ext cx="12668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152400</xdr:rowOff>
    </xdr:from>
    <xdr:to>
      <xdr:col>7</xdr:col>
      <xdr:colOff>358425</xdr:colOff>
      <xdr:row>67</xdr:row>
      <xdr:rowOff>15806</xdr:rowOff>
    </xdr:to>
    <xdr:pic>
      <xdr:nvPicPr>
        <xdr:cNvPr id="8904" name="3 Imagen">
          <a:extLst>
            <a:ext uri="{FF2B5EF4-FFF2-40B4-BE49-F238E27FC236}">
              <a16:creationId xmlns:a16="http://schemas.microsoft.com/office/drawing/2014/main" id="{00000000-0008-0000-0F00-0000C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0425"/>
          <a:ext cx="8388000" cy="63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542925</xdr:colOff>
      <xdr:row>62</xdr:row>
      <xdr:rowOff>47625</xdr:rowOff>
    </xdr:from>
    <xdr:to>
      <xdr:col>4</xdr:col>
      <xdr:colOff>465352</xdr:colOff>
      <xdr:row>65</xdr:row>
      <xdr:rowOff>173265</xdr:rowOff>
    </xdr:to>
    <xdr:sp macro="" textlink="">
      <xdr:nvSpPr>
        <xdr:cNvPr id="20" name="15 CuadroTexto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257300" y="13925550"/>
          <a:ext cx="3580027" cy="725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4</xdr:col>
      <xdr:colOff>569080</xdr:colOff>
      <xdr:row>62</xdr:row>
      <xdr:rowOff>48664</xdr:rowOff>
    </xdr:from>
    <xdr:to>
      <xdr:col>7</xdr:col>
      <xdr:colOff>385510</xdr:colOff>
      <xdr:row>65</xdr:row>
      <xdr:rowOff>174304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/>
      </xdr:nvSpPr>
      <xdr:spPr>
        <a:xfrm>
          <a:off x="4941055" y="13926589"/>
          <a:ext cx="3474030" cy="725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552450</xdr:colOff>
      <xdr:row>0</xdr:row>
      <xdr:rowOff>66675</xdr:rowOff>
    </xdr:from>
    <xdr:to>
      <xdr:col>4</xdr:col>
      <xdr:colOff>839066</xdr:colOff>
      <xdr:row>4</xdr:row>
      <xdr:rowOff>148936</xdr:rowOff>
    </xdr:to>
    <xdr:pic>
      <xdr:nvPicPr>
        <xdr:cNvPr id="15" name="Imagen 27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66675"/>
          <a:ext cx="1505816" cy="882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584835</xdr:colOff>
      <xdr:row>17</xdr:row>
      <xdr:rowOff>0</xdr:rowOff>
    </xdr:from>
    <xdr:ext cx="61171" cy="170560"/>
    <xdr:sp macro="" textlink="">
      <xdr:nvSpPr>
        <xdr:cNvPr id="11269" name="Text Box 5">
          <a:extLst>
            <a:ext uri="{FF2B5EF4-FFF2-40B4-BE49-F238E27FC236}">
              <a16:creationId xmlns:a16="http://schemas.microsoft.com/office/drawing/2014/main" id="{00000000-0008-0000-1000-0000052C0000}"/>
            </a:ext>
          </a:extLst>
        </xdr:cNvPr>
        <xdr:cNvSpPr txBox="1">
          <a:spLocks noChangeArrowheads="1"/>
        </xdr:cNvSpPr>
      </xdr:nvSpPr>
      <xdr:spPr bwMode="auto">
        <a:xfrm>
          <a:off x="3832860" y="2466975"/>
          <a:ext cx="6117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Documents\INTER\INFORMES%20MENSUALES-CONIRSA\8.%20OCTUBRE-2006\3.%20BASE%20GRANULAR\PISTA\BG-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a574896acb00bfa/01%20-%20GEOFAL/5.%20CARAS%20FRACTURADAS/03%20-%20FORMATOS/PRO-71-13%20SU%201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a-pc\geofal\GEOFAL\2013\09-SETIEMBRE\Maquinarias%20e%20Ingenieros%20S.A.C\2-Afirmado\DEN-001-SF-SPE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icos\D\Ocongate\Control%20de%20Produccion\Chancadora\Mezcla%20Base%20Granular\M_BG_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G_E"/>
      <sheetName val="E_A"/>
      <sheetName val="FRACT"/>
      <sheetName val="CHATAS"/>
      <sheetName val="ABRASION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>
            <v>5</v>
          </cell>
          <cell r="L3">
            <v>0</v>
          </cell>
        </row>
        <row r="4">
          <cell r="C4">
            <v>35.200000000000003</v>
          </cell>
          <cell r="L4">
            <v>0</v>
          </cell>
        </row>
        <row r="5">
          <cell r="C5" t="str">
            <v>NP</v>
          </cell>
          <cell r="L5">
            <v>51.931034482758626</v>
          </cell>
        </row>
        <row r="6">
          <cell r="L6">
            <v>2.0470073728076201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 1"/>
      <sheetName val="G_E (2)"/>
      <sheetName val="Proctor 2"/>
      <sheetName val="Datos"/>
      <sheetName val="Grafico CBR"/>
      <sheetName val="Apoyo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 refreshError="1"/>
      <sheetData sheetId="1" refreshError="1"/>
      <sheetData sheetId="2">
        <row r="35">
          <cell r="E35">
            <v>2.2810000000000001</v>
          </cell>
        </row>
        <row r="36">
          <cell r="E36">
            <v>6.2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 1"/>
      <sheetName val="CONO 2"/>
      <sheetName val="CONO 3"/>
    </sheetNames>
    <sheetDataSet>
      <sheetData sheetId="0" refreshError="1">
        <row r="15">
          <cell r="J15" t="str">
            <v>R. Portillo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E_A"/>
      <sheetName val="G_E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 refreshError="1"/>
      <sheetData sheetId="1">
        <row r="32">
          <cell r="B32">
            <v>4.76</v>
          </cell>
        </row>
      </sheetData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22E0-35AF-4274-BBD1-A470AE524B63}">
  <sheetPr codeName="Hoja1"/>
  <dimension ref="A1"/>
  <sheetViews>
    <sheetView zoomScaleNormal="109" zoomScaleSheetLayoutView="70" workbookViewId="0"/>
  </sheetViews>
  <sheetFormatPr baseColWidth="10" defaultColWidth="8.88671875" defaultRowHeight="13.2" x14ac:dyDescent="0.25"/>
  <cols>
    <col min="1" max="256" width="11.44140625" customWidth="1"/>
  </cols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C1CE-2036-4A37-AF23-8B206A0EAF2B}">
  <sheetPr codeName="Hoja8"/>
  <dimension ref="A1:X79"/>
  <sheetViews>
    <sheetView topLeftCell="A7" zoomScaleNormal="100" zoomScaleSheetLayoutView="100" workbookViewId="0">
      <selection activeCell="Y24" sqref="Y24:Y25"/>
    </sheetView>
  </sheetViews>
  <sheetFormatPr baseColWidth="10" defaultColWidth="11.44140625" defaultRowHeight="13.2" x14ac:dyDescent="0.25"/>
  <cols>
    <col min="1" max="2" width="5.6640625" style="167" customWidth="1"/>
    <col min="3" max="3" width="6.109375" style="167" customWidth="1"/>
    <col min="4" max="6" width="5.6640625" style="167" customWidth="1"/>
    <col min="7" max="9" width="3.33203125" style="167" customWidth="1"/>
    <col min="10" max="10" width="0.88671875" style="167" customWidth="1"/>
    <col min="11" max="12" width="7.6640625" style="167" customWidth="1"/>
    <col min="13" max="15" width="8.6640625" style="167" customWidth="1"/>
    <col min="16" max="16" width="2.88671875" style="167" customWidth="1"/>
    <col min="17" max="17" width="1.44140625" style="167" customWidth="1"/>
    <col min="18" max="21" width="8.6640625" style="167" customWidth="1"/>
    <col min="22" max="16384" width="11.44140625" style="167"/>
  </cols>
  <sheetData>
    <row r="1" spans="1:24" ht="11.85" customHeight="1" x14ac:dyDescent="0.25">
      <c r="A1" s="1004"/>
      <c r="B1" s="1004"/>
      <c r="C1" s="1004"/>
      <c r="D1" s="1004"/>
      <c r="E1" s="1004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24" ht="11.85" customHeight="1" x14ac:dyDescent="0.25">
      <c r="A2" s="1004"/>
      <c r="B2" s="1004"/>
      <c r="C2" s="1004"/>
      <c r="D2" s="1004"/>
      <c r="E2" s="1004"/>
      <c r="F2" s="160"/>
      <c r="G2" s="160"/>
      <c r="H2" s="160"/>
      <c r="I2" s="160"/>
      <c r="J2" s="160"/>
      <c r="K2" s="160"/>
      <c r="L2" s="160"/>
      <c r="M2" s="160"/>
      <c r="N2" s="160"/>
      <c r="O2" s="160"/>
    </row>
    <row r="3" spans="1:24" ht="11.85" customHeight="1" x14ac:dyDescent="0.25">
      <c r="A3" s="1004"/>
      <c r="B3" s="1004"/>
      <c r="C3" s="1004"/>
      <c r="D3" s="1004"/>
      <c r="E3" s="1004"/>
      <c r="F3" s="169"/>
      <c r="G3" s="169"/>
      <c r="H3" s="169"/>
      <c r="I3" s="169"/>
      <c r="J3" s="169"/>
      <c r="K3" s="169"/>
      <c r="L3" s="169"/>
      <c r="M3" s="169"/>
      <c r="N3" s="169"/>
      <c r="O3" s="169"/>
    </row>
    <row r="4" spans="1:24" ht="11.85" customHeight="1" x14ac:dyDescent="0.25">
      <c r="A4" s="1004"/>
      <c r="B4" s="1004"/>
      <c r="C4" s="1004"/>
      <c r="D4" s="1004"/>
      <c r="E4" s="1004"/>
      <c r="F4" s="169"/>
      <c r="G4" s="169"/>
      <c r="H4" s="169"/>
      <c r="I4" s="169"/>
      <c r="J4" s="169"/>
      <c r="K4" s="169"/>
      <c r="L4" s="169"/>
      <c r="M4" s="168" t="s">
        <v>0</v>
      </c>
      <c r="N4" s="168"/>
      <c r="O4" s="169"/>
    </row>
    <row r="5" spans="1:24" ht="15.9" customHeight="1" x14ac:dyDescent="0.25">
      <c r="A5" s="1003" t="s">
        <v>1</v>
      </c>
      <c r="B5" s="1003"/>
      <c r="C5" s="1003"/>
      <c r="D5" s="1003"/>
      <c r="E5" s="1003"/>
      <c r="F5" s="1003"/>
      <c r="G5" s="1003"/>
      <c r="H5" s="1003"/>
      <c r="I5" s="1003"/>
      <c r="J5" s="1003"/>
      <c r="K5" s="1003"/>
      <c r="L5" s="1003"/>
      <c r="M5" s="1003"/>
      <c r="N5" s="1003"/>
      <c r="O5" s="1003"/>
    </row>
    <row r="6" spans="1:24" ht="3.75" customHeight="1" thickBot="1" x14ac:dyDescent="0.3">
      <c r="A6" s="211"/>
      <c r="B6" s="211"/>
      <c r="C6" s="211"/>
      <c r="D6" s="212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</row>
    <row r="7" spans="1:24" ht="11.25" customHeight="1" thickTop="1" x14ac:dyDescent="0.25">
      <c r="A7" s="267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24" ht="12.75" customHeight="1" x14ac:dyDescent="0.25">
      <c r="A8" s="168" t="s">
        <v>2</v>
      </c>
      <c r="B8" s="168"/>
      <c r="C8" s="170" t="s">
        <v>3</v>
      </c>
      <c r="D8" s="171"/>
      <c r="E8" s="169"/>
      <c r="F8" s="168" t="s">
        <v>4</v>
      </c>
      <c r="G8" s="169"/>
      <c r="H8" s="178" t="s">
        <v>5</v>
      </c>
      <c r="I8" s="169"/>
      <c r="J8" s="169"/>
      <c r="K8" s="169"/>
      <c r="L8" s="169"/>
      <c r="M8" s="169"/>
      <c r="N8" s="169"/>
      <c r="O8" s="169"/>
    </row>
    <row r="9" spans="1:24" ht="9.9" customHeight="1" x14ac:dyDescent="0.25">
      <c r="A9" s="168" t="s">
        <v>6</v>
      </c>
      <c r="B9" s="168"/>
      <c r="C9" s="170" t="s">
        <v>7</v>
      </c>
      <c r="D9" s="456" t="s">
        <v>8</v>
      </c>
      <c r="E9" s="171"/>
      <c r="F9" s="168" t="s">
        <v>9</v>
      </c>
      <c r="G9" s="169"/>
      <c r="H9" s="178" t="s">
        <v>10</v>
      </c>
      <c r="I9" s="169"/>
      <c r="J9" s="169"/>
      <c r="K9" s="310" t="s">
        <v>11</v>
      </c>
      <c r="L9" s="169"/>
      <c r="M9" s="169"/>
      <c r="N9" s="169"/>
      <c r="O9" s="169"/>
      <c r="R9" s="172" t="s">
        <v>12</v>
      </c>
      <c r="S9" s="172" t="s">
        <v>13</v>
      </c>
    </row>
    <row r="10" spans="1:24" ht="9.9" customHeight="1" x14ac:dyDescent="0.25">
      <c r="A10" s="168" t="s">
        <v>14</v>
      </c>
      <c r="B10" s="168"/>
      <c r="C10" s="170" t="s">
        <v>15</v>
      </c>
      <c r="D10" s="173"/>
      <c r="E10" s="173"/>
      <c r="F10" s="169"/>
      <c r="G10" s="169"/>
      <c r="H10" s="169"/>
      <c r="I10" s="169"/>
      <c r="J10" s="169"/>
      <c r="K10" s="161" t="s">
        <v>16</v>
      </c>
      <c r="L10" s="174"/>
      <c r="M10" s="427"/>
      <c r="N10" s="427"/>
      <c r="O10" s="427"/>
      <c r="R10" s="172">
        <f>+M11</f>
        <v>0</v>
      </c>
      <c r="S10" s="175">
        <f>+M18</f>
        <v>0</v>
      </c>
      <c r="U10" s="284"/>
    </row>
    <row r="11" spans="1:24" ht="9.9" customHeight="1" x14ac:dyDescent="0.25">
      <c r="A11" s="176" t="s">
        <v>17</v>
      </c>
      <c r="B11" s="168"/>
      <c r="C11" s="989">
        <v>38972</v>
      </c>
      <c r="D11" s="989"/>
      <c r="E11" s="173"/>
      <c r="F11" s="169"/>
      <c r="G11" s="169"/>
      <c r="H11" s="168"/>
      <c r="I11" s="168"/>
      <c r="J11" s="168"/>
      <c r="K11" s="162" t="s">
        <v>18</v>
      </c>
      <c r="L11" s="460"/>
      <c r="M11" s="465"/>
      <c r="N11" s="465"/>
      <c r="O11" s="465"/>
      <c r="R11" s="172">
        <f>+N11</f>
        <v>0</v>
      </c>
      <c r="S11" s="175">
        <f>+N18</f>
        <v>0</v>
      </c>
      <c r="U11" s="237"/>
    </row>
    <row r="12" spans="1:24" ht="9.9" customHeight="1" x14ac:dyDescent="0.25">
      <c r="A12" s="176" t="s">
        <v>19</v>
      </c>
      <c r="B12" s="168"/>
      <c r="C12" s="578" t="s">
        <v>20</v>
      </c>
      <c r="D12" s="578"/>
      <c r="E12" s="173"/>
      <c r="F12" s="169"/>
      <c r="G12" s="169"/>
      <c r="H12" s="117"/>
      <c r="I12" s="169"/>
      <c r="J12" s="169"/>
      <c r="K12" s="162" t="s">
        <v>21</v>
      </c>
      <c r="L12" s="174"/>
      <c r="M12" s="461"/>
      <c r="N12" s="461"/>
      <c r="O12" s="461"/>
      <c r="R12" s="172">
        <f>+O11</f>
        <v>0</v>
      </c>
      <c r="S12" s="175">
        <f>+O18</f>
        <v>0</v>
      </c>
      <c r="U12" s="237"/>
    </row>
    <row r="13" spans="1:24" ht="9.9" customHeight="1" x14ac:dyDescent="0.25">
      <c r="E13" s="173"/>
      <c r="F13" s="169"/>
      <c r="G13" s="169"/>
      <c r="H13" s="169"/>
      <c r="I13" s="169"/>
      <c r="J13" s="169"/>
      <c r="K13" s="162" t="s">
        <v>22</v>
      </c>
      <c r="L13" s="174"/>
      <c r="M13" s="462"/>
      <c r="N13" s="462"/>
      <c r="O13" s="462"/>
      <c r="U13" s="279"/>
    </row>
    <row r="14" spans="1:24" ht="12.6" customHeight="1" x14ac:dyDescent="0.25">
      <c r="A14" s="452" t="s">
        <v>23</v>
      </c>
      <c r="B14" s="309"/>
      <c r="C14" s="159"/>
      <c r="D14" s="159"/>
      <c r="E14" s="159"/>
      <c r="F14" s="453" t="s">
        <v>24</v>
      </c>
      <c r="G14" s="159"/>
      <c r="H14" s="159"/>
      <c r="I14" s="159"/>
      <c r="J14" s="159"/>
      <c r="K14" s="162" t="s">
        <v>25</v>
      </c>
      <c r="L14" s="174"/>
      <c r="M14" s="462"/>
      <c r="N14" s="462"/>
      <c r="O14" s="462"/>
      <c r="U14" s="279"/>
    </row>
    <row r="15" spans="1:24" ht="9.9" customHeight="1" x14ac:dyDescent="0.25">
      <c r="A15" s="168" t="s">
        <v>26</v>
      </c>
      <c r="B15" s="168"/>
      <c r="C15" s="169"/>
      <c r="D15" s="169"/>
      <c r="E15" s="169"/>
      <c r="F15" s="169"/>
      <c r="G15" s="169"/>
      <c r="H15" s="169"/>
      <c r="I15" s="169"/>
      <c r="J15" s="169"/>
      <c r="K15" s="162" t="s">
        <v>27</v>
      </c>
      <c r="L15" s="174"/>
      <c r="M15" s="462"/>
      <c r="N15" s="462"/>
      <c r="O15" s="462"/>
      <c r="R15" s="172">
        <v>25</v>
      </c>
      <c r="S15" s="172">
        <v>0</v>
      </c>
      <c r="U15" s="279"/>
    </row>
    <row r="16" spans="1:24" ht="9.9" customHeight="1" x14ac:dyDescent="0.25">
      <c r="A16" s="169" t="s">
        <v>28</v>
      </c>
      <c r="B16" s="168"/>
      <c r="C16" s="169"/>
      <c r="D16" s="993">
        <v>25681</v>
      </c>
      <c r="E16" s="993"/>
      <c r="F16" s="169" t="s">
        <v>29</v>
      </c>
      <c r="G16" s="169"/>
      <c r="H16" s="993">
        <v>384.6</v>
      </c>
      <c r="I16" s="993"/>
      <c r="J16" s="169"/>
      <c r="K16" s="162" t="s">
        <v>30</v>
      </c>
      <c r="L16" s="174"/>
      <c r="M16" s="166"/>
      <c r="N16" s="166"/>
      <c r="O16" s="166"/>
      <c r="R16" s="172">
        <v>25</v>
      </c>
      <c r="S16" s="246" t="e">
        <f>+V17</f>
        <v>#NUM!</v>
      </c>
      <c r="T16" s="167" t="s">
        <v>31</v>
      </c>
      <c r="U16" s="279"/>
      <c r="V16" s="426" t="e">
        <f>+M18/(1.419-0.3*LOG10(M11))</f>
        <v>#NUM!</v>
      </c>
      <c r="W16" s="426" t="e">
        <f>+N18/(1.419-0.3*LOG10(N11))</f>
        <v>#NUM!</v>
      </c>
      <c r="X16" s="426" t="e">
        <f>+O18/(1.419-0.3*LOG10(O11))</f>
        <v>#NUM!</v>
      </c>
    </row>
    <row r="17" spans="1:24" ht="9.9" customHeight="1" x14ac:dyDescent="0.25">
      <c r="A17" s="169" t="s">
        <v>32</v>
      </c>
      <c r="B17" s="169"/>
      <c r="C17" s="169"/>
      <c r="D17" s="993">
        <v>491.5</v>
      </c>
      <c r="E17" s="993"/>
      <c r="F17" s="169" t="s">
        <v>33</v>
      </c>
      <c r="G17" s="169"/>
      <c r="H17" s="993">
        <v>364</v>
      </c>
      <c r="I17" s="993"/>
      <c r="J17" s="169"/>
      <c r="K17" s="162" t="s">
        <v>34</v>
      </c>
      <c r="L17" s="174"/>
      <c r="M17" s="166"/>
      <c r="N17" s="166"/>
      <c r="O17" s="166"/>
      <c r="R17" s="172">
        <v>10</v>
      </c>
      <c r="S17" s="172" t="e">
        <f>+S16</f>
        <v>#NUM!</v>
      </c>
      <c r="T17" s="167" t="s">
        <v>31</v>
      </c>
      <c r="U17" s="279"/>
      <c r="V17" s="426" t="e">
        <f>+AVERAGE(V16:X16)</f>
        <v>#NUM!</v>
      </c>
      <c r="W17" s="426"/>
      <c r="X17" s="426"/>
    </row>
    <row r="18" spans="1:24" ht="9.9" customHeight="1" x14ac:dyDescent="0.25">
      <c r="A18" s="169" t="s">
        <v>35</v>
      </c>
      <c r="B18" s="169"/>
      <c r="C18" s="169"/>
      <c r="D18" s="994">
        <f>+S30+T28</f>
        <v>24395.311291963379</v>
      </c>
      <c r="E18" s="994"/>
      <c r="F18" s="169" t="s">
        <v>36</v>
      </c>
      <c r="G18" s="169"/>
      <c r="H18" s="994">
        <f>(H16-H17)/H17*100</f>
        <v>5.6593406593406659</v>
      </c>
      <c r="I18" s="994"/>
      <c r="J18" s="169"/>
      <c r="K18" s="162" t="s">
        <v>37</v>
      </c>
      <c r="L18" s="174"/>
      <c r="M18" s="166"/>
      <c r="N18" s="166"/>
      <c r="O18" s="166"/>
      <c r="R18" s="172"/>
      <c r="S18" s="172"/>
      <c r="U18" s="279"/>
    </row>
    <row r="19" spans="1:24" ht="1.5" customHeight="1" x14ac:dyDescent="0.25">
      <c r="A19" s="169"/>
      <c r="B19" s="169"/>
      <c r="C19" s="169"/>
      <c r="D19" s="169" t="s">
        <v>38</v>
      </c>
      <c r="E19" s="213"/>
      <c r="F19" s="169"/>
      <c r="G19" s="169"/>
      <c r="H19" s="169"/>
      <c r="I19" s="169"/>
      <c r="J19" s="169"/>
      <c r="K19" s="169"/>
      <c r="L19" s="169"/>
      <c r="M19" s="178"/>
      <c r="N19" s="178"/>
      <c r="O19" s="178"/>
      <c r="R19" s="172"/>
      <c r="S19" s="308"/>
      <c r="T19" s="167" t="s">
        <v>39</v>
      </c>
    </row>
    <row r="20" spans="1:24" ht="10.5" customHeight="1" x14ac:dyDescent="0.25">
      <c r="A20" s="168"/>
      <c r="B20" s="169"/>
      <c r="C20" s="169"/>
      <c r="D20" s="169"/>
      <c r="E20" s="225"/>
      <c r="F20" s="169"/>
      <c r="G20" s="169"/>
      <c r="H20" s="169"/>
      <c r="I20" s="169"/>
      <c r="J20" s="169"/>
      <c r="K20" s="310" t="s">
        <v>40</v>
      </c>
      <c r="L20" s="169"/>
      <c r="M20" s="178"/>
      <c r="N20" s="178"/>
      <c r="O20" s="178"/>
      <c r="R20" s="172"/>
      <c r="S20" s="311" t="e">
        <f>+AVERAGE(M28:N28)</f>
        <v>#DIV/0!</v>
      </c>
      <c r="T20" s="167" t="s">
        <v>39</v>
      </c>
    </row>
    <row r="21" spans="1:24" ht="10.5" customHeight="1" x14ac:dyDescent="0.25">
      <c r="A21" s="987" t="s">
        <v>41</v>
      </c>
      <c r="B21" s="988"/>
      <c r="C21" s="179" t="s">
        <v>42</v>
      </c>
      <c r="D21" s="179" t="s">
        <v>43</v>
      </c>
      <c r="E21" s="179" t="s">
        <v>43</v>
      </c>
      <c r="F21" s="180" t="s">
        <v>44</v>
      </c>
      <c r="G21" s="981" t="s">
        <v>45</v>
      </c>
      <c r="H21" s="982"/>
      <c r="I21" s="983"/>
      <c r="J21" s="168"/>
      <c r="K21" s="161" t="s">
        <v>16</v>
      </c>
      <c r="L21" s="174"/>
      <c r="M21" s="427"/>
      <c r="N21" s="427"/>
      <c r="O21" s="165"/>
    </row>
    <row r="22" spans="1:24" ht="10.5" customHeight="1" x14ac:dyDescent="0.25">
      <c r="A22" s="181" t="s">
        <v>46</v>
      </c>
      <c r="B22" s="181" t="s">
        <v>47</v>
      </c>
      <c r="C22" s="181" t="s">
        <v>48</v>
      </c>
      <c r="D22" s="181" t="s">
        <v>49</v>
      </c>
      <c r="E22" s="181" t="s">
        <v>50</v>
      </c>
      <c r="F22" s="182" t="s">
        <v>51</v>
      </c>
      <c r="G22" s="984" t="s">
        <v>52</v>
      </c>
      <c r="H22" s="985"/>
      <c r="I22" s="986"/>
      <c r="J22" s="168"/>
      <c r="K22" s="162" t="s">
        <v>21</v>
      </c>
      <c r="L22" s="174"/>
      <c r="M22" s="461"/>
      <c r="N22" s="461"/>
      <c r="O22" s="206"/>
      <c r="R22" s="167">
        <v>20.170000000000002</v>
      </c>
      <c r="S22" s="167">
        <v>21.22</v>
      </c>
    </row>
    <row r="23" spans="1:24" ht="10.5" customHeight="1" x14ac:dyDescent="0.25">
      <c r="A23" s="183" t="s">
        <v>53</v>
      </c>
      <c r="B23" s="184">
        <v>76.2</v>
      </c>
      <c r="C23" s="305"/>
      <c r="D23" s="185"/>
      <c r="E23" s="186"/>
      <c r="F23" s="187"/>
      <c r="G23" s="999" t="s">
        <v>54</v>
      </c>
      <c r="H23" s="1000"/>
      <c r="I23" s="1001"/>
      <c r="J23" s="190"/>
      <c r="K23" s="162" t="s">
        <v>22</v>
      </c>
      <c r="L23" s="174"/>
      <c r="M23" s="462"/>
      <c r="N23" s="462"/>
      <c r="O23" s="206"/>
      <c r="R23" s="191"/>
      <c r="S23" s="192"/>
    </row>
    <row r="24" spans="1:24" ht="10.5" customHeight="1" x14ac:dyDescent="0.25">
      <c r="A24" s="193" t="s">
        <v>55</v>
      </c>
      <c r="B24" s="184">
        <v>63.5</v>
      </c>
      <c r="C24" s="378">
        <v>0</v>
      </c>
      <c r="D24" s="185">
        <f>ROUND(C24/D$16*100,1)</f>
        <v>0</v>
      </c>
      <c r="E24" s="186">
        <f>+D24</f>
        <v>0</v>
      </c>
      <c r="F24" s="187">
        <f>100-E24</f>
        <v>100</v>
      </c>
      <c r="G24" s="990" t="s">
        <v>56</v>
      </c>
      <c r="H24" s="991"/>
      <c r="I24" s="992"/>
      <c r="J24" s="190"/>
      <c r="K24" s="162" t="s">
        <v>25</v>
      </c>
      <c r="L24" s="174"/>
      <c r="M24" s="462"/>
      <c r="N24" s="462"/>
      <c r="O24" s="207"/>
    </row>
    <row r="25" spans="1:24" ht="10.5" customHeight="1" x14ac:dyDescent="0.25">
      <c r="A25" s="183" t="s">
        <v>57</v>
      </c>
      <c r="B25" s="184">
        <v>50.6</v>
      </c>
      <c r="C25" s="378">
        <v>0</v>
      </c>
      <c r="D25" s="185">
        <f t="shared" ref="D25:D32" si="0">ROUND(C25/D$16*100,1)</f>
        <v>0</v>
      </c>
      <c r="E25" s="186">
        <f>+E24+D25</f>
        <v>0</v>
      </c>
      <c r="F25" s="187">
        <f t="shared" ref="F25:F40" si="1">100-E25</f>
        <v>100</v>
      </c>
      <c r="G25" s="572">
        <v>100</v>
      </c>
      <c r="H25" s="573"/>
      <c r="I25" s="574"/>
      <c r="J25" s="190"/>
      <c r="K25" s="162" t="s">
        <v>27</v>
      </c>
      <c r="L25" s="174"/>
      <c r="M25" s="462"/>
      <c r="N25" s="462"/>
      <c r="O25" s="207"/>
    </row>
    <row r="26" spans="1:24" ht="10.5" customHeight="1" x14ac:dyDescent="0.25">
      <c r="A26" s="193" t="s">
        <v>58</v>
      </c>
      <c r="B26" s="184">
        <v>38.1</v>
      </c>
      <c r="C26" s="378">
        <v>1384</v>
      </c>
      <c r="D26" s="185">
        <f t="shared" si="0"/>
        <v>5.4</v>
      </c>
      <c r="E26" s="186">
        <f t="shared" ref="E26:E32" si="2">+E25+D26</f>
        <v>5.4</v>
      </c>
      <c r="F26" s="187">
        <f t="shared" si="1"/>
        <v>94.6</v>
      </c>
      <c r="G26" s="572"/>
      <c r="H26" s="573"/>
      <c r="I26" s="574">
        <v>100</v>
      </c>
      <c r="J26" s="194"/>
      <c r="K26" s="162" t="s">
        <v>30</v>
      </c>
      <c r="L26" s="174"/>
      <c r="M26" s="166"/>
      <c r="N26" s="166"/>
      <c r="O26" s="207"/>
      <c r="S26" s="195"/>
    </row>
    <row r="27" spans="1:24" ht="10.5" customHeight="1" x14ac:dyDescent="0.25">
      <c r="A27" s="183" t="s">
        <v>59</v>
      </c>
      <c r="B27" s="184">
        <v>25.4</v>
      </c>
      <c r="C27" s="378">
        <v>3256</v>
      </c>
      <c r="D27" s="185">
        <f t="shared" si="0"/>
        <v>12.7</v>
      </c>
      <c r="E27" s="186">
        <f t="shared" si="2"/>
        <v>18.100000000000001</v>
      </c>
      <c r="F27" s="187">
        <f t="shared" si="1"/>
        <v>81.900000000000006</v>
      </c>
      <c r="G27" s="572"/>
      <c r="H27" s="573"/>
      <c r="I27" s="574"/>
      <c r="J27" s="194"/>
      <c r="K27" s="162" t="s">
        <v>34</v>
      </c>
      <c r="L27" s="174"/>
      <c r="M27" s="166"/>
      <c r="N27" s="166"/>
      <c r="O27" s="208"/>
      <c r="S27" s="197">
        <f>+D17</f>
        <v>491.5</v>
      </c>
    </row>
    <row r="28" spans="1:24" ht="10.5" customHeight="1" x14ac:dyDescent="0.25">
      <c r="A28" s="183" t="s">
        <v>60</v>
      </c>
      <c r="B28" s="184">
        <v>19.05</v>
      </c>
      <c r="C28" s="378">
        <v>2413</v>
      </c>
      <c r="D28" s="185">
        <f t="shared" si="0"/>
        <v>9.4</v>
      </c>
      <c r="E28" s="186">
        <f t="shared" si="2"/>
        <v>27.5</v>
      </c>
      <c r="F28" s="187">
        <f t="shared" si="1"/>
        <v>72.5</v>
      </c>
      <c r="G28" s="572"/>
      <c r="H28" s="573"/>
      <c r="I28" s="574"/>
      <c r="J28" s="194"/>
      <c r="K28" s="162" t="s">
        <v>37</v>
      </c>
      <c r="L28" s="174"/>
      <c r="M28" s="166"/>
      <c r="N28" s="166"/>
      <c r="O28" s="209"/>
      <c r="S28" s="197">
        <f>+D17-C41</f>
        <v>425.40000000000003</v>
      </c>
      <c r="T28" s="242">
        <f>SUM(C23:C32)</f>
        <v>16121</v>
      </c>
      <c r="U28" s="242"/>
    </row>
    <row r="29" spans="1:24" ht="10.5" customHeight="1" x14ac:dyDescent="0.25">
      <c r="A29" s="183" t="s">
        <v>61</v>
      </c>
      <c r="B29" s="184">
        <v>12.7</v>
      </c>
      <c r="C29" s="378">
        <v>4064</v>
      </c>
      <c r="D29" s="185">
        <f t="shared" si="0"/>
        <v>15.8</v>
      </c>
      <c r="E29" s="186">
        <f t="shared" si="2"/>
        <v>43.3</v>
      </c>
      <c r="F29" s="187">
        <f t="shared" si="1"/>
        <v>56.7</v>
      </c>
      <c r="G29" s="572"/>
      <c r="H29" s="573"/>
      <c r="I29" s="575"/>
      <c r="J29" s="194"/>
      <c r="K29" s="194"/>
      <c r="L29" s="194"/>
      <c r="M29" s="194"/>
      <c r="N29" s="196"/>
      <c r="O29" s="196"/>
      <c r="S29" s="197">
        <f>+D16-T28</f>
        <v>9560</v>
      </c>
    </row>
    <row r="30" spans="1:24" ht="10.5" customHeight="1" x14ac:dyDescent="0.25">
      <c r="A30" s="183" t="s">
        <v>62</v>
      </c>
      <c r="B30" s="184">
        <v>9.5250000000000004</v>
      </c>
      <c r="C30" s="378">
        <v>1986</v>
      </c>
      <c r="D30" s="185">
        <f t="shared" si="0"/>
        <v>7.7</v>
      </c>
      <c r="E30" s="186">
        <f t="shared" si="2"/>
        <v>51</v>
      </c>
      <c r="F30" s="187">
        <f t="shared" si="1"/>
        <v>49</v>
      </c>
      <c r="G30" s="572">
        <v>30</v>
      </c>
      <c r="H30" s="573"/>
      <c r="I30" s="574">
        <v>65</v>
      </c>
      <c r="J30" s="194"/>
      <c r="K30" s="194"/>
      <c r="L30" s="194"/>
      <c r="M30" s="194"/>
      <c r="N30" s="196"/>
      <c r="O30" s="196"/>
      <c r="S30" s="202">
        <f>+S29*S28/S27</f>
        <v>8274.3112919633786</v>
      </c>
    </row>
    <row r="31" spans="1:24" ht="10.5" customHeight="1" x14ac:dyDescent="0.25">
      <c r="A31" s="183" t="s">
        <v>63</v>
      </c>
      <c r="B31" s="184">
        <v>6.35</v>
      </c>
      <c r="C31" s="378">
        <v>2164</v>
      </c>
      <c r="D31" s="185">
        <f t="shared" si="0"/>
        <v>8.4</v>
      </c>
      <c r="E31" s="186">
        <f t="shared" si="2"/>
        <v>59.4</v>
      </c>
      <c r="F31" s="187">
        <f t="shared" si="1"/>
        <v>40.6</v>
      </c>
      <c r="G31" s="572"/>
      <c r="H31" s="573"/>
      <c r="I31" s="574"/>
      <c r="J31" s="194"/>
      <c r="K31" s="194"/>
      <c r="L31" s="194"/>
      <c r="M31" s="194"/>
      <c r="N31" s="196"/>
      <c r="O31" s="196"/>
      <c r="S31" s="202"/>
    </row>
    <row r="32" spans="1:24" ht="10.5" customHeight="1" x14ac:dyDescent="0.25">
      <c r="A32" s="183" t="s">
        <v>64</v>
      </c>
      <c r="B32" s="184">
        <v>4.76</v>
      </c>
      <c r="C32" s="378">
        <v>854</v>
      </c>
      <c r="D32" s="185">
        <f t="shared" si="0"/>
        <v>3.3</v>
      </c>
      <c r="E32" s="186">
        <f t="shared" si="2"/>
        <v>62.699999999999996</v>
      </c>
      <c r="F32" s="187">
        <f t="shared" si="1"/>
        <v>37.300000000000004</v>
      </c>
      <c r="G32" s="572">
        <v>25</v>
      </c>
      <c r="H32" s="573"/>
      <c r="I32" s="574">
        <v>55</v>
      </c>
      <c r="J32" s="194"/>
      <c r="K32" s="194"/>
      <c r="L32" s="194"/>
      <c r="M32" s="190"/>
      <c r="N32" s="196"/>
      <c r="O32" s="196"/>
    </row>
    <row r="33" spans="1:19" ht="10.5" customHeight="1" x14ac:dyDescent="0.25">
      <c r="A33" s="183">
        <v>8</v>
      </c>
      <c r="B33" s="184">
        <v>2.36</v>
      </c>
      <c r="C33" s="378">
        <v>125</v>
      </c>
      <c r="D33" s="185">
        <f>ROUND(C33*F$32/D$17,1)</f>
        <v>9.5</v>
      </c>
      <c r="E33" s="186">
        <f t="shared" ref="E33:E40" si="3">+E32+D33</f>
        <v>72.199999999999989</v>
      </c>
      <c r="F33" s="187">
        <f t="shared" si="1"/>
        <v>27.800000000000011</v>
      </c>
      <c r="G33" s="572"/>
      <c r="H33" s="573"/>
      <c r="I33" s="574"/>
      <c r="J33" s="194"/>
      <c r="K33" s="194"/>
      <c r="L33" s="194"/>
      <c r="M33" s="194"/>
      <c r="N33" s="196"/>
      <c r="O33" s="196"/>
      <c r="S33" s="197"/>
    </row>
    <row r="34" spans="1:19" ht="10.5" customHeight="1" x14ac:dyDescent="0.25">
      <c r="A34" s="183">
        <v>10</v>
      </c>
      <c r="B34" s="184">
        <v>2</v>
      </c>
      <c r="C34" s="378">
        <v>18.600000000000001</v>
      </c>
      <c r="D34" s="185">
        <f t="shared" ref="D34:D40" si="4">ROUND(C34*F$32/D$17,1)</f>
        <v>1.4</v>
      </c>
      <c r="E34" s="186">
        <f t="shared" si="3"/>
        <v>73.599999999999994</v>
      </c>
      <c r="F34" s="187">
        <f t="shared" si="1"/>
        <v>26.400000000000006</v>
      </c>
      <c r="G34" s="572">
        <v>15</v>
      </c>
      <c r="H34" s="573"/>
      <c r="I34" s="574">
        <v>40</v>
      </c>
      <c r="J34" s="194"/>
      <c r="K34" s="194"/>
      <c r="L34" s="194"/>
      <c r="M34" s="194"/>
      <c r="N34" s="196"/>
      <c r="O34" s="196"/>
      <c r="S34" s="197"/>
    </row>
    <row r="35" spans="1:19" ht="10.5" customHeight="1" x14ac:dyDescent="0.25">
      <c r="A35" s="183">
        <v>16</v>
      </c>
      <c r="B35" s="184">
        <v>1.19</v>
      </c>
      <c r="C35" s="378">
        <v>85.8</v>
      </c>
      <c r="D35" s="185">
        <f t="shared" si="4"/>
        <v>6.5</v>
      </c>
      <c r="E35" s="186">
        <f t="shared" si="3"/>
        <v>80.099999999999994</v>
      </c>
      <c r="F35" s="187">
        <f t="shared" si="1"/>
        <v>19.900000000000006</v>
      </c>
      <c r="G35" s="572"/>
      <c r="H35" s="573"/>
      <c r="I35" s="574"/>
      <c r="J35" s="194"/>
      <c r="K35" s="194"/>
      <c r="L35" s="194"/>
      <c r="M35" s="194"/>
      <c r="N35" s="196"/>
      <c r="O35" s="196"/>
      <c r="S35" s="197"/>
    </row>
    <row r="36" spans="1:19" ht="10.5" customHeight="1" x14ac:dyDescent="0.25">
      <c r="A36" s="183">
        <v>30</v>
      </c>
      <c r="B36" s="184">
        <v>0.6</v>
      </c>
      <c r="C36" s="378">
        <v>96</v>
      </c>
      <c r="D36" s="185">
        <f t="shared" si="4"/>
        <v>7.3</v>
      </c>
      <c r="E36" s="186">
        <f t="shared" si="3"/>
        <v>87.399999999999991</v>
      </c>
      <c r="F36" s="187">
        <f t="shared" si="1"/>
        <v>12.600000000000009</v>
      </c>
      <c r="G36" s="572"/>
      <c r="H36" s="573"/>
      <c r="I36" s="574"/>
      <c r="J36" s="194"/>
      <c r="K36" s="194"/>
      <c r="L36" s="194"/>
      <c r="M36" s="194"/>
      <c r="N36" s="196"/>
      <c r="O36" s="196"/>
      <c r="S36" s="197"/>
    </row>
    <row r="37" spans="1:19" ht="10.5" customHeight="1" x14ac:dyDescent="0.25">
      <c r="A37" s="183">
        <v>40</v>
      </c>
      <c r="B37" s="184">
        <v>0.42</v>
      </c>
      <c r="C37" s="378">
        <v>19.600000000000001</v>
      </c>
      <c r="D37" s="185">
        <f t="shared" si="4"/>
        <v>1.5</v>
      </c>
      <c r="E37" s="186">
        <f t="shared" si="3"/>
        <v>88.899999999999991</v>
      </c>
      <c r="F37" s="187">
        <f t="shared" si="1"/>
        <v>11.100000000000009</v>
      </c>
      <c r="G37" s="572">
        <v>8</v>
      </c>
      <c r="H37" s="573"/>
      <c r="I37" s="574">
        <v>20</v>
      </c>
      <c r="J37" s="194"/>
      <c r="K37" s="194"/>
      <c r="L37" s="194"/>
      <c r="M37" s="194"/>
      <c r="N37" s="196"/>
      <c r="O37" s="196"/>
      <c r="S37" s="197"/>
    </row>
    <row r="38" spans="1:19" ht="10.5" customHeight="1" x14ac:dyDescent="0.25">
      <c r="A38" s="183">
        <v>50</v>
      </c>
      <c r="B38" s="184">
        <v>0.3</v>
      </c>
      <c r="C38" s="378">
        <v>23.6</v>
      </c>
      <c r="D38" s="185">
        <f t="shared" si="4"/>
        <v>1.8</v>
      </c>
      <c r="E38" s="186">
        <f t="shared" si="3"/>
        <v>90.699999999999989</v>
      </c>
      <c r="F38" s="187">
        <f t="shared" si="1"/>
        <v>9.3000000000000114</v>
      </c>
      <c r="G38" s="572"/>
      <c r="H38" s="573"/>
      <c r="I38" s="574"/>
      <c r="J38" s="194"/>
      <c r="K38" s="194"/>
      <c r="L38" s="194"/>
      <c r="M38" s="194"/>
      <c r="N38" s="196"/>
      <c r="O38" s="196"/>
      <c r="S38" s="197"/>
    </row>
    <row r="39" spans="1:19" ht="10.5" customHeight="1" x14ac:dyDescent="0.25">
      <c r="A39" s="183">
        <v>100</v>
      </c>
      <c r="B39" s="184">
        <v>0.14899999999999999</v>
      </c>
      <c r="C39" s="378">
        <v>25.6</v>
      </c>
      <c r="D39" s="185">
        <f t="shared" si="4"/>
        <v>1.9</v>
      </c>
      <c r="E39" s="186">
        <f t="shared" si="3"/>
        <v>92.6</v>
      </c>
      <c r="F39" s="187">
        <f t="shared" si="1"/>
        <v>7.4000000000000057</v>
      </c>
      <c r="G39" s="572"/>
      <c r="H39" s="573"/>
      <c r="I39" s="574"/>
      <c r="J39" s="194"/>
      <c r="K39" s="194"/>
      <c r="L39" s="194"/>
      <c r="M39" s="194"/>
      <c r="N39" s="196"/>
      <c r="O39" s="196"/>
      <c r="S39" s="197"/>
    </row>
    <row r="40" spans="1:19" ht="10.5" customHeight="1" x14ac:dyDescent="0.25">
      <c r="A40" s="183">
        <v>200</v>
      </c>
      <c r="B40" s="184">
        <v>7.3999999999999996E-2</v>
      </c>
      <c r="C40" s="378">
        <v>31.2</v>
      </c>
      <c r="D40" s="185">
        <f t="shared" si="4"/>
        <v>2.4</v>
      </c>
      <c r="E40" s="186">
        <f t="shared" si="3"/>
        <v>95</v>
      </c>
      <c r="F40" s="187">
        <f t="shared" si="1"/>
        <v>5</v>
      </c>
      <c r="G40" s="572">
        <v>2</v>
      </c>
      <c r="H40" s="573"/>
      <c r="I40" s="574">
        <v>8</v>
      </c>
      <c r="J40" s="194"/>
      <c r="K40" s="194"/>
      <c r="L40" s="194"/>
      <c r="M40" s="194"/>
      <c r="N40" s="196"/>
      <c r="O40" s="196"/>
      <c r="S40" s="197"/>
    </row>
    <row r="41" spans="1:19" ht="10.5" customHeight="1" x14ac:dyDescent="0.25">
      <c r="A41" s="198" t="s">
        <v>65</v>
      </c>
      <c r="B41" s="198"/>
      <c r="C41" s="185">
        <f>+D17-SUM(C33:C40)</f>
        <v>66.099999999999966</v>
      </c>
      <c r="D41" s="185">
        <f>ROUND(C41*F$32/D$17,1)</f>
        <v>5</v>
      </c>
      <c r="E41" s="186">
        <f>+E40+D41</f>
        <v>100</v>
      </c>
      <c r="F41" s="187"/>
      <c r="G41" s="188"/>
      <c r="H41" s="199"/>
      <c r="I41" s="189"/>
      <c r="J41" s="190"/>
      <c r="K41" s="190"/>
      <c r="L41" s="190"/>
      <c r="M41" s="190"/>
      <c r="N41" s="169"/>
      <c r="O41" s="169"/>
      <c r="R41" s="200"/>
      <c r="S41" s="197"/>
    </row>
    <row r="42" spans="1:19" ht="3.75" customHeight="1" thickBot="1" x14ac:dyDescent="0.3">
      <c r="A42" s="168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</row>
    <row r="43" spans="1:19" ht="10.5" customHeight="1" x14ac:dyDescent="0.25">
      <c r="A43" s="428" t="s">
        <v>66</v>
      </c>
      <c r="B43" s="429"/>
      <c r="C43" s="430"/>
      <c r="D43" s="431" t="s">
        <v>67</v>
      </c>
      <c r="E43" s="429"/>
      <c r="F43" s="438" t="s">
        <v>68</v>
      </c>
      <c r="G43" s="995" t="s">
        <v>69</v>
      </c>
      <c r="H43" s="996"/>
      <c r="I43" s="432" t="s">
        <v>70</v>
      </c>
      <c r="J43" s="430"/>
      <c r="K43" s="429"/>
      <c r="L43" s="440">
        <f>+Proctor!D39</f>
        <v>2.2650000000000001</v>
      </c>
      <c r="M43" s="432" t="s">
        <v>71</v>
      </c>
      <c r="N43" s="430"/>
      <c r="O43" s="468">
        <f>+'Grafico CBR'!$N$38</f>
        <v>63.58</v>
      </c>
      <c r="R43" s="201"/>
      <c r="S43" s="202"/>
    </row>
    <row r="44" spans="1:19" ht="10.5" customHeight="1" thickBot="1" x14ac:dyDescent="0.3">
      <c r="A44" s="433" t="s">
        <v>72</v>
      </c>
      <c r="B44" s="434"/>
      <c r="C44" s="435"/>
      <c r="D44" s="436" t="str">
        <f>+Aashto!J26</f>
        <v>A-1-a (0)</v>
      </c>
      <c r="E44" s="434"/>
      <c r="F44" s="439" t="s">
        <v>73</v>
      </c>
      <c r="G44" s="997" t="s">
        <v>69</v>
      </c>
      <c r="H44" s="998"/>
      <c r="I44" s="437" t="s">
        <v>74</v>
      </c>
      <c r="J44" s="435"/>
      <c r="K44" s="434"/>
      <c r="L44" s="441">
        <f>+Proctor!D40</f>
        <v>7.2</v>
      </c>
      <c r="M44" s="437" t="s">
        <v>75</v>
      </c>
      <c r="N44" s="435"/>
      <c r="O44" s="469">
        <f>+'Grafico CBR'!$N$37</f>
        <v>101.83</v>
      </c>
      <c r="R44" s="201"/>
      <c r="S44" s="202"/>
    </row>
    <row r="45" spans="1:19" ht="10.5" customHeight="1" x14ac:dyDescent="0.25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</row>
    <row r="46" spans="1:19" ht="10.5" customHeight="1" x14ac:dyDescent="0.25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</row>
    <row r="47" spans="1:19" ht="10.5" customHeight="1" x14ac:dyDescent="0.25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</row>
    <row r="48" spans="1:19" ht="10.5" customHeight="1" x14ac:dyDescent="0.25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R48" s="176" t="s">
        <v>76</v>
      </c>
    </row>
    <row r="49" spans="1:21" ht="10.5" customHeight="1" x14ac:dyDescent="0.25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R49" s="1002" t="s">
        <v>77</v>
      </c>
      <c r="S49" s="1002"/>
    </row>
    <row r="50" spans="1:21" ht="10.5" customHeight="1" x14ac:dyDescent="0.25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R50" s="192">
        <v>0.36</v>
      </c>
      <c r="S50" s="197">
        <v>10</v>
      </c>
    </row>
    <row r="51" spans="1:21" ht="10.5" customHeight="1" x14ac:dyDescent="0.25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R51" s="203">
        <v>0.36</v>
      </c>
      <c r="S51" s="197">
        <v>10</v>
      </c>
    </row>
    <row r="52" spans="1:21" ht="10.5" customHeight="1" x14ac:dyDescent="0.25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R52" s="204">
        <v>0.36</v>
      </c>
      <c r="S52" s="192">
        <v>0</v>
      </c>
    </row>
    <row r="53" spans="1:21" ht="10.5" customHeight="1" x14ac:dyDescent="0.25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R53" s="192"/>
      <c r="S53" s="192"/>
      <c r="T53" s="167" t="s">
        <v>78</v>
      </c>
    </row>
    <row r="54" spans="1:21" ht="10.5" customHeight="1" x14ac:dyDescent="0.25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R54" s="1002" t="s">
        <v>79</v>
      </c>
      <c r="S54" s="1002"/>
      <c r="T54" s="200">
        <f>IF(R52=0,"---",R62/R52)</f>
        <v>38</v>
      </c>
      <c r="U54" s="200"/>
    </row>
    <row r="55" spans="1:21" ht="10.5" customHeight="1" x14ac:dyDescent="0.25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R55" s="192">
        <v>2.89</v>
      </c>
      <c r="S55" s="197">
        <v>30</v>
      </c>
    </row>
    <row r="56" spans="1:21" ht="10.5" customHeight="1" x14ac:dyDescent="0.25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R56" s="203">
        <f>+R55</f>
        <v>2.89</v>
      </c>
      <c r="S56" s="197">
        <v>30</v>
      </c>
      <c r="T56" s="167" t="s">
        <v>80</v>
      </c>
    </row>
    <row r="57" spans="1:21" ht="10.5" customHeight="1" x14ac:dyDescent="0.25">
      <c r="A57" s="168"/>
      <c r="B57" s="168"/>
      <c r="C57" s="168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R57" s="204">
        <f>+R56</f>
        <v>2.89</v>
      </c>
      <c r="S57" s="192">
        <v>0</v>
      </c>
      <c r="T57" s="200">
        <f>+IF(AND(R52=0,R62=0),"---",R57*R57/R52/R62)</f>
        <v>1.6959267381416505</v>
      </c>
      <c r="U57" s="200"/>
    </row>
    <row r="58" spans="1:21" ht="10.5" customHeight="1" x14ac:dyDescent="0.25">
      <c r="A58" s="168"/>
      <c r="B58" s="168"/>
      <c r="C58" s="168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</row>
    <row r="59" spans="1:21" ht="10.5" customHeight="1" x14ac:dyDescent="0.25">
      <c r="A59" s="168"/>
      <c r="B59" s="168"/>
      <c r="C59" s="168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R59" s="1002" t="s">
        <v>81</v>
      </c>
      <c r="S59" s="1002"/>
    </row>
    <row r="60" spans="1:21" ht="10.5" customHeight="1" x14ac:dyDescent="0.25">
      <c r="A60" s="168"/>
      <c r="B60" s="168"/>
      <c r="C60" s="168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R60" s="192">
        <v>13.68</v>
      </c>
      <c r="S60" s="197">
        <v>60</v>
      </c>
    </row>
    <row r="61" spans="1:21" ht="10.5" customHeight="1" x14ac:dyDescent="0.25">
      <c r="A61" s="168"/>
      <c r="B61" s="168"/>
      <c r="C61" s="168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R61" s="203">
        <f>+R60</f>
        <v>13.68</v>
      </c>
      <c r="S61" s="197">
        <v>60</v>
      </c>
    </row>
    <row r="62" spans="1:21" ht="10.5" customHeight="1" x14ac:dyDescent="0.25">
      <c r="A62" s="168"/>
      <c r="B62" s="168"/>
      <c r="C62" s="168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R62" s="204">
        <f>+R61</f>
        <v>13.68</v>
      </c>
      <c r="S62" s="192">
        <v>0</v>
      </c>
    </row>
    <row r="63" spans="1:21" ht="10.5" customHeight="1" x14ac:dyDescent="0.25">
      <c r="A63" s="169"/>
      <c r="B63" s="168"/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</row>
    <row r="64" spans="1:21" ht="10.5" customHeight="1" x14ac:dyDescent="0.25">
      <c r="A64" s="169"/>
      <c r="B64" s="169"/>
      <c r="C64" s="168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</row>
    <row r="65" spans="1:15" ht="10.5" customHeight="1" x14ac:dyDescent="0.25">
      <c r="A65" s="169"/>
      <c r="B65" s="169"/>
      <c r="C65" s="168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</row>
    <row r="66" spans="1:15" ht="10.5" customHeight="1" x14ac:dyDescent="0.25">
      <c r="A66" s="169"/>
      <c r="B66" s="169"/>
      <c r="C66" s="168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</row>
    <row r="67" spans="1:15" ht="10.5" customHeight="1" x14ac:dyDescent="0.25">
      <c r="A67" s="169"/>
      <c r="B67" s="169"/>
      <c r="C67" s="168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</row>
    <row r="68" spans="1:15" ht="10.5" customHeight="1" x14ac:dyDescent="0.25">
      <c r="A68" s="169"/>
      <c r="B68" s="169"/>
      <c r="C68" s="168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</row>
    <row r="69" spans="1:15" ht="10.5" customHeight="1" x14ac:dyDescent="0.25">
      <c r="A69" s="168" t="s">
        <v>82</v>
      </c>
      <c r="B69" s="169"/>
      <c r="C69" s="169"/>
      <c r="D69" s="466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</row>
    <row r="70" spans="1:15" ht="10.5" customHeight="1" x14ac:dyDescent="0.25">
      <c r="D70" s="222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</row>
    <row r="71" spans="1:15" ht="10.5" customHeight="1" x14ac:dyDescent="0.25">
      <c r="C71" s="176" t="s">
        <v>83</v>
      </c>
      <c r="D71" s="169"/>
      <c r="M71" s="176" t="s">
        <v>84</v>
      </c>
    </row>
    <row r="72" spans="1:15" ht="10.5" customHeight="1" x14ac:dyDescent="0.25">
      <c r="D72" s="169"/>
    </row>
    <row r="73" spans="1:15" ht="10.5" customHeight="1" x14ac:dyDescent="0.25">
      <c r="D73" s="169"/>
    </row>
    <row r="74" spans="1:15" ht="10.5" customHeight="1" x14ac:dyDescent="0.25">
      <c r="D74" s="169"/>
    </row>
    <row r="75" spans="1:15" ht="10.5" customHeight="1" x14ac:dyDescent="0.25">
      <c r="A75" s="454" t="s">
        <v>85</v>
      </c>
      <c r="B75" s="169"/>
      <c r="C75" s="117"/>
      <c r="D75" s="169"/>
      <c r="E75" s="454" t="s">
        <v>85</v>
      </c>
      <c r="F75" s="169"/>
      <c r="G75" s="169"/>
      <c r="H75" s="169"/>
      <c r="I75" s="169"/>
      <c r="J75" s="169"/>
      <c r="K75" s="454" t="s">
        <v>85</v>
      </c>
      <c r="L75" s="169"/>
      <c r="M75" s="169"/>
      <c r="N75" s="454" t="s">
        <v>86</v>
      </c>
      <c r="O75" s="117"/>
    </row>
    <row r="76" spans="1:15" ht="3" customHeight="1" x14ac:dyDescent="0.25">
      <c r="A76" s="169"/>
      <c r="B76" s="169"/>
      <c r="C76" s="117"/>
      <c r="D76" s="169"/>
      <c r="E76" s="117"/>
      <c r="F76" s="169"/>
      <c r="G76" s="169"/>
      <c r="H76" s="169"/>
      <c r="I76" s="169"/>
      <c r="J76" s="169"/>
      <c r="K76" s="169"/>
      <c r="L76" s="169"/>
      <c r="M76" s="169"/>
      <c r="N76" s="117"/>
      <c r="O76" s="117"/>
    </row>
    <row r="77" spans="1:15" x14ac:dyDescent="0.25">
      <c r="A77" s="176" t="s">
        <v>87</v>
      </c>
      <c r="B77" s="176"/>
      <c r="C77" s="176"/>
      <c r="D77" s="226"/>
      <c r="E77" s="455" t="s">
        <v>88</v>
      </c>
      <c r="K77" s="176" t="s">
        <v>87</v>
      </c>
      <c r="N77" s="455" t="s">
        <v>88</v>
      </c>
    </row>
    <row r="78" spans="1:15" ht="10.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980"/>
      <c r="O78" s="980"/>
    </row>
    <row r="79" spans="1:15" ht="10.5" customHeight="1" x14ac:dyDescent="0.25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</row>
  </sheetData>
  <mergeCells count="20">
    <mergeCell ref="R54:S54"/>
    <mergeCell ref="R59:S59"/>
    <mergeCell ref="R49:S49"/>
    <mergeCell ref="A5:O5"/>
    <mergeCell ref="A1:E4"/>
    <mergeCell ref="N78:O78"/>
    <mergeCell ref="G21:I21"/>
    <mergeCell ref="G22:I22"/>
    <mergeCell ref="A21:B21"/>
    <mergeCell ref="C11:D11"/>
    <mergeCell ref="G24:I24"/>
    <mergeCell ref="D16:E16"/>
    <mergeCell ref="D17:E17"/>
    <mergeCell ref="H16:I16"/>
    <mergeCell ref="H17:I17"/>
    <mergeCell ref="H18:I18"/>
    <mergeCell ref="G43:H43"/>
    <mergeCell ref="G44:H44"/>
    <mergeCell ref="D18:E18"/>
    <mergeCell ref="G23:I23"/>
  </mergeCells>
  <phoneticPr fontId="0" type="noConversion"/>
  <printOptions horizontalCentered="1" verticalCentered="1"/>
  <pageMargins left="0.39370078740157483" right="0.39370078740157483" top="0.39370078740157483" bottom="0.39370078740157483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D20F-5391-4159-8D6D-D6B2D385565C}">
  <sheetPr codeName="Hoja5"/>
  <dimension ref="A1:K67"/>
  <sheetViews>
    <sheetView topLeftCell="A4" zoomScaleNormal="100" zoomScaleSheetLayoutView="100" workbookViewId="0">
      <selection activeCell="J36" sqref="J36"/>
    </sheetView>
  </sheetViews>
  <sheetFormatPr baseColWidth="10" defaultColWidth="11.44140625" defaultRowHeight="12" x14ac:dyDescent="0.25"/>
  <cols>
    <col min="1" max="1" width="11.44140625" style="169"/>
    <col min="2" max="2" width="12.6640625" style="169" customWidth="1"/>
    <col min="3" max="7" width="10.6640625" style="169" customWidth="1"/>
    <col min="8" max="8" width="2" style="169" customWidth="1"/>
    <col min="9" max="10" width="7.6640625" style="169" customWidth="1"/>
    <col min="11" max="16384" width="11.44140625" style="169"/>
  </cols>
  <sheetData>
    <row r="1" spans="1:7" ht="11.4" customHeight="1" x14ac:dyDescent="0.25">
      <c r="A1" s="1004"/>
      <c r="B1" s="1004"/>
      <c r="C1" s="269"/>
      <c r="D1" s="159"/>
      <c r="E1" s="159"/>
      <c r="F1" s="159"/>
      <c r="G1" s="159"/>
    </row>
    <row r="2" spans="1:7" ht="11.4" customHeight="1" x14ac:dyDescent="0.25">
      <c r="A2" s="1004"/>
      <c r="B2" s="1004"/>
      <c r="C2" s="269"/>
      <c r="D2" s="269"/>
      <c r="E2" s="269"/>
      <c r="F2" s="159"/>
      <c r="G2" s="159"/>
    </row>
    <row r="3" spans="1:7" ht="11.4" customHeight="1" x14ac:dyDescent="0.25">
      <c r="A3" s="1004"/>
      <c r="B3" s="1004"/>
      <c r="C3" s="272"/>
      <c r="D3" s="272"/>
      <c r="E3" s="272"/>
    </row>
    <row r="4" spans="1:7" ht="11.4" customHeight="1" x14ac:dyDescent="0.25">
      <c r="A4" s="1004"/>
      <c r="B4" s="1004"/>
      <c r="D4" s="168"/>
    </row>
    <row r="5" spans="1:7" ht="11.4" customHeight="1" x14ac:dyDescent="0.25">
      <c r="A5" s="168"/>
      <c r="B5" s="168"/>
      <c r="D5" s="168"/>
      <c r="F5" s="168" t="s">
        <v>89</v>
      </c>
    </row>
    <row r="6" spans="1:7" ht="11.4" customHeight="1" x14ac:dyDescent="0.25">
      <c r="A6" s="1005" t="s">
        <v>90</v>
      </c>
      <c r="B6" s="1005"/>
      <c r="C6" s="1005"/>
      <c r="D6" s="1005"/>
      <c r="E6" s="1005"/>
      <c r="F6" s="1005"/>
      <c r="G6" s="1005"/>
    </row>
    <row r="7" spans="1:7" ht="3.75" customHeight="1" thickBot="1" x14ac:dyDescent="0.3">
      <c r="A7" s="211"/>
      <c r="B7" s="211"/>
      <c r="C7" s="211"/>
      <c r="D7" s="212"/>
      <c r="E7" s="211"/>
      <c r="F7" s="211"/>
      <c r="G7" s="211"/>
    </row>
    <row r="8" spans="1:7" ht="3.75" customHeight="1" thickTop="1" x14ac:dyDescent="0.25"/>
    <row r="9" spans="1:7" x14ac:dyDescent="0.25">
      <c r="A9" s="169" t="e">
        <f>+Datos!#REF!</f>
        <v>#REF!</v>
      </c>
      <c r="C9" s="169" t="str">
        <f>+'Gran-LLyLP'!H8</f>
        <v>F.T.V</v>
      </c>
      <c r="F9" s="213"/>
      <c r="G9" s="213"/>
    </row>
    <row r="10" spans="1:7" x14ac:dyDescent="0.25">
      <c r="A10" s="169" t="e">
        <f>+Datos!#REF!</f>
        <v>#REF!</v>
      </c>
      <c r="C10" s="169" t="str">
        <f>+'Gran-LLyLP'!H9</f>
        <v>F.K.S</v>
      </c>
      <c r="F10" s="213"/>
      <c r="G10" s="213"/>
    </row>
    <row r="11" spans="1:7" x14ac:dyDescent="0.25">
      <c r="A11" s="169" t="e">
        <f>+Datos!#REF!</f>
        <v>#REF!</v>
      </c>
      <c r="C11" s="293">
        <f>+'Gran-LLyLP'!C11:D11</f>
        <v>38972</v>
      </c>
      <c r="F11" s="213"/>
      <c r="G11" s="213"/>
    </row>
    <row r="12" spans="1:7" ht="3.75" customHeight="1" x14ac:dyDescent="0.25">
      <c r="F12" s="213"/>
      <c r="G12" s="213"/>
    </row>
    <row r="13" spans="1:7" x14ac:dyDescent="0.25">
      <c r="A13" s="168" t="s">
        <v>91</v>
      </c>
      <c r="B13" s="168"/>
      <c r="C13" s="168"/>
      <c r="F13" s="213"/>
      <c r="G13" s="213"/>
    </row>
    <row r="14" spans="1:7" x14ac:dyDescent="0.25">
      <c r="A14" s="169" t="s">
        <v>2</v>
      </c>
      <c r="B14" s="169" t="s">
        <v>38</v>
      </c>
      <c r="C14" s="442" t="str">
        <f>+'Gran-LLyLP'!C8</f>
        <v>Km. 54+710-54+910</v>
      </c>
      <c r="F14" s="274"/>
    </row>
    <row r="15" spans="1:7" x14ac:dyDescent="0.25">
      <c r="A15" s="169" t="str">
        <f>+Datos!A10</f>
        <v>Ubicación   :</v>
      </c>
      <c r="B15" s="169" t="s">
        <v>38</v>
      </c>
      <c r="C15" s="442" t="str">
        <f>+'Gran-LLyLP'!C9</f>
        <v>SB - 25</v>
      </c>
      <c r="D15" s="169" t="str">
        <f>+'Gran-LLyLP'!D9</f>
        <v>M - 1</v>
      </c>
    </row>
    <row r="16" spans="1:7" x14ac:dyDescent="0.25">
      <c r="A16" s="169" t="str">
        <f>+Datos!A11</f>
        <v>Cantera      :</v>
      </c>
      <c r="B16" s="169" t="s">
        <v>38</v>
      </c>
      <c r="C16" s="442" t="str">
        <f>+'Gran-LLyLP'!C10</f>
        <v>Sub Base Granular</v>
      </c>
    </row>
    <row r="17" spans="1:8" x14ac:dyDescent="0.25">
      <c r="A17" s="169" t="str">
        <f>+Datos!A12</f>
        <v>Material     :</v>
      </c>
      <c r="B17" s="169" t="s">
        <v>38</v>
      </c>
      <c r="C17" s="443" t="str">
        <f>+'Gran-LLyLP'!C12:D12</f>
        <v>IZQ - DER</v>
      </c>
    </row>
    <row r="18" spans="1:8" ht="3" customHeight="1" x14ac:dyDescent="0.25"/>
    <row r="19" spans="1:8" ht="12.6" thickBot="1" x14ac:dyDescent="0.3">
      <c r="A19" s="168" t="s">
        <v>92</v>
      </c>
      <c r="B19" s="168"/>
    </row>
    <row r="20" spans="1:8" ht="12.75" customHeight="1" x14ac:dyDescent="0.25">
      <c r="A20" s="1007" t="s">
        <v>93</v>
      </c>
      <c r="B20" s="1008"/>
      <c r="C20" s="294">
        <v>1</v>
      </c>
      <c r="D20" s="294">
        <v>2</v>
      </c>
      <c r="E20" s="294">
        <v>3</v>
      </c>
      <c r="F20" s="294">
        <v>4</v>
      </c>
      <c r="G20" s="294"/>
      <c r="H20" s="295"/>
    </row>
    <row r="21" spans="1:8" x14ac:dyDescent="0.25">
      <c r="A21" s="296" t="s">
        <v>94</v>
      </c>
      <c r="B21" s="268"/>
      <c r="C21" s="297">
        <v>5</v>
      </c>
      <c r="D21" s="297">
        <v>5</v>
      </c>
      <c r="E21" s="297">
        <v>5</v>
      </c>
      <c r="F21" s="297">
        <v>5</v>
      </c>
      <c r="G21" s="297"/>
      <c r="H21" s="295"/>
    </row>
    <row r="22" spans="1:8" x14ac:dyDescent="0.25">
      <c r="A22" s="296" t="s">
        <v>95</v>
      </c>
      <c r="B22" s="268"/>
      <c r="C22" s="376">
        <v>56</v>
      </c>
      <c r="D22" s="376">
        <v>56</v>
      </c>
      <c r="E22" s="376">
        <v>56</v>
      </c>
      <c r="F22" s="376">
        <v>56</v>
      </c>
      <c r="G22" s="297"/>
      <c r="H22" s="295"/>
    </row>
    <row r="23" spans="1:8" x14ac:dyDescent="0.2">
      <c r="A23" s="298" t="s">
        <v>96</v>
      </c>
      <c r="B23" s="299"/>
      <c r="C23" s="576">
        <v>11210</v>
      </c>
      <c r="D23" s="576">
        <v>11368</v>
      </c>
      <c r="E23" s="576">
        <v>11506</v>
      </c>
      <c r="F23" s="576">
        <v>11545</v>
      </c>
      <c r="G23" s="198"/>
      <c r="H23" s="295"/>
    </row>
    <row r="24" spans="1:8" x14ac:dyDescent="0.25">
      <c r="A24" s="298" t="s">
        <v>97</v>
      </c>
      <c r="B24" s="299"/>
      <c r="C24" s="377">
        <v>6335</v>
      </c>
      <c r="D24" s="377">
        <f>+C24</f>
        <v>6335</v>
      </c>
      <c r="E24" s="377">
        <f>+C24</f>
        <v>6335</v>
      </c>
      <c r="F24" s="377">
        <f>+C24</f>
        <v>6335</v>
      </c>
      <c r="G24" s="198"/>
      <c r="H24" s="295"/>
    </row>
    <row r="25" spans="1:8" x14ac:dyDescent="0.25">
      <c r="A25" s="298" t="s">
        <v>98</v>
      </c>
      <c r="B25" s="299"/>
      <c r="C25" s="198">
        <f>+C23-C24</f>
        <v>4875</v>
      </c>
      <c r="D25" s="198">
        <f>+D23-D24</f>
        <v>5033</v>
      </c>
      <c r="E25" s="198">
        <f>+E23-E24</f>
        <v>5171</v>
      </c>
      <c r="F25" s="198">
        <f>+F23-F24</f>
        <v>5210</v>
      </c>
      <c r="G25" s="198"/>
      <c r="H25" s="295"/>
    </row>
    <row r="26" spans="1:8" ht="14.4" x14ac:dyDescent="0.25">
      <c r="A26" s="298" t="s">
        <v>99</v>
      </c>
      <c r="B26" s="299"/>
      <c r="C26" s="377">
        <v>2119</v>
      </c>
      <c r="D26" s="377">
        <f>+C26</f>
        <v>2119</v>
      </c>
      <c r="E26" s="377">
        <f>+D26</f>
        <v>2119</v>
      </c>
      <c r="F26" s="377">
        <f>+E26</f>
        <v>2119</v>
      </c>
      <c r="G26" s="198"/>
      <c r="H26" s="295"/>
    </row>
    <row r="27" spans="1:8" ht="15" thickBot="1" x14ac:dyDescent="0.3">
      <c r="A27" s="300" t="s">
        <v>100</v>
      </c>
      <c r="B27" s="301"/>
      <c r="C27" s="302">
        <f>+C25/C26</f>
        <v>2.3006134969325154</v>
      </c>
      <c r="D27" s="302">
        <f>+D25/D26</f>
        <v>2.3751769702689947</v>
      </c>
      <c r="E27" s="302">
        <f>+E25/E26</f>
        <v>2.4403020292590845</v>
      </c>
      <c r="F27" s="302">
        <f>+F25/F26</f>
        <v>2.4587069372345445</v>
      </c>
      <c r="G27" s="302"/>
      <c r="H27" s="295"/>
    </row>
    <row r="28" spans="1:8" ht="5.25" customHeight="1" x14ac:dyDescent="0.25">
      <c r="C28" s="117"/>
      <c r="D28" s="117"/>
      <c r="E28" s="117"/>
      <c r="F28" s="117"/>
      <c r="G28" s="117"/>
    </row>
    <row r="29" spans="1:8" ht="12.6" thickBot="1" x14ac:dyDescent="0.3">
      <c r="A29" s="168" t="s">
        <v>101</v>
      </c>
      <c r="B29" s="168"/>
      <c r="C29" s="117"/>
      <c r="D29" s="117"/>
      <c r="E29" s="117"/>
      <c r="F29" s="117"/>
      <c r="G29" s="117"/>
    </row>
    <row r="30" spans="1:8" x14ac:dyDescent="0.25">
      <c r="A30" s="303" t="s">
        <v>102</v>
      </c>
      <c r="B30" s="304"/>
      <c r="C30" s="294"/>
      <c r="D30" s="294"/>
      <c r="E30" s="294"/>
      <c r="F30" s="294"/>
      <c r="G30" s="294"/>
    </row>
    <row r="31" spans="1:8" x14ac:dyDescent="0.2">
      <c r="A31" s="298" t="s">
        <v>103</v>
      </c>
      <c r="B31" s="299"/>
      <c r="C31" s="449">
        <v>524.20000000000005</v>
      </c>
      <c r="D31" s="449">
        <v>446.7</v>
      </c>
      <c r="E31" s="449">
        <v>519.6</v>
      </c>
      <c r="F31" s="449">
        <v>559.4</v>
      </c>
      <c r="G31" s="305"/>
    </row>
    <row r="32" spans="1:8" x14ac:dyDescent="0.2">
      <c r="A32" s="298" t="s">
        <v>104</v>
      </c>
      <c r="B32" s="299"/>
      <c r="C32" s="450">
        <v>508</v>
      </c>
      <c r="D32" s="450">
        <v>424.1</v>
      </c>
      <c r="E32" s="450">
        <v>482</v>
      </c>
      <c r="F32" s="450">
        <v>506.4</v>
      </c>
      <c r="G32" s="305"/>
    </row>
    <row r="33" spans="1:10" x14ac:dyDescent="0.25">
      <c r="A33" s="298" t="s">
        <v>105</v>
      </c>
      <c r="B33" s="299"/>
      <c r="C33" s="305">
        <f>+C31-C32</f>
        <v>16.200000000000045</v>
      </c>
      <c r="D33" s="305">
        <f>+D31-D32</f>
        <v>22.599999999999966</v>
      </c>
      <c r="E33" s="305">
        <f>+E31-E32</f>
        <v>37.600000000000023</v>
      </c>
      <c r="F33" s="305">
        <f>+F31-F32</f>
        <v>53</v>
      </c>
      <c r="G33" s="305"/>
    </row>
    <row r="34" spans="1:10" x14ac:dyDescent="0.25">
      <c r="A34" s="298" t="s">
        <v>106</v>
      </c>
      <c r="B34" s="299"/>
      <c r="C34" s="305"/>
      <c r="D34" s="305"/>
      <c r="E34" s="305"/>
      <c r="F34" s="305"/>
      <c r="G34" s="305"/>
      <c r="H34" s="306"/>
    </row>
    <row r="35" spans="1:10" x14ac:dyDescent="0.25">
      <c r="A35" s="298" t="s">
        <v>107</v>
      </c>
      <c r="B35" s="299"/>
      <c r="C35" s="305">
        <f>+C32-C34</f>
        <v>508</v>
      </c>
      <c r="D35" s="305">
        <f>+D32-D34</f>
        <v>424.1</v>
      </c>
      <c r="E35" s="305">
        <f>+E32-E34</f>
        <v>482</v>
      </c>
      <c r="F35" s="305">
        <f>+F32-F34</f>
        <v>506.4</v>
      </c>
      <c r="G35" s="305"/>
    </row>
    <row r="36" spans="1:10" x14ac:dyDescent="0.25">
      <c r="A36" s="1009" t="s">
        <v>101</v>
      </c>
      <c r="B36" s="1010"/>
      <c r="C36" s="185">
        <f>+C33/C35*100</f>
        <v>3.1889763779527645</v>
      </c>
      <c r="D36" s="185">
        <f>+D33/D35*100</f>
        <v>5.3289318556944032</v>
      </c>
      <c r="E36" s="185">
        <f>+E33/E35*100</f>
        <v>7.8008298755186765</v>
      </c>
      <c r="F36" s="185">
        <f>+F33/F35*100</f>
        <v>10.466034755134283</v>
      </c>
      <c r="G36" s="185"/>
    </row>
    <row r="37" spans="1:10" ht="15" thickBot="1" x14ac:dyDescent="0.3">
      <c r="A37" s="300" t="s">
        <v>108</v>
      </c>
      <c r="B37" s="301"/>
      <c r="C37" s="302">
        <f>+C27/(1+C36/100)</f>
        <v>2.2295147967220865</v>
      </c>
      <c r="D37" s="302">
        <f>+D27/(1+D36/100)</f>
        <v>2.2550090734073889</v>
      </c>
      <c r="E37" s="302">
        <f>+E27/(1+E36/100)</f>
        <v>2.263713583723785</v>
      </c>
      <c r="F37" s="302">
        <f>+F27/(1+F36/100)</f>
        <v>2.2257582999920866</v>
      </c>
      <c r="G37" s="302"/>
    </row>
    <row r="38" spans="1:10" ht="3.75" customHeight="1" x14ac:dyDescent="0.25">
      <c r="C38" s="275"/>
      <c r="H38" s="306"/>
    </row>
    <row r="39" spans="1:10" ht="14.4" x14ac:dyDescent="0.25">
      <c r="A39" s="169" t="s">
        <v>109</v>
      </c>
      <c r="C39" s="275"/>
      <c r="D39" s="276">
        <f>+I48</f>
        <v>2.2650000000000001</v>
      </c>
      <c r="E39" s="169" t="s">
        <v>110</v>
      </c>
    </row>
    <row r="40" spans="1:10" x14ac:dyDescent="0.25">
      <c r="A40" s="169" t="s">
        <v>111</v>
      </c>
      <c r="D40" s="177">
        <f>+J47</f>
        <v>7.2</v>
      </c>
    </row>
    <row r="41" spans="1:10" x14ac:dyDescent="0.25">
      <c r="H41" s="307"/>
    </row>
    <row r="47" spans="1:10" x14ac:dyDescent="0.25">
      <c r="I47" s="169">
        <v>0</v>
      </c>
      <c r="J47" s="306">
        <v>7.2</v>
      </c>
    </row>
    <row r="48" spans="1:10" x14ac:dyDescent="0.25">
      <c r="I48" s="306">
        <v>2.2650000000000001</v>
      </c>
      <c r="J48" s="169">
        <f>+J47</f>
        <v>7.2</v>
      </c>
    </row>
    <row r="49" spans="1:10" x14ac:dyDescent="0.25">
      <c r="I49" s="169">
        <f>+I48</f>
        <v>2.2650000000000001</v>
      </c>
      <c r="J49" s="169">
        <v>0</v>
      </c>
    </row>
    <row r="60" spans="1:10" ht="13.2" x14ac:dyDescent="0.25">
      <c r="B60" s="176" t="s">
        <v>83</v>
      </c>
      <c r="E60" s="176" t="s">
        <v>84</v>
      </c>
    </row>
    <row r="61" spans="1:10" x14ac:dyDescent="0.25">
      <c r="A61" s="224"/>
      <c r="B61" s="224"/>
      <c r="C61" s="224"/>
      <c r="D61" s="224"/>
      <c r="E61" s="224"/>
      <c r="F61" s="224"/>
      <c r="G61" s="224"/>
      <c r="H61" s="224"/>
      <c r="I61" s="224"/>
      <c r="J61" s="224"/>
    </row>
    <row r="62" spans="1:10" ht="12.75" customHeight="1" x14ac:dyDescent="0.25">
      <c r="A62" s="117"/>
      <c r="B62" s="117"/>
      <c r="D62" s="1006"/>
      <c r="E62" s="1006"/>
      <c r="F62" s="980"/>
      <c r="G62" s="980"/>
    </row>
    <row r="63" spans="1:10" ht="12.75" customHeight="1" x14ac:dyDescent="0.25">
      <c r="A63" s="117"/>
      <c r="B63" s="117"/>
      <c r="D63" s="213"/>
      <c r="E63" s="213"/>
      <c r="F63" s="117"/>
      <c r="G63" s="117"/>
    </row>
    <row r="64" spans="1:10" x14ac:dyDescent="0.25">
      <c r="A64" s="454" t="s">
        <v>112</v>
      </c>
      <c r="E64" s="117" t="s">
        <v>113</v>
      </c>
    </row>
    <row r="65" spans="1:11" ht="13.2" x14ac:dyDescent="0.25">
      <c r="A65" s="176" t="s">
        <v>114</v>
      </c>
      <c r="B65" s="1011" t="s">
        <v>115</v>
      </c>
      <c r="C65" s="1011"/>
      <c r="D65" s="176" t="s">
        <v>116</v>
      </c>
      <c r="E65" s="117"/>
      <c r="F65" s="455" t="s">
        <v>117</v>
      </c>
    </row>
    <row r="66" spans="1:11" x14ac:dyDescent="0.25">
      <c r="C66" s="117"/>
      <c r="D66" s="117"/>
      <c r="E66" s="117"/>
      <c r="F66" s="1006"/>
      <c r="G66" s="1006"/>
      <c r="H66" s="1006"/>
      <c r="I66" s="117"/>
      <c r="J66" s="117"/>
      <c r="K66" s="117"/>
    </row>
    <row r="67" spans="1:11" x14ac:dyDescent="0.25">
      <c r="F67" s="117"/>
      <c r="G67" s="117"/>
      <c r="H67" s="117"/>
      <c r="I67" s="980"/>
      <c r="J67" s="980"/>
      <c r="K67" s="980"/>
    </row>
  </sheetData>
  <mergeCells count="9">
    <mergeCell ref="A1:B4"/>
    <mergeCell ref="A6:G6"/>
    <mergeCell ref="I67:K67"/>
    <mergeCell ref="F66:H66"/>
    <mergeCell ref="D62:E62"/>
    <mergeCell ref="F62:G62"/>
    <mergeCell ref="A20:B20"/>
    <mergeCell ref="A36:B36"/>
    <mergeCell ref="B65:C65"/>
  </mergeCells>
  <phoneticPr fontId="0" type="noConversion"/>
  <printOptions horizontalCentered="1" verticalCentered="1"/>
  <pageMargins left="0.78740157480314965" right="0.59055118110236227" top="0.59055118110236227" bottom="0.59055118110236227" header="0" footer="0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26B5-2FB5-4C5A-9BDB-17E5B90B9E7F}">
  <sheetPr codeName="Hoja2"/>
  <dimension ref="A1:AB68"/>
  <sheetViews>
    <sheetView view="pageBreakPreview" topLeftCell="A4" zoomScaleNormal="100" zoomScaleSheetLayoutView="100" workbookViewId="0">
      <selection activeCell="Y16" sqref="Y16"/>
    </sheetView>
  </sheetViews>
  <sheetFormatPr baseColWidth="10" defaultColWidth="11.44140625" defaultRowHeight="15" customHeight="1" x14ac:dyDescent="0.25"/>
  <cols>
    <col min="1" max="2" width="5" style="169" customWidth="1"/>
    <col min="3" max="8" width="5.6640625" style="169" customWidth="1"/>
    <col min="9" max="9" width="6.109375" style="169" customWidth="1"/>
    <col min="10" max="10" width="5.6640625" style="169" customWidth="1"/>
    <col min="11" max="11" width="7" style="169" customWidth="1"/>
    <col min="12" max="12" width="6.6640625" style="169" customWidth="1"/>
    <col min="13" max="13" width="7.5546875" style="169" customWidth="1"/>
    <col min="14" max="14" width="8.109375" style="169" customWidth="1"/>
    <col min="15" max="15" width="6.6640625" style="169" customWidth="1"/>
    <col min="16" max="25" width="5.6640625" style="169" customWidth="1"/>
    <col min="26" max="28" width="7.109375" style="169" customWidth="1"/>
    <col min="29" max="16384" width="11.44140625" style="169"/>
  </cols>
  <sheetData>
    <row r="1" spans="1:21" ht="15.75" customHeight="1" thickTop="1" x14ac:dyDescent="0.25">
      <c r="A1" s="580"/>
      <c r="B1" s="581"/>
      <c r="C1" s="581"/>
      <c r="D1" s="581"/>
      <c r="E1" s="581"/>
      <c r="F1" s="582"/>
      <c r="G1" s="582"/>
      <c r="H1" s="582"/>
      <c r="I1" s="582"/>
      <c r="J1" s="582"/>
      <c r="K1" s="582"/>
      <c r="L1" s="582"/>
      <c r="M1" s="582"/>
      <c r="N1" s="582"/>
      <c r="O1" s="598"/>
    </row>
    <row r="2" spans="1:21" ht="15.75" customHeight="1" x14ac:dyDescent="0.25">
      <c r="A2" s="583"/>
      <c r="B2" s="579"/>
      <c r="C2" s="579"/>
      <c r="D2" s="579"/>
      <c r="E2" s="579"/>
      <c r="F2" s="159"/>
      <c r="G2" s="159"/>
      <c r="H2" s="159"/>
      <c r="I2" s="159"/>
      <c r="J2" s="159"/>
      <c r="K2" s="159"/>
      <c r="L2" s="159"/>
      <c r="M2" s="159"/>
      <c r="N2" s="159"/>
      <c r="O2" s="584"/>
    </row>
    <row r="3" spans="1:21" ht="15.75" customHeight="1" x14ac:dyDescent="0.25">
      <c r="A3" s="583"/>
      <c r="B3" s="579"/>
      <c r="C3" s="579"/>
      <c r="D3" s="579"/>
      <c r="E3" s="579"/>
      <c r="F3" s="159"/>
      <c r="G3" s="159"/>
      <c r="H3" s="159"/>
      <c r="I3" s="159"/>
      <c r="J3" s="159"/>
      <c r="K3" s="159"/>
      <c r="L3" s="159"/>
      <c r="M3" s="159"/>
      <c r="N3" s="159"/>
      <c r="O3" s="584"/>
    </row>
    <row r="4" spans="1:21" ht="15.75" customHeight="1" x14ac:dyDescent="0.25">
      <c r="A4" s="583"/>
      <c r="B4" s="579"/>
      <c r="C4" s="579"/>
      <c r="D4" s="579"/>
      <c r="E4" s="579"/>
      <c r="O4" s="584"/>
    </row>
    <row r="5" spans="1:21" ht="15.75" customHeight="1" x14ac:dyDescent="0.25">
      <c r="A5" s="583"/>
      <c r="B5" s="579"/>
      <c r="C5" s="579"/>
      <c r="D5" s="579"/>
      <c r="E5" s="579"/>
      <c r="O5" s="584"/>
    </row>
    <row r="6" spans="1:21" ht="15.75" customHeight="1" thickBot="1" x14ac:dyDescent="0.3">
      <c r="A6" s="585"/>
      <c r="B6" s="212"/>
      <c r="C6" s="211"/>
      <c r="D6" s="212"/>
      <c r="E6" s="211"/>
      <c r="F6" s="211"/>
      <c r="G6" s="211"/>
      <c r="H6" s="211"/>
      <c r="I6" s="211"/>
      <c r="J6" s="211"/>
      <c r="K6" s="211"/>
      <c r="L6" s="212"/>
      <c r="M6" s="211"/>
      <c r="N6" s="211"/>
      <c r="O6" s="586"/>
    </row>
    <row r="7" spans="1:21" ht="42" customHeight="1" thickTop="1" x14ac:dyDescent="0.25">
      <c r="A7" s="1025" t="s">
        <v>118</v>
      </c>
      <c r="B7" s="1025"/>
      <c r="C7" s="1025"/>
      <c r="D7" s="1025"/>
      <c r="E7" s="1025"/>
      <c r="F7" s="1025"/>
      <c r="G7" s="1025"/>
      <c r="H7" s="1025"/>
      <c r="I7" s="1025"/>
      <c r="J7" s="1025"/>
      <c r="K7" s="1025"/>
      <c r="L7" s="1025"/>
      <c r="M7" s="1025"/>
      <c r="N7" s="1025"/>
      <c r="O7" s="1025"/>
    </row>
    <row r="8" spans="1:21" ht="15" customHeight="1" x14ac:dyDescent="0.25">
      <c r="A8" s="792" t="s">
        <v>119</v>
      </c>
      <c r="B8" s="607"/>
      <c r="C8" s="726" t="s">
        <v>38</v>
      </c>
      <c r="D8" s="793" t="s">
        <v>120</v>
      </c>
      <c r="E8" s="612"/>
      <c r="F8" s="613"/>
      <c r="G8" s="613"/>
      <c r="H8" s="612"/>
      <c r="I8" s="612"/>
      <c r="J8" s="612"/>
      <c r="K8" s="612"/>
      <c r="L8" s="593" t="s">
        <v>121</v>
      </c>
      <c r="M8" s="608"/>
      <c r="N8" s="602" t="s">
        <v>122</v>
      </c>
      <c r="O8" s="804"/>
      <c r="R8" s="169" t="s">
        <v>123</v>
      </c>
    </row>
    <row r="9" spans="1:21" ht="15" customHeight="1" x14ac:dyDescent="0.25">
      <c r="A9" s="792" t="s">
        <v>124</v>
      </c>
      <c r="B9" s="167"/>
      <c r="C9" s="172" t="s">
        <v>38</v>
      </c>
      <c r="D9" s="793" t="s">
        <v>125</v>
      </c>
      <c r="E9" s="270"/>
      <c r="F9" s="614"/>
      <c r="G9" s="614"/>
      <c r="H9" s="270"/>
      <c r="I9" s="270"/>
      <c r="J9" s="615"/>
      <c r="K9" s="616"/>
      <c r="L9" s="591" t="s">
        <v>126</v>
      </c>
      <c r="M9" s="167"/>
      <c r="N9" s="604" t="s">
        <v>127</v>
      </c>
      <c r="O9" s="273"/>
    </row>
    <row r="10" spans="1:21" ht="15" customHeight="1" x14ac:dyDescent="0.25">
      <c r="A10" s="792" t="s">
        <v>128</v>
      </c>
      <c r="B10" s="167"/>
      <c r="C10" s="172" t="s">
        <v>38</v>
      </c>
      <c r="D10" s="589" t="s">
        <v>129</v>
      </c>
      <c r="E10" s="457"/>
      <c r="F10" s="270"/>
      <c r="G10" s="270"/>
      <c r="H10" s="270"/>
      <c r="I10" s="270"/>
      <c r="J10" s="270"/>
      <c r="K10" s="270"/>
      <c r="L10" s="591" t="s">
        <v>130</v>
      </c>
      <c r="M10" s="167"/>
      <c r="N10" s="1024">
        <v>41951</v>
      </c>
      <c r="O10" s="1024"/>
      <c r="R10" s="117" t="s">
        <v>131</v>
      </c>
      <c r="S10" s="117" t="s">
        <v>132</v>
      </c>
      <c r="T10" s="213" t="s">
        <v>133</v>
      </c>
    </row>
    <row r="11" spans="1:21" ht="15" customHeight="1" x14ac:dyDescent="0.25">
      <c r="A11" s="792" t="s">
        <v>134</v>
      </c>
      <c r="B11" s="167"/>
      <c r="C11" s="172" t="s">
        <v>38</v>
      </c>
      <c r="D11" s="589" t="s">
        <v>135</v>
      </c>
      <c r="E11" s="270"/>
      <c r="F11" s="270"/>
      <c r="G11" s="270"/>
      <c r="H11" s="270"/>
      <c r="I11" s="270"/>
      <c r="J11" s="270"/>
      <c r="K11" s="270"/>
      <c r="L11" s="591" t="s">
        <v>136</v>
      </c>
      <c r="M11" s="167"/>
      <c r="N11" s="604" t="s">
        <v>137</v>
      </c>
      <c r="O11" s="273"/>
      <c r="R11" s="117">
        <v>1</v>
      </c>
      <c r="S11" s="117">
        <v>6085</v>
      </c>
      <c r="T11" s="117">
        <v>2137.0536766679343</v>
      </c>
    </row>
    <row r="12" spans="1:21" ht="15" customHeight="1" x14ac:dyDescent="0.25">
      <c r="A12" s="798" t="s">
        <v>138</v>
      </c>
      <c r="B12" s="609"/>
      <c r="C12" s="610" t="s">
        <v>38</v>
      </c>
      <c r="D12" s="805" t="s">
        <v>139</v>
      </c>
      <c r="E12" s="609"/>
      <c r="F12" s="609"/>
      <c r="G12" s="609"/>
      <c r="H12" s="609"/>
      <c r="I12" s="609"/>
      <c r="J12" s="609"/>
      <c r="K12" s="609"/>
      <c r="L12" s="609"/>
      <c r="M12" s="609"/>
      <c r="N12" s="609"/>
      <c r="O12" s="595"/>
      <c r="R12" s="117">
        <f>+R11+1</f>
        <v>2</v>
      </c>
      <c r="S12" s="117">
        <v>5411</v>
      </c>
      <c r="T12" s="117">
        <v>2134.903477389505</v>
      </c>
    </row>
    <row r="13" spans="1:21" ht="15" customHeight="1" x14ac:dyDescent="0.25">
      <c r="A13" s="617" t="s">
        <v>140</v>
      </c>
      <c r="B13" s="608"/>
      <c r="C13" s="618"/>
      <c r="D13" s="608"/>
      <c r="E13" s="608"/>
      <c r="F13" s="608"/>
      <c r="G13" s="619">
        <f>+'[4]Proctor 1'!$E$35</f>
        <v>2.2810000000000001</v>
      </c>
      <c r="H13" s="608"/>
      <c r="I13" s="620"/>
      <c r="J13" s="608"/>
      <c r="K13" s="608"/>
      <c r="L13" s="608"/>
      <c r="M13" s="608"/>
      <c r="N13" s="608"/>
      <c r="O13" s="599"/>
      <c r="R13" s="117">
        <f t="shared" ref="R13:R22" si="0">+R12+1</f>
        <v>3</v>
      </c>
      <c r="S13" s="117">
        <v>5994</v>
      </c>
      <c r="T13" s="117">
        <v>2151.090116296466</v>
      </c>
    </row>
    <row r="14" spans="1:21" ht="15" customHeight="1" x14ac:dyDescent="0.25">
      <c r="A14" s="621" t="s">
        <v>141</v>
      </c>
      <c r="B14" s="167"/>
      <c r="C14" s="167"/>
      <c r="D14" s="167"/>
      <c r="E14" s="167"/>
      <c r="F14" s="167"/>
      <c r="G14" s="232">
        <f>+'[4]Proctor 1'!$E$36</f>
        <v>6.2</v>
      </c>
      <c r="H14" s="167"/>
      <c r="I14" s="167"/>
      <c r="J14" s="167"/>
      <c r="K14" s="167"/>
      <c r="L14" s="167"/>
      <c r="M14" s="167"/>
      <c r="N14" s="167"/>
      <c r="O14" s="600"/>
      <c r="R14" s="550">
        <f t="shared" si="0"/>
        <v>4</v>
      </c>
      <c r="S14" s="117">
        <v>4961</v>
      </c>
      <c r="T14" s="117">
        <v>2144.0661532581294</v>
      </c>
    </row>
    <row r="15" spans="1:21" ht="15" customHeight="1" thickBot="1" x14ac:dyDescent="0.3">
      <c r="A15" s="622" t="s">
        <v>92</v>
      </c>
      <c r="B15" s="176"/>
      <c r="C15" s="167"/>
      <c r="D15" s="167"/>
      <c r="E15" s="167"/>
      <c r="F15" s="167"/>
      <c r="G15" s="172"/>
      <c r="H15" s="172"/>
      <c r="I15" s="233" t="s">
        <v>101</v>
      </c>
      <c r="J15" s="233"/>
      <c r="K15" s="233"/>
      <c r="L15" s="233"/>
      <c r="M15" s="233"/>
      <c r="N15" s="233"/>
      <c r="O15" s="623"/>
      <c r="Q15" s="178"/>
      <c r="R15" s="117">
        <f t="shared" si="0"/>
        <v>5</v>
      </c>
      <c r="S15" s="117">
        <v>4863</v>
      </c>
      <c r="T15" s="117">
        <v>2151.090116296466</v>
      </c>
    </row>
    <row r="16" spans="1:21" s="178" customFormat="1" ht="15" customHeight="1" x14ac:dyDescent="0.25">
      <c r="A16" s="1019" t="s">
        <v>142</v>
      </c>
      <c r="B16" s="1008"/>
      <c r="C16" s="1019"/>
      <c r="D16" s="1019"/>
      <c r="E16" s="747">
        <v>15</v>
      </c>
      <c r="F16" s="747">
        <v>10</v>
      </c>
      <c r="G16" s="748">
        <v>32</v>
      </c>
      <c r="H16" s="167"/>
      <c r="I16" s="1007" t="s">
        <v>102</v>
      </c>
      <c r="J16" s="1030"/>
      <c r="K16" s="1008"/>
      <c r="L16" s="271"/>
      <c r="M16" s="271"/>
      <c r="N16" s="423"/>
      <c r="O16" s="624"/>
      <c r="R16" s="117">
        <f t="shared" si="0"/>
        <v>6</v>
      </c>
      <c r="S16" s="117">
        <v>5197</v>
      </c>
      <c r="T16" s="117">
        <v>2144.0661532581294</v>
      </c>
      <c r="U16" s="169"/>
    </row>
    <row r="17" spans="1:28" s="178" customFormat="1" ht="15" customHeight="1" x14ac:dyDescent="0.25">
      <c r="A17" s="1020" t="s">
        <v>94</v>
      </c>
      <c r="B17" s="1010"/>
      <c r="C17" s="1020"/>
      <c r="D17" s="1020"/>
      <c r="E17" s="235">
        <v>5</v>
      </c>
      <c r="F17" s="235">
        <v>5</v>
      </c>
      <c r="G17" s="236">
        <v>5</v>
      </c>
      <c r="H17" s="167"/>
      <c r="I17" s="1009" t="s">
        <v>143</v>
      </c>
      <c r="J17" s="1027"/>
      <c r="K17" s="1010"/>
      <c r="L17" s="751">
        <v>516.29999999999995</v>
      </c>
      <c r="M17" s="751">
        <v>516.29999999999995</v>
      </c>
      <c r="N17" s="752">
        <v>516.29999999999995</v>
      </c>
      <c r="O17" s="624"/>
      <c r="R17" s="117">
        <f t="shared" si="0"/>
        <v>7</v>
      </c>
      <c r="S17" s="117">
        <v>4937</v>
      </c>
      <c r="T17" s="117">
        <v>2144.0661532581294</v>
      </c>
      <c r="U17" s="169"/>
    </row>
    <row r="18" spans="1:28" s="178" customFormat="1" ht="15" customHeight="1" x14ac:dyDescent="0.25">
      <c r="A18" s="1020" t="s">
        <v>95</v>
      </c>
      <c r="B18" s="1010"/>
      <c r="C18" s="1020"/>
      <c r="D18" s="1020"/>
      <c r="E18" s="448">
        <v>56</v>
      </c>
      <c r="F18" s="235">
        <v>25</v>
      </c>
      <c r="G18" s="236">
        <v>12</v>
      </c>
      <c r="H18" s="167"/>
      <c r="I18" s="1009" t="s">
        <v>144</v>
      </c>
      <c r="J18" s="1027"/>
      <c r="K18" s="1010"/>
      <c r="L18" s="751">
        <v>485.7</v>
      </c>
      <c r="M18" s="751">
        <v>485.7</v>
      </c>
      <c r="N18" s="752">
        <f>+M18</f>
        <v>485.7</v>
      </c>
      <c r="O18" s="624"/>
      <c r="R18" s="117">
        <f t="shared" si="0"/>
        <v>8</v>
      </c>
      <c r="S18" s="117">
        <v>5250</v>
      </c>
      <c r="T18" s="117">
        <v>2144.0661532581294</v>
      </c>
      <c r="U18" s="169"/>
    </row>
    <row r="19" spans="1:28" s="178" customFormat="1" ht="15" customHeight="1" x14ac:dyDescent="0.25">
      <c r="A19" s="1020" t="s">
        <v>96</v>
      </c>
      <c r="B19" s="1010"/>
      <c r="C19" s="1020"/>
      <c r="D19" s="1020"/>
      <c r="E19" s="749">
        <v>12341</v>
      </c>
      <c r="F19" s="749">
        <v>12265</v>
      </c>
      <c r="G19" s="750">
        <v>12671</v>
      </c>
      <c r="H19" s="167"/>
      <c r="I19" s="1009" t="s">
        <v>105</v>
      </c>
      <c r="J19" s="1027"/>
      <c r="K19" s="1010"/>
      <c r="L19" s="229">
        <f>+L17-L18</f>
        <v>30.599999999999966</v>
      </c>
      <c r="M19" s="229">
        <f>+M17-M18</f>
        <v>30.599999999999966</v>
      </c>
      <c r="N19" s="424">
        <f>+N17-N18</f>
        <v>30.599999999999966</v>
      </c>
      <c r="O19" s="624"/>
      <c r="R19" s="117">
        <f t="shared" si="0"/>
        <v>9</v>
      </c>
      <c r="S19" s="117">
        <v>4972</v>
      </c>
      <c r="T19" s="117">
        <v>2146.1863846878832</v>
      </c>
      <c r="U19" s="169"/>
      <c r="AA19" s="278"/>
    </row>
    <row r="20" spans="1:28" s="178" customFormat="1" ht="15" customHeight="1" x14ac:dyDescent="0.25">
      <c r="A20" s="1020" t="s">
        <v>97</v>
      </c>
      <c r="B20" s="1010"/>
      <c r="C20" s="1020"/>
      <c r="D20" s="1020"/>
      <c r="E20" s="749">
        <v>7078</v>
      </c>
      <c r="F20" s="749">
        <v>7202</v>
      </c>
      <c r="G20" s="750">
        <v>7816</v>
      </c>
      <c r="H20" s="167"/>
      <c r="I20" s="1009" t="s">
        <v>106</v>
      </c>
      <c r="J20" s="1027"/>
      <c r="K20" s="1010"/>
      <c r="L20" s="229"/>
      <c r="M20" s="229"/>
      <c r="N20" s="424"/>
      <c r="O20" s="624"/>
      <c r="R20" s="117">
        <f t="shared" si="0"/>
        <v>10</v>
      </c>
      <c r="S20" s="237">
        <v>5257</v>
      </c>
      <c r="T20" s="237">
        <v>2137.0536766679343</v>
      </c>
    </row>
    <row r="21" spans="1:28" s="178" customFormat="1" ht="15" customHeight="1" x14ac:dyDescent="0.25">
      <c r="A21" s="1020" t="s">
        <v>98</v>
      </c>
      <c r="B21" s="1010"/>
      <c r="C21" s="1020"/>
      <c r="D21" s="1020"/>
      <c r="E21" s="235">
        <f>+E19-E20</f>
        <v>5263</v>
      </c>
      <c r="F21" s="235">
        <f>+F19-F20</f>
        <v>5063</v>
      </c>
      <c r="G21" s="236">
        <f>+G19-G20</f>
        <v>4855</v>
      </c>
      <c r="H21" s="167"/>
      <c r="I21" s="1009" t="s">
        <v>107</v>
      </c>
      <c r="J21" s="1027"/>
      <c r="K21" s="1010"/>
      <c r="L21" s="229">
        <f>+L18-L20</f>
        <v>485.7</v>
      </c>
      <c r="M21" s="229">
        <f>+M18-M20</f>
        <v>485.7</v>
      </c>
      <c r="N21" s="424">
        <f>+N18-N20</f>
        <v>485.7</v>
      </c>
      <c r="O21" s="625">
        <f>+G13*0.95</f>
        <v>2.1669499999999999</v>
      </c>
      <c r="R21" s="117">
        <f t="shared" si="0"/>
        <v>11</v>
      </c>
      <c r="S21" s="237">
        <v>5100</v>
      </c>
      <c r="T21" s="237">
        <v>2144.0661532581294</v>
      </c>
    </row>
    <row r="22" spans="1:28" s="178" customFormat="1" ht="15" customHeight="1" x14ac:dyDescent="0.25">
      <c r="A22" s="1020" t="s">
        <v>145</v>
      </c>
      <c r="B22" s="1010"/>
      <c r="C22" s="1020"/>
      <c r="D22" s="1020"/>
      <c r="E22" s="749">
        <v>2161</v>
      </c>
      <c r="F22" s="749">
        <v>2163</v>
      </c>
      <c r="G22" s="750">
        <v>2175</v>
      </c>
      <c r="H22" s="167"/>
      <c r="I22" s="1009" t="s">
        <v>101</v>
      </c>
      <c r="J22" s="1027"/>
      <c r="K22" s="1010"/>
      <c r="L22" s="230">
        <f>+L19/L21*100</f>
        <v>6.3001852995676275</v>
      </c>
      <c r="M22" s="230">
        <f>+M19/M21*100</f>
        <v>6.3001852995676275</v>
      </c>
      <c r="N22" s="425">
        <f>+N19/N21*100</f>
        <v>6.3001852995676275</v>
      </c>
      <c r="O22" s="624"/>
      <c r="R22" s="117">
        <f t="shared" si="0"/>
        <v>12</v>
      </c>
      <c r="S22" s="237">
        <v>4842</v>
      </c>
      <c r="T22" s="237">
        <v>2165.1725017175618</v>
      </c>
    </row>
    <row r="23" spans="1:28" s="178" customFormat="1" ht="15" customHeight="1" thickBot="1" x14ac:dyDescent="0.3">
      <c r="A23" s="1022" t="s">
        <v>146</v>
      </c>
      <c r="B23" s="1023"/>
      <c r="C23" s="1022"/>
      <c r="D23" s="1022"/>
      <c r="E23" s="238">
        <f>+E21/E22</f>
        <v>2.4354465525219804</v>
      </c>
      <c r="F23" s="238">
        <f>+F21/F22</f>
        <v>2.3407304669440592</v>
      </c>
      <c r="G23" s="239">
        <f>+G21/G22</f>
        <v>2.2321839080459771</v>
      </c>
      <c r="H23" s="167"/>
      <c r="I23" s="1028" t="s">
        <v>108</v>
      </c>
      <c r="J23" s="1029"/>
      <c r="K23" s="1023"/>
      <c r="L23" s="240">
        <f>+E23/(1+L22/100)</f>
        <v>2.2911028288977842</v>
      </c>
      <c r="M23" s="240">
        <f>+F23/(1+M22/100)</f>
        <v>2.2020003637318029</v>
      </c>
      <c r="N23" s="241">
        <f>+G23/(1+N22/100)</f>
        <v>2.0998871279061229</v>
      </c>
      <c r="O23" s="624"/>
      <c r="R23" s="178">
        <v>100</v>
      </c>
      <c r="S23" s="178">
        <v>6286</v>
      </c>
      <c r="T23" s="178">
        <v>2063</v>
      </c>
    </row>
    <row r="24" spans="1:28" s="178" customFormat="1" ht="15" customHeight="1" x14ac:dyDescent="0.25">
      <c r="A24" s="621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200"/>
      <c r="M24" s="463">
        <f>+L23-M23</f>
        <v>8.9102465165981304E-2</v>
      </c>
      <c r="N24" s="463">
        <f>+M23-N23</f>
        <v>0.10211323582567999</v>
      </c>
      <c r="O24" s="624"/>
      <c r="R24" s="178">
        <v>101</v>
      </c>
      <c r="S24" s="178">
        <v>7492</v>
      </c>
      <c r="T24" s="178">
        <v>2180</v>
      </c>
    </row>
    <row r="25" spans="1:28" s="178" customFormat="1" ht="15" customHeight="1" x14ac:dyDescent="0.25">
      <c r="A25" s="1032" t="s">
        <v>147</v>
      </c>
      <c r="B25" s="1033"/>
      <c r="C25" s="1033"/>
      <c r="D25" s="1033"/>
      <c r="E25" s="1033"/>
      <c r="F25" s="1033"/>
      <c r="G25" s="1033"/>
      <c r="H25" s="1033"/>
      <c r="I25" s="1033"/>
      <c r="J25" s="167"/>
      <c r="K25" s="167"/>
      <c r="L25" s="167"/>
      <c r="M25" s="426"/>
      <c r="N25" s="426"/>
      <c r="O25" s="624"/>
      <c r="R25" s="178">
        <v>102</v>
      </c>
      <c r="S25" s="178">
        <v>6279</v>
      </c>
      <c r="T25" s="178">
        <v>2103</v>
      </c>
    </row>
    <row r="26" spans="1:28" s="178" customFormat="1" ht="15" customHeight="1" x14ac:dyDescent="0.25">
      <c r="A26" s="1012" t="s">
        <v>148</v>
      </c>
      <c r="B26" s="1013"/>
      <c r="C26" s="227" t="s">
        <v>149</v>
      </c>
      <c r="D26" s="1012" t="str">
        <f>+$A$56&amp;" "&amp;C56</f>
        <v>Molde 15</v>
      </c>
      <c r="E26" s="1013"/>
      <c r="F26" s="1012" t="str">
        <f>+$A$56&amp;" "&amp;D56</f>
        <v>Molde 10</v>
      </c>
      <c r="G26" s="1013"/>
      <c r="H26" s="1012" t="str">
        <f>+$A$56&amp;" "&amp;E56</f>
        <v>Molde 32</v>
      </c>
      <c r="I26" s="1013"/>
      <c r="J26" s="167"/>
      <c r="K26" s="167"/>
      <c r="L26" s="167"/>
      <c r="M26" s="167"/>
      <c r="N26" s="167"/>
      <c r="O26" s="624"/>
    </row>
    <row r="27" spans="1:28" s="178" customFormat="1" ht="15" customHeight="1" x14ac:dyDescent="0.25">
      <c r="A27" s="1021" t="s">
        <v>150</v>
      </c>
      <c r="B27" s="1021" t="s">
        <v>151</v>
      </c>
      <c r="C27" s="228" t="s">
        <v>152</v>
      </c>
      <c r="D27" s="1014" t="s">
        <v>153</v>
      </c>
      <c r="E27" s="228" t="s">
        <v>149</v>
      </c>
      <c r="F27" s="1014" t="s">
        <v>153</v>
      </c>
      <c r="G27" s="228" t="s">
        <v>149</v>
      </c>
      <c r="H27" s="1014" t="s">
        <v>153</v>
      </c>
      <c r="I27" s="228" t="s">
        <v>149</v>
      </c>
      <c r="J27" s="167"/>
      <c r="K27" s="176" t="s">
        <v>154</v>
      </c>
      <c r="L27" s="167"/>
      <c r="M27" s="167"/>
      <c r="N27" s="167"/>
      <c r="O27" s="624"/>
      <c r="R27" s="117">
        <v>1</v>
      </c>
      <c r="S27" s="178">
        <f t="shared" ref="S27:S41" si="1">+IF($E$16=R11,S11,0)</f>
        <v>0</v>
      </c>
      <c r="T27" s="178">
        <f t="shared" ref="T27:T41" si="2">+IF($E$16=R11,T11,0)</f>
        <v>0</v>
      </c>
      <c r="U27" s="178">
        <f t="shared" ref="U27:U41" si="3">+IF($F$16=R11,S11,0)</f>
        <v>0</v>
      </c>
      <c r="V27" s="178">
        <f t="shared" ref="V27:V41" si="4">+IF($F$16=R11,T11,0)</f>
        <v>0</v>
      </c>
      <c r="W27" s="178">
        <f t="shared" ref="W27:W41" si="5">+IF($G$16=R11,S11,0)</f>
        <v>0</v>
      </c>
      <c r="X27" s="178">
        <f t="shared" ref="X27:X41" si="6">+IF($G$16=R11,T11,0)</f>
        <v>0</v>
      </c>
    </row>
    <row r="28" spans="1:28" s="178" customFormat="1" ht="15" customHeight="1" x14ac:dyDescent="0.25">
      <c r="A28" s="1015"/>
      <c r="B28" s="1015"/>
      <c r="C28" s="164" t="s">
        <v>155</v>
      </c>
      <c r="D28" s="1015"/>
      <c r="E28" s="164" t="s">
        <v>155</v>
      </c>
      <c r="F28" s="1015"/>
      <c r="G28" s="164" t="s">
        <v>155</v>
      </c>
      <c r="H28" s="1015"/>
      <c r="I28" s="164" t="s">
        <v>155</v>
      </c>
      <c r="J28" s="167"/>
      <c r="K28" s="167"/>
      <c r="L28" s="167"/>
      <c r="M28" s="167"/>
      <c r="N28" s="167"/>
      <c r="O28" s="624"/>
      <c r="R28" s="117">
        <f>+R27+1</f>
        <v>2</v>
      </c>
      <c r="S28" s="178">
        <f t="shared" si="1"/>
        <v>0</v>
      </c>
      <c r="T28" s="178">
        <f t="shared" si="2"/>
        <v>0</v>
      </c>
      <c r="U28" s="178">
        <f t="shared" si="3"/>
        <v>0</v>
      </c>
      <c r="V28" s="178">
        <f t="shared" si="4"/>
        <v>0</v>
      </c>
      <c r="W28" s="178">
        <f t="shared" si="5"/>
        <v>0</v>
      </c>
      <c r="X28" s="178">
        <f t="shared" si="6"/>
        <v>0</v>
      </c>
    </row>
    <row r="29" spans="1:28" s="178" customFormat="1" ht="15" customHeight="1" x14ac:dyDescent="0.25">
      <c r="A29" s="229">
        <v>0.25</v>
      </c>
      <c r="B29" s="229">
        <f>+A29*2.54</f>
        <v>0.63500000000000001</v>
      </c>
      <c r="C29" s="235"/>
      <c r="D29" s="753">
        <v>51</v>
      </c>
      <c r="E29" s="185">
        <f t="shared" ref="E29:E36" si="7">(E$63+E$64*D29+E$65*D29*D29)/F$68</f>
        <v>12.066463870495873</v>
      </c>
      <c r="F29" s="753">
        <v>36</v>
      </c>
      <c r="G29" s="185">
        <f t="shared" ref="G29:G36" si="8">(E$63+E$64*F29+E$65*F29*F29)/F$68</f>
        <v>8.3538746216301689</v>
      </c>
      <c r="H29" s="753">
        <v>20</v>
      </c>
      <c r="I29" s="185">
        <f t="shared" ref="I29:I36" si="9">(E$63+E$64*H29+E$65*H29*H29)/F$68</f>
        <v>4.3918872956725279</v>
      </c>
      <c r="J29" s="426">
        <f>+H32/F32</f>
        <v>0.69346733668341709</v>
      </c>
      <c r="K29" s="1014" t="s">
        <v>17</v>
      </c>
      <c r="L29" s="1012" t="s">
        <v>156</v>
      </c>
      <c r="M29" s="1031"/>
      <c r="N29" s="1013"/>
      <c r="O29" s="624"/>
      <c r="R29" s="117">
        <f t="shared" ref="R29:R38" si="10">+R28+1</f>
        <v>3</v>
      </c>
      <c r="S29" s="178">
        <f t="shared" si="1"/>
        <v>0</v>
      </c>
      <c r="T29" s="178">
        <f t="shared" si="2"/>
        <v>0</v>
      </c>
      <c r="U29" s="178">
        <f t="shared" si="3"/>
        <v>0</v>
      </c>
      <c r="V29" s="178">
        <f t="shared" si="4"/>
        <v>0</v>
      </c>
      <c r="W29" s="178">
        <f t="shared" si="5"/>
        <v>0</v>
      </c>
      <c r="X29" s="178">
        <f t="shared" si="6"/>
        <v>0</v>
      </c>
    </row>
    <row r="30" spans="1:28" s="178" customFormat="1" ht="15" customHeight="1" x14ac:dyDescent="0.25">
      <c r="A30" s="229">
        <v>0.5</v>
      </c>
      <c r="B30" s="229">
        <f>+A30*2.54</f>
        <v>1.27</v>
      </c>
      <c r="C30" s="235"/>
      <c r="D30" s="753">
        <v>140</v>
      </c>
      <c r="E30" s="185">
        <f t="shared" si="7"/>
        <v>34.059183879364682</v>
      </c>
      <c r="F30" s="753">
        <v>96</v>
      </c>
      <c r="G30" s="185">
        <f t="shared" si="8"/>
        <v>23.193931731301845</v>
      </c>
      <c r="H30" s="753">
        <v>66</v>
      </c>
      <c r="I30" s="185">
        <f t="shared" si="9"/>
        <v>15.777336471729724</v>
      </c>
      <c r="J30" s="167"/>
      <c r="K30" s="1015"/>
      <c r="L30" s="422">
        <f>+E16</f>
        <v>15</v>
      </c>
      <c r="M30" s="422">
        <f>+F16</f>
        <v>10</v>
      </c>
      <c r="N30" s="165">
        <f>+G16</f>
        <v>32</v>
      </c>
      <c r="O30" s="624"/>
      <c r="R30" s="117">
        <f t="shared" si="10"/>
        <v>4</v>
      </c>
      <c r="S30" s="178">
        <f t="shared" si="1"/>
        <v>0</v>
      </c>
      <c r="T30" s="178">
        <f t="shared" si="2"/>
        <v>0</v>
      </c>
      <c r="U30" s="178">
        <f t="shared" si="3"/>
        <v>0</v>
      </c>
      <c r="V30" s="178">
        <f t="shared" si="4"/>
        <v>0</v>
      </c>
      <c r="W30" s="178">
        <f t="shared" si="5"/>
        <v>0</v>
      </c>
      <c r="X30" s="178">
        <f t="shared" si="6"/>
        <v>0</v>
      </c>
      <c r="Z30" s="640" t="s">
        <v>157</v>
      </c>
      <c r="AA30" s="641"/>
      <c r="AB30" s="641"/>
    </row>
    <row r="31" spans="1:28" s="178" customFormat="1" ht="15" customHeight="1" x14ac:dyDescent="0.25">
      <c r="A31" s="229">
        <v>0.75</v>
      </c>
      <c r="B31" s="229">
        <f t="shared" ref="B31:B40" si="11">+A31*2.54</f>
        <v>1.905</v>
      </c>
      <c r="C31" s="235"/>
      <c r="D31" s="753">
        <v>226</v>
      </c>
      <c r="E31" s="185">
        <f t="shared" si="7"/>
        <v>55.253163921130756</v>
      </c>
      <c r="F31" s="753">
        <v>152</v>
      </c>
      <c r="G31" s="185">
        <f t="shared" si="8"/>
        <v>37.019870938069758</v>
      </c>
      <c r="H31" s="753">
        <v>109</v>
      </c>
      <c r="I31" s="185">
        <f t="shared" si="9"/>
        <v>26.405657219280414</v>
      </c>
      <c r="J31" s="167"/>
      <c r="K31" s="794">
        <f>+N10</f>
        <v>41951</v>
      </c>
      <c r="L31" s="795">
        <v>0</v>
      </c>
      <c r="M31" s="795">
        <v>0</v>
      </c>
      <c r="N31" s="795">
        <v>0</v>
      </c>
      <c r="O31" s="624"/>
      <c r="R31" s="117">
        <f t="shared" si="10"/>
        <v>5</v>
      </c>
      <c r="S31" s="178">
        <f t="shared" si="1"/>
        <v>0</v>
      </c>
      <c r="T31" s="178">
        <f t="shared" si="2"/>
        <v>0</v>
      </c>
      <c r="U31" s="178">
        <f t="shared" si="3"/>
        <v>0</v>
      </c>
      <c r="V31" s="178">
        <f t="shared" si="4"/>
        <v>0</v>
      </c>
      <c r="W31" s="178">
        <f t="shared" si="5"/>
        <v>0</v>
      </c>
      <c r="X31" s="178">
        <f t="shared" si="6"/>
        <v>0</v>
      </c>
      <c r="Z31" s="641"/>
      <c r="AA31" s="641"/>
      <c r="AB31" s="641"/>
    </row>
    <row r="32" spans="1:28" ht="15" customHeight="1" x14ac:dyDescent="0.25">
      <c r="A32" s="229">
        <v>1</v>
      </c>
      <c r="B32" s="229">
        <f t="shared" si="11"/>
        <v>2.54</v>
      </c>
      <c r="C32" s="235">
        <v>70</v>
      </c>
      <c r="D32" s="753">
        <v>296</v>
      </c>
      <c r="E32" s="185">
        <f t="shared" si="7"/>
        <v>72.462420592748401</v>
      </c>
      <c r="F32" s="753">
        <v>199</v>
      </c>
      <c r="G32" s="185">
        <f t="shared" si="8"/>
        <v>48.605316887146564</v>
      </c>
      <c r="H32" s="753">
        <v>138</v>
      </c>
      <c r="I32" s="185">
        <f t="shared" si="9"/>
        <v>33.565629222616735</v>
      </c>
      <c r="J32" s="167"/>
      <c r="K32" s="794">
        <f>+K31+1</f>
        <v>41952</v>
      </c>
      <c r="L32" s="795">
        <f t="shared" ref="L32:N35" si="12">+Z33/1000</f>
        <v>0</v>
      </c>
      <c r="M32" s="795">
        <f t="shared" si="12"/>
        <v>1E-3</v>
      </c>
      <c r="N32" s="795">
        <f t="shared" si="12"/>
        <v>3.0000000000000001E-3</v>
      </c>
      <c r="O32" s="600"/>
      <c r="R32" s="117">
        <f t="shared" si="10"/>
        <v>6</v>
      </c>
      <c r="S32" s="178">
        <f t="shared" si="1"/>
        <v>0</v>
      </c>
      <c r="T32" s="178">
        <f t="shared" si="2"/>
        <v>0</v>
      </c>
      <c r="U32" s="178">
        <f t="shared" si="3"/>
        <v>0</v>
      </c>
      <c r="V32" s="178">
        <f t="shared" si="4"/>
        <v>0</v>
      </c>
      <c r="W32" s="178">
        <f t="shared" si="5"/>
        <v>0</v>
      </c>
      <c r="X32" s="178">
        <f t="shared" si="6"/>
        <v>0</v>
      </c>
      <c r="Y32" s="178"/>
      <c r="Z32" s="642">
        <v>0</v>
      </c>
      <c r="AA32" s="642">
        <v>0</v>
      </c>
      <c r="AB32" s="642">
        <v>0</v>
      </c>
    </row>
    <row r="33" spans="1:28" ht="15" customHeight="1" x14ac:dyDescent="0.25">
      <c r="A33" s="229">
        <v>1.5</v>
      </c>
      <c r="B33" s="229">
        <f t="shared" si="11"/>
        <v>3.81</v>
      </c>
      <c r="C33" s="235"/>
      <c r="D33" s="753">
        <v>412</v>
      </c>
      <c r="E33" s="185">
        <f t="shared" si="7"/>
        <v>100.89830983106884</v>
      </c>
      <c r="F33" s="753">
        <v>276</v>
      </c>
      <c r="G33" s="185">
        <f t="shared" si="8"/>
        <v>67.549304887658593</v>
      </c>
      <c r="H33" s="753">
        <v>186</v>
      </c>
      <c r="I33" s="185">
        <f t="shared" si="9"/>
        <v>45.402517966853651</v>
      </c>
      <c r="J33" s="167"/>
      <c r="K33" s="794">
        <f>+K32+1</f>
        <v>41953</v>
      </c>
      <c r="L33" s="795">
        <f t="shared" si="12"/>
        <v>0</v>
      </c>
      <c r="M33" s="795">
        <f t="shared" si="12"/>
        <v>1E-3</v>
      </c>
      <c r="N33" s="795">
        <f t="shared" si="12"/>
        <v>3.0000000000000001E-3</v>
      </c>
      <c r="O33" s="600"/>
      <c r="R33" s="117">
        <f t="shared" si="10"/>
        <v>7</v>
      </c>
      <c r="S33" s="178">
        <f t="shared" si="1"/>
        <v>0</v>
      </c>
      <c r="T33" s="178">
        <f t="shared" si="2"/>
        <v>0</v>
      </c>
      <c r="U33" s="178">
        <f t="shared" si="3"/>
        <v>0</v>
      </c>
      <c r="V33" s="178">
        <f t="shared" si="4"/>
        <v>0</v>
      </c>
      <c r="W33" s="178">
        <f t="shared" si="5"/>
        <v>0</v>
      </c>
      <c r="X33" s="178">
        <f t="shared" si="6"/>
        <v>0</v>
      </c>
      <c r="Z33" s="643">
        <v>0</v>
      </c>
      <c r="AA33" s="643">
        <v>1</v>
      </c>
      <c r="AB33" s="643">
        <v>3</v>
      </c>
    </row>
    <row r="34" spans="1:28" ht="15" customHeight="1" x14ac:dyDescent="0.25">
      <c r="A34" s="229">
        <v>2</v>
      </c>
      <c r="B34" s="229">
        <f t="shared" si="11"/>
        <v>5.08</v>
      </c>
      <c r="C34" s="235">
        <v>104</v>
      </c>
      <c r="D34" s="753">
        <v>529</v>
      </c>
      <c r="E34" s="185">
        <f t="shared" si="7"/>
        <v>129.47534153204381</v>
      </c>
      <c r="F34" s="753">
        <v>355</v>
      </c>
      <c r="G34" s="185">
        <f t="shared" si="8"/>
        <v>86.938331268069774</v>
      </c>
      <c r="H34" s="753">
        <v>249</v>
      </c>
      <c r="I34" s="185">
        <f t="shared" si="9"/>
        <v>60.911757739465536</v>
      </c>
      <c r="J34" s="242"/>
      <c r="K34" s="794">
        <f>+K33+1</f>
        <v>41954</v>
      </c>
      <c r="L34" s="795">
        <f t="shared" si="12"/>
        <v>0</v>
      </c>
      <c r="M34" s="795">
        <f t="shared" si="12"/>
        <v>1E-3</v>
      </c>
      <c r="N34" s="795">
        <f t="shared" si="12"/>
        <v>3.0000000000000001E-3</v>
      </c>
      <c r="O34" s="600"/>
      <c r="R34" s="117">
        <f t="shared" si="10"/>
        <v>8</v>
      </c>
      <c r="S34" s="178">
        <f t="shared" si="1"/>
        <v>0</v>
      </c>
      <c r="T34" s="178">
        <f t="shared" si="2"/>
        <v>0</v>
      </c>
      <c r="U34" s="178">
        <f t="shared" si="3"/>
        <v>0</v>
      </c>
      <c r="V34" s="178">
        <f t="shared" si="4"/>
        <v>0</v>
      </c>
      <c r="W34" s="178">
        <f t="shared" si="5"/>
        <v>0</v>
      </c>
      <c r="X34" s="178">
        <f t="shared" si="6"/>
        <v>0</v>
      </c>
      <c r="Z34" s="643">
        <v>0</v>
      </c>
      <c r="AA34" s="643">
        <v>1</v>
      </c>
      <c r="AB34" s="643">
        <v>3</v>
      </c>
    </row>
    <row r="35" spans="1:28" ht="15" customHeight="1" x14ac:dyDescent="0.25">
      <c r="A35" s="229">
        <v>2.5</v>
      </c>
      <c r="B35" s="229">
        <f t="shared" si="11"/>
        <v>6.35</v>
      </c>
      <c r="C35" s="235"/>
      <c r="D35" s="753">
        <v>662</v>
      </c>
      <c r="E35" s="185">
        <f t="shared" si="7"/>
        <v>161.83350219402899</v>
      </c>
      <c r="F35" s="753">
        <v>448</v>
      </c>
      <c r="G35" s="185">
        <f t="shared" si="8"/>
        <v>109.70236653879252</v>
      </c>
      <c r="H35" s="753">
        <v>296</v>
      </c>
      <c r="I35" s="185">
        <f t="shared" si="9"/>
        <v>72.462420592748401</v>
      </c>
      <c r="J35" s="167"/>
      <c r="K35" s="754">
        <f>+K34+1</f>
        <v>41955</v>
      </c>
      <c r="L35" s="755">
        <f t="shared" si="12"/>
        <v>0</v>
      </c>
      <c r="M35" s="755">
        <f t="shared" si="12"/>
        <v>2E-3</v>
      </c>
      <c r="N35" s="755">
        <f t="shared" si="12"/>
        <v>3.0000000000000001E-3</v>
      </c>
      <c r="O35" s="600"/>
      <c r="R35" s="117">
        <f t="shared" si="10"/>
        <v>9</v>
      </c>
      <c r="S35" s="178">
        <f t="shared" si="1"/>
        <v>0</v>
      </c>
      <c r="T35" s="178">
        <f t="shared" si="2"/>
        <v>0</v>
      </c>
      <c r="U35" s="178">
        <f t="shared" si="3"/>
        <v>0</v>
      </c>
      <c r="V35" s="178">
        <f t="shared" si="4"/>
        <v>0</v>
      </c>
      <c r="W35" s="178">
        <f t="shared" si="5"/>
        <v>0</v>
      </c>
      <c r="X35" s="178">
        <f t="shared" si="6"/>
        <v>0</v>
      </c>
      <c r="Z35" s="643">
        <v>0</v>
      </c>
      <c r="AA35" s="643">
        <v>1</v>
      </c>
      <c r="AB35" s="643">
        <v>3</v>
      </c>
    </row>
    <row r="36" spans="1:28" ht="15" customHeight="1" x14ac:dyDescent="0.25">
      <c r="A36" s="229">
        <v>3</v>
      </c>
      <c r="B36" s="229">
        <f t="shared" si="11"/>
        <v>7.62</v>
      </c>
      <c r="C36" s="235"/>
      <c r="D36" s="753">
        <v>761</v>
      </c>
      <c r="E36" s="185">
        <f t="shared" si="7"/>
        <v>185.83203416458724</v>
      </c>
      <c r="F36" s="753">
        <v>516</v>
      </c>
      <c r="G36" s="185">
        <f t="shared" si="8"/>
        <v>126.30527335993165</v>
      </c>
      <c r="H36" s="753">
        <v>352</v>
      </c>
      <c r="I36" s="185">
        <f t="shared" si="9"/>
        <v>86.202908895174986</v>
      </c>
      <c r="J36" s="167"/>
      <c r="K36" s="796" t="s">
        <v>158</v>
      </c>
      <c r="L36" s="797">
        <f>+(L35-L31)/4.7*100</f>
        <v>0</v>
      </c>
      <c r="M36" s="797">
        <f>+(M35-M31)/4.7*100</f>
        <v>4.2553191489361701E-2</v>
      </c>
      <c r="N36" s="797">
        <f>+(N35-N31)/4.7*100</f>
        <v>6.3829787234042548E-2</v>
      </c>
      <c r="O36" s="600"/>
      <c r="R36" s="117">
        <f t="shared" si="10"/>
        <v>10</v>
      </c>
      <c r="S36" s="178">
        <f t="shared" si="1"/>
        <v>0</v>
      </c>
      <c r="T36" s="178">
        <f t="shared" si="2"/>
        <v>0</v>
      </c>
      <c r="U36" s="178">
        <f t="shared" si="3"/>
        <v>5257</v>
      </c>
      <c r="V36" s="178">
        <f t="shared" si="4"/>
        <v>2137.0536766679343</v>
      </c>
      <c r="W36" s="178">
        <f t="shared" si="5"/>
        <v>0</v>
      </c>
      <c r="X36" s="178">
        <f t="shared" si="6"/>
        <v>0</v>
      </c>
      <c r="Z36" s="643">
        <v>0</v>
      </c>
      <c r="AA36" s="643">
        <v>2</v>
      </c>
      <c r="AB36" s="643">
        <v>3</v>
      </c>
    </row>
    <row r="37" spans="1:28" ht="15" customHeight="1" x14ac:dyDescent="0.25">
      <c r="A37" s="229">
        <v>3.5</v>
      </c>
      <c r="B37" s="229">
        <f t="shared" si="11"/>
        <v>8.89</v>
      </c>
      <c r="C37" s="235"/>
      <c r="D37" s="374"/>
      <c r="E37" s="185"/>
      <c r="F37" s="373"/>
      <c r="G37" s="185"/>
      <c r="H37" s="374"/>
      <c r="I37" s="185"/>
      <c r="J37" s="167"/>
      <c r="K37" s="167"/>
      <c r="L37" s="167"/>
      <c r="M37" s="167"/>
      <c r="N37" s="167"/>
      <c r="O37" s="600"/>
      <c r="R37" s="117">
        <f t="shared" si="10"/>
        <v>11</v>
      </c>
      <c r="S37" s="178">
        <f t="shared" si="1"/>
        <v>0</v>
      </c>
      <c r="T37" s="178">
        <f t="shared" si="2"/>
        <v>0</v>
      </c>
      <c r="U37" s="178">
        <f t="shared" si="3"/>
        <v>0</v>
      </c>
      <c r="V37" s="178">
        <f t="shared" si="4"/>
        <v>0</v>
      </c>
      <c r="W37" s="178">
        <f t="shared" si="5"/>
        <v>0</v>
      </c>
      <c r="X37" s="178">
        <f t="shared" si="6"/>
        <v>0</v>
      </c>
    </row>
    <row r="38" spans="1:28" ht="15" customHeight="1" x14ac:dyDescent="0.25">
      <c r="A38" s="229">
        <v>4</v>
      </c>
      <c r="B38" s="229">
        <f t="shared" si="11"/>
        <v>10.16</v>
      </c>
      <c r="C38" s="235"/>
      <c r="D38" s="374"/>
      <c r="E38" s="185"/>
      <c r="F38" s="373"/>
      <c r="G38" s="185"/>
      <c r="H38" s="374"/>
      <c r="I38" s="185"/>
      <c r="J38" s="167"/>
      <c r="K38" s="243"/>
      <c r="L38" s="167"/>
      <c r="M38" s="167"/>
      <c r="N38" s="167"/>
      <c r="O38" s="600"/>
      <c r="R38" s="117">
        <f t="shared" si="10"/>
        <v>12</v>
      </c>
      <c r="S38" s="178">
        <f t="shared" si="1"/>
        <v>0</v>
      </c>
      <c r="T38" s="178">
        <f t="shared" si="2"/>
        <v>0</v>
      </c>
      <c r="U38" s="178">
        <f t="shared" si="3"/>
        <v>0</v>
      </c>
      <c r="V38" s="178">
        <f t="shared" si="4"/>
        <v>0</v>
      </c>
      <c r="W38" s="178">
        <f t="shared" si="5"/>
        <v>0</v>
      </c>
      <c r="X38" s="178">
        <f t="shared" si="6"/>
        <v>0</v>
      </c>
    </row>
    <row r="39" spans="1:28" ht="15" customHeight="1" x14ac:dyDescent="0.25">
      <c r="A39" s="229">
        <v>4.5</v>
      </c>
      <c r="B39" s="229">
        <f t="shared" si="11"/>
        <v>11.43</v>
      </c>
      <c r="C39" s="235"/>
      <c r="D39" s="374"/>
      <c r="E39" s="185"/>
      <c r="F39" s="373"/>
      <c r="G39" s="185"/>
      <c r="H39" s="373"/>
      <c r="I39" s="185"/>
      <c r="J39" s="167"/>
      <c r="K39" s="167"/>
      <c r="L39" s="167"/>
      <c r="M39" s="167"/>
      <c r="N39" s="167"/>
      <c r="O39" s="600"/>
      <c r="R39" s="178">
        <v>100</v>
      </c>
      <c r="S39" s="178">
        <f t="shared" si="1"/>
        <v>0</v>
      </c>
      <c r="T39" s="178">
        <f t="shared" si="2"/>
        <v>0</v>
      </c>
      <c r="U39" s="178">
        <f t="shared" si="3"/>
        <v>0</v>
      </c>
      <c r="V39" s="178">
        <f t="shared" si="4"/>
        <v>0</v>
      </c>
      <c r="W39" s="178">
        <f t="shared" si="5"/>
        <v>0</v>
      </c>
      <c r="X39" s="178">
        <f t="shared" si="6"/>
        <v>0</v>
      </c>
    </row>
    <row r="40" spans="1:28" ht="15" customHeight="1" x14ac:dyDescent="0.25">
      <c r="A40" s="229">
        <v>5</v>
      </c>
      <c r="B40" s="229">
        <f t="shared" si="11"/>
        <v>12.7</v>
      </c>
      <c r="C40" s="235"/>
      <c r="D40" s="374"/>
      <c r="E40" s="185"/>
      <c r="F40" s="373"/>
      <c r="G40" s="185"/>
      <c r="H40" s="373"/>
      <c r="I40" s="185"/>
      <c r="J40" s="167"/>
      <c r="K40" s="167"/>
      <c r="L40" s="167"/>
      <c r="M40" s="167"/>
      <c r="N40" s="197"/>
      <c r="O40" s="600"/>
      <c r="R40" s="178">
        <v>101</v>
      </c>
      <c r="S40" s="178">
        <f t="shared" si="1"/>
        <v>0</v>
      </c>
      <c r="T40" s="178">
        <f t="shared" si="2"/>
        <v>0</v>
      </c>
      <c r="U40" s="178">
        <f t="shared" si="3"/>
        <v>0</v>
      </c>
      <c r="V40" s="178">
        <f t="shared" si="4"/>
        <v>0</v>
      </c>
      <c r="W40" s="178">
        <f t="shared" si="5"/>
        <v>0</v>
      </c>
      <c r="X40" s="178">
        <f t="shared" si="6"/>
        <v>0</v>
      </c>
    </row>
    <row r="41" spans="1:28" ht="15" customHeight="1" x14ac:dyDescent="0.25">
      <c r="A41" s="626"/>
      <c r="B41" s="595"/>
      <c r="C41" s="595"/>
      <c r="D41" s="644"/>
      <c r="E41" s="595"/>
      <c r="F41" s="595"/>
      <c r="G41" s="645"/>
      <c r="H41" s="595"/>
      <c r="I41" s="595"/>
      <c r="J41" s="644"/>
      <c r="K41" s="595"/>
      <c r="L41" s="595"/>
      <c r="M41" s="595"/>
      <c r="N41" s="595"/>
      <c r="O41" s="268"/>
      <c r="R41" s="178">
        <v>102</v>
      </c>
      <c r="S41" s="178">
        <f t="shared" si="1"/>
        <v>0</v>
      </c>
      <c r="T41" s="178">
        <f t="shared" si="2"/>
        <v>0</v>
      </c>
      <c r="U41" s="178">
        <f t="shared" si="3"/>
        <v>0</v>
      </c>
      <c r="V41" s="178">
        <f t="shared" si="4"/>
        <v>0</v>
      </c>
      <c r="W41" s="178">
        <f t="shared" si="5"/>
        <v>0</v>
      </c>
      <c r="X41" s="178">
        <f t="shared" si="6"/>
        <v>0</v>
      </c>
    </row>
    <row r="42" spans="1:28" ht="15" customHeight="1" x14ac:dyDescent="0.25">
      <c r="A42" s="592"/>
      <c r="B42" s="592"/>
      <c r="C42" s="592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592"/>
      <c r="O42" s="592"/>
      <c r="R42" s="178"/>
      <c r="S42" s="178">
        <f t="shared" ref="S42:X42" si="13">+SUM(S27:S41)</f>
        <v>0</v>
      </c>
      <c r="T42" s="178">
        <f t="shared" si="13"/>
        <v>0</v>
      </c>
      <c r="U42" s="178">
        <f t="shared" si="13"/>
        <v>5257</v>
      </c>
      <c r="V42" s="178">
        <f t="shared" si="13"/>
        <v>2137.0536766679343</v>
      </c>
      <c r="W42" s="178">
        <f t="shared" si="13"/>
        <v>0</v>
      </c>
      <c r="X42" s="178">
        <f t="shared" si="13"/>
        <v>0</v>
      </c>
    </row>
    <row r="43" spans="1:28" ht="15" customHeight="1" x14ac:dyDescent="0.25">
      <c r="R43" s="178"/>
      <c r="S43" s="178"/>
      <c r="T43" s="178"/>
      <c r="U43" s="178"/>
      <c r="V43" s="178"/>
      <c r="W43" s="178"/>
      <c r="X43" s="178"/>
    </row>
    <row r="44" spans="1:28" ht="15" customHeight="1" x14ac:dyDescent="0.25">
      <c r="R44" s="178"/>
      <c r="S44" s="178"/>
      <c r="T44" s="178"/>
      <c r="U44" s="178"/>
      <c r="V44" s="178"/>
      <c r="W44" s="178"/>
      <c r="X44" s="178"/>
    </row>
    <row r="45" spans="1:28" ht="15" customHeight="1" x14ac:dyDescent="0.25">
      <c r="R45" s="178"/>
      <c r="S45" s="178"/>
      <c r="T45" s="178"/>
      <c r="U45" s="178"/>
      <c r="V45" s="178"/>
      <c r="W45" s="178"/>
      <c r="X45" s="178"/>
    </row>
    <row r="46" spans="1:28" ht="11.25" customHeight="1" x14ac:dyDescent="0.25">
      <c r="R46" s="178"/>
      <c r="S46" s="178"/>
      <c r="T46" s="178"/>
      <c r="U46" s="178"/>
      <c r="V46" s="178"/>
      <c r="W46" s="178"/>
      <c r="X46" s="178"/>
    </row>
    <row r="47" spans="1:28" ht="15" customHeight="1" x14ac:dyDescent="0.25">
      <c r="R47" s="178"/>
      <c r="S47" s="178"/>
      <c r="T47" s="178"/>
      <c r="U47" s="178"/>
      <c r="V47" s="178"/>
      <c r="W47" s="178"/>
      <c r="X47" s="178"/>
    </row>
    <row r="48" spans="1:28" ht="15" customHeight="1" x14ac:dyDescent="0.25">
      <c r="R48" s="178"/>
      <c r="S48" s="178"/>
      <c r="T48" s="178"/>
      <c r="U48" s="178"/>
      <c r="V48" s="178"/>
      <c r="W48" s="178"/>
      <c r="X48" s="178"/>
    </row>
    <row r="49" spans="1:24" ht="15" customHeight="1" x14ac:dyDescent="0.25">
      <c r="R49" s="178"/>
      <c r="S49" s="178"/>
      <c r="T49" s="178"/>
      <c r="U49" s="178"/>
      <c r="V49" s="178"/>
      <c r="W49" s="178"/>
      <c r="X49" s="178"/>
    </row>
    <row r="50" spans="1:24" ht="15.9" customHeight="1" x14ac:dyDescent="0.25"/>
    <row r="51" spans="1:24" ht="12.75" customHeight="1" x14ac:dyDescent="0.25">
      <c r="A51" s="454"/>
      <c r="E51" s="117"/>
      <c r="I51" s="454"/>
    </row>
    <row r="52" spans="1:24" ht="21" customHeight="1" x14ac:dyDescent="0.25">
      <c r="A52" s="1026" t="s">
        <v>159</v>
      </c>
      <c r="B52" s="1026"/>
      <c r="C52" s="1026"/>
      <c r="D52" s="1026"/>
      <c r="E52" s="1026"/>
      <c r="F52" s="1026"/>
      <c r="G52" s="1026"/>
      <c r="H52" s="1026"/>
      <c r="I52" s="1026"/>
      <c r="J52" s="1026"/>
      <c r="K52" s="1026"/>
      <c r="L52" s="1026"/>
      <c r="M52" s="1026"/>
      <c r="N52" s="1026"/>
      <c r="O52" s="1026"/>
      <c r="P52" s="646"/>
      <c r="Q52" s="646"/>
      <c r="R52" s="117">
        <v>1000</v>
      </c>
      <c r="S52" s="169" t="s">
        <v>160</v>
      </c>
    </row>
    <row r="53" spans="1:24" ht="15" customHeight="1" x14ac:dyDescent="0.25">
      <c r="A53" s="224"/>
      <c r="B53" s="224"/>
      <c r="C53" s="224"/>
      <c r="D53" s="224"/>
      <c r="E53" s="224"/>
      <c r="F53" s="224"/>
      <c r="G53" s="224"/>
      <c r="H53" s="224"/>
      <c r="I53" s="224"/>
      <c r="J53" s="224"/>
      <c r="R53" s="194">
        <f>+R52/2.54/2.54*0.454</f>
        <v>70.370140740281485</v>
      </c>
      <c r="S53" s="169" t="s">
        <v>161</v>
      </c>
    </row>
    <row r="55" spans="1:24" ht="15" hidden="1" customHeight="1" x14ac:dyDescent="0.25"/>
    <row r="56" spans="1:24" ht="15" hidden="1" customHeight="1" x14ac:dyDescent="0.25">
      <c r="A56" s="169" t="s">
        <v>162</v>
      </c>
      <c r="C56" s="169">
        <f>+E16</f>
        <v>15</v>
      </c>
      <c r="D56" s="169">
        <f>+F16</f>
        <v>10</v>
      </c>
      <c r="E56" s="169">
        <f>+G16</f>
        <v>32</v>
      </c>
    </row>
    <row r="57" spans="1:24" ht="15" hidden="1" customHeight="1" x14ac:dyDescent="0.25">
      <c r="A57" s="244"/>
      <c r="B57" s="244"/>
      <c r="C57" s="244"/>
    </row>
    <row r="58" spans="1:24" ht="15" customHeight="1" x14ac:dyDescent="0.25">
      <c r="A58" s="1017" t="s">
        <v>163</v>
      </c>
      <c r="B58" s="1017"/>
      <c r="C58" s="1017"/>
      <c r="D58" s="1017"/>
      <c r="E58" s="1017"/>
      <c r="F58" s="1017"/>
      <c r="G58" s="1017"/>
      <c r="H58" s="1017"/>
      <c r="I58" s="1017"/>
      <c r="J58" s="1017"/>
    </row>
    <row r="59" spans="1:24" ht="15" customHeight="1" x14ac:dyDescent="0.25">
      <c r="A59" s="1017"/>
      <c r="B59" s="1017"/>
      <c r="C59" s="1017"/>
      <c r="D59" s="1017"/>
      <c r="E59" s="1017"/>
      <c r="F59" s="1017"/>
      <c r="G59" s="1017"/>
      <c r="H59" s="1017"/>
      <c r="I59" s="1017"/>
      <c r="J59" s="1017"/>
    </row>
    <row r="60" spans="1:24" ht="15" customHeight="1" x14ac:dyDescent="0.25">
      <c r="C60" s="169" t="s">
        <v>164</v>
      </c>
    </row>
    <row r="61" spans="1:24" ht="15" customHeight="1" x14ac:dyDescent="0.25">
      <c r="D61" s="169" t="s">
        <v>165</v>
      </c>
    </row>
    <row r="62" spans="1:24" ht="15" customHeight="1" x14ac:dyDescent="0.25">
      <c r="J62" s="1018"/>
      <c r="K62" s="1018"/>
    </row>
    <row r="63" spans="1:24" ht="15" customHeight="1" x14ac:dyDescent="0.25">
      <c r="D63" s="275" t="s">
        <v>166</v>
      </c>
      <c r="E63" s="1006">
        <v>-10.797347164</v>
      </c>
      <c r="F63" s="1006"/>
      <c r="I63" s="117"/>
      <c r="J63" s="117"/>
      <c r="K63" s="190"/>
    </row>
    <row r="64" spans="1:24" ht="15" customHeight="1" x14ac:dyDescent="0.25">
      <c r="D64" s="275" t="s">
        <v>167</v>
      </c>
      <c r="E64" s="1006">
        <v>4.7501944299999996</v>
      </c>
      <c r="F64" s="1006"/>
    </row>
    <row r="65" spans="4:7" ht="15" customHeight="1" x14ac:dyDescent="0.2">
      <c r="D65" s="275" t="s">
        <v>168</v>
      </c>
      <c r="E65" s="1016">
        <v>-7.3115999999999996E-5</v>
      </c>
      <c r="F65" s="1016"/>
    </row>
    <row r="66" spans="4:7" ht="15" customHeight="1" x14ac:dyDescent="0.25">
      <c r="D66" s="169" t="s">
        <v>169</v>
      </c>
    </row>
    <row r="67" spans="4:7" ht="15" customHeight="1" x14ac:dyDescent="0.25">
      <c r="D67" s="169" t="s">
        <v>170</v>
      </c>
    </row>
    <row r="68" spans="4:7" ht="15" customHeight="1" x14ac:dyDescent="0.25">
      <c r="D68" s="178" t="s">
        <v>171</v>
      </c>
      <c r="F68" s="169">
        <f>+PI()*4.94*4.94/4</f>
        <v>19.16654262028597</v>
      </c>
      <c r="G68" s="169" t="s">
        <v>172</v>
      </c>
    </row>
  </sheetData>
  <protectedRanges>
    <protectedRange sqref="L11" name="Rango3_3_1_1_1_2"/>
    <protectedRange sqref="D10" name="Rango3_3_1_1_1_1_1_1_1_1"/>
  </protectedRanges>
  <mergeCells count="36">
    <mergeCell ref="N10:O10"/>
    <mergeCell ref="A7:O7"/>
    <mergeCell ref="A52:O52"/>
    <mergeCell ref="E63:F63"/>
    <mergeCell ref="E64:F64"/>
    <mergeCell ref="I18:K18"/>
    <mergeCell ref="I23:K23"/>
    <mergeCell ref="I20:K20"/>
    <mergeCell ref="I21:K21"/>
    <mergeCell ref="I19:K19"/>
    <mergeCell ref="I22:K22"/>
    <mergeCell ref="I16:K16"/>
    <mergeCell ref="I17:K17"/>
    <mergeCell ref="L29:N29"/>
    <mergeCell ref="A25:I25"/>
    <mergeCell ref="D26:E26"/>
    <mergeCell ref="A16:D16"/>
    <mergeCell ref="A19:D19"/>
    <mergeCell ref="A27:A28"/>
    <mergeCell ref="D27:D28"/>
    <mergeCell ref="F27:F28"/>
    <mergeCell ref="A23:D23"/>
    <mergeCell ref="A20:D20"/>
    <mergeCell ref="A21:D21"/>
    <mergeCell ref="B27:B28"/>
    <mergeCell ref="A22:D22"/>
    <mergeCell ref="A17:D17"/>
    <mergeCell ref="A18:D18"/>
    <mergeCell ref="F26:G26"/>
    <mergeCell ref="H26:I26"/>
    <mergeCell ref="A26:B26"/>
    <mergeCell ref="H27:H28"/>
    <mergeCell ref="E65:F65"/>
    <mergeCell ref="A58:J59"/>
    <mergeCell ref="J62:K62"/>
    <mergeCell ref="K29:K30"/>
  </mergeCells>
  <phoneticPr fontId="0" type="noConversion"/>
  <printOptions horizontalCentered="1" verticalCentered="1"/>
  <pageMargins left="0.39370078740157483" right="0.39370078740157483" top="0.74803149606299213" bottom="0.39370078740157483" header="0.31496062992125984" footer="0.31496062992125984"/>
  <pageSetup paperSize="9" scale="93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E85A-04BA-4F6C-A7EE-8D8E0E30CF3F}">
  <sheetPr codeName="Hoja4"/>
  <dimension ref="A1:T58"/>
  <sheetViews>
    <sheetView view="pageBreakPreview" topLeftCell="A31" zoomScaleNormal="100" zoomScaleSheetLayoutView="100" workbookViewId="0">
      <selection activeCell="S50" sqref="S50"/>
    </sheetView>
  </sheetViews>
  <sheetFormatPr baseColWidth="10" defaultColWidth="5.5546875" defaultRowHeight="15" customHeight="1" x14ac:dyDescent="0.25"/>
  <cols>
    <col min="1" max="16384" width="5.5546875" style="169"/>
  </cols>
  <sheetData>
    <row r="1" spans="1:17" ht="15.75" customHeight="1" thickTop="1" x14ac:dyDescent="0.25">
      <c r="A1" s="580"/>
      <c r="B1" s="581"/>
      <c r="C1" s="581"/>
      <c r="D1" s="581"/>
      <c r="E1" s="581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98"/>
    </row>
    <row r="2" spans="1:17" ht="15.75" customHeight="1" x14ac:dyDescent="0.25">
      <c r="A2" s="583"/>
      <c r="B2" s="579"/>
      <c r="C2" s="579"/>
      <c r="D2" s="579"/>
      <c r="E2" s="57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584"/>
    </row>
    <row r="3" spans="1:17" ht="15.75" customHeight="1" x14ac:dyDescent="0.25">
      <c r="A3" s="583"/>
      <c r="B3" s="579"/>
      <c r="C3" s="579"/>
      <c r="D3" s="579"/>
      <c r="E3" s="57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584"/>
    </row>
    <row r="4" spans="1:17" ht="15.75" customHeight="1" x14ac:dyDescent="0.25">
      <c r="A4" s="583"/>
      <c r="B4" s="579"/>
      <c r="C4" s="579"/>
      <c r="D4" s="579"/>
      <c r="E4" s="579"/>
      <c r="Q4" s="584"/>
    </row>
    <row r="5" spans="1:17" ht="15.75" customHeight="1" x14ac:dyDescent="0.25">
      <c r="A5" s="583"/>
      <c r="B5" s="579"/>
      <c r="C5" s="579"/>
      <c r="D5" s="579"/>
      <c r="E5" s="579"/>
      <c r="Q5" s="584"/>
    </row>
    <row r="6" spans="1:17" ht="15.75" customHeight="1" thickBot="1" x14ac:dyDescent="0.3">
      <c r="A6" s="585"/>
      <c r="B6" s="211"/>
      <c r="C6" s="212"/>
      <c r="D6" s="211"/>
      <c r="E6" s="211"/>
      <c r="F6" s="211"/>
      <c r="G6" s="211"/>
      <c r="H6" s="211"/>
      <c r="I6" s="211"/>
      <c r="J6" s="211"/>
      <c r="K6" s="211"/>
      <c r="L6" s="211"/>
      <c r="M6" s="212"/>
      <c r="N6" s="211"/>
      <c r="O6" s="211"/>
      <c r="P6" s="211"/>
      <c r="Q6" s="586"/>
    </row>
    <row r="7" spans="1:17" ht="42" customHeight="1" thickTop="1" x14ac:dyDescent="0.25">
      <c r="A7" s="1025" t="s">
        <v>173</v>
      </c>
      <c r="B7" s="1025"/>
      <c r="C7" s="1025"/>
      <c r="D7" s="1025"/>
      <c r="E7" s="1025"/>
      <c r="F7" s="1025"/>
      <c r="G7" s="1025"/>
      <c r="H7" s="1025"/>
      <c r="I7" s="1025"/>
      <c r="J7" s="1025"/>
      <c r="K7" s="1025"/>
      <c r="L7" s="1025"/>
      <c r="M7" s="1025"/>
      <c r="N7" s="1025"/>
      <c r="O7" s="1025"/>
      <c r="P7" s="1025"/>
      <c r="Q7" s="1025"/>
    </row>
    <row r="8" spans="1:17" ht="12.9" customHeight="1" x14ac:dyDescent="0.25">
      <c r="A8" s="593" t="s">
        <v>174</v>
      </c>
      <c r="B8" s="592"/>
      <c r="C8" s="800" t="s">
        <v>38</v>
      </c>
      <c r="D8" s="602" t="str">
        <f>+Datos!D8</f>
        <v>Aldesa Construcciones S.A.</v>
      </c>
      <c r="E8" s="602"/>
      <c r="F8" s="602"/>
      <c r="G8" s="602"/>
      <c r="H8" s="602"/>
      <c r="I8" s="602"/>
      <c r="J8" s="602"/>
      <c r="K8" s="592"/>
      <c r="L8" s="593" t="s">
        <v>121</v>
      </c>
      <c r="M8" s="592"/>
      <c r="N8" s="592"/>
      <c r="O8" s="602" t="str">
        <f>+Datos!N8</f>
        <v>53-14 / CU-11</v>
      </c>
      <c r="P8" s="602"/>
      <c r="Q8" s="602"/>
    </row>
    <row r="9" spans="1:17" ht="12.9" customHeight="1" x14ac:dyDescent="0.25">
      <c r="A9" s="675" t="s">
        <v>175</v>
      </c>
      <c r="C9" s="801" t="s">
        <v>38</v>
      </c>
      <c r="D9" s="603" t="str">
        <f>+Datos!D9</f>
        <v>Tunel de Puruchuco</v>
      </c>
      <c r="E9" s="603"/>
      <c r="F9" s="603"/>
      <c r="G9" s="603"/>
      <c r="H9" s="603"/>
      <c r="I9" s="603"/>
      <c r="J9" s="603"/>
      <c r="L9" s="591" t="s">
        <v>126</v>
      </c>
      <c r="O9" s="604" t="str">
        <f>+Datos!N9</f>
        <v>ACSA/CTP-14</v>
      </c>
      <c r="P9" s="604"/>
      <c r="Q9" s="604"/>
    </row>
    <row r="10" spans="1:17" ht="12.9" customHeight="1" x14ac:dyDescent="0.25">
      <c r="A10" s="591" t="s">
        <v>176</v>
      </c>
      <c r="C10" s="801" t="s">
        <v>38</v>
      </c>
      <c r="D10" s="589" t="str">
        <f>+Datos!D10</f>
        <v>Av. Javier Prado S/N Alt. Huaca de Puruchuco</v>
      </c>
      <c r="E10" s="589"/>
      <c r="F10" s="589"/>
      <c r="G10" s="589"/>
      <c r="H10" s="273"/>
      <c r="I10" s="273"/>
      <c r="J10" s="273"/>
      <c r="L10" s="591" t="s">
        <v>177</v>
      </c>
      <c r="O10" s="1034">
        <f>+Datos!N10</f>
        <v>41951</v>
      </c>
      <c r="P10" s="1034"/>
      <c r="Q10" s="273"/>
    </row>
    <row r="11" spans="1:17" ht="12.9" customHeight="1" x14ac:dyDescent="0.25">
      <c r="A11" s="792" t="s">
        <v>178</v>
      </c>
      <c r="C11" s="801" t="s">
        <v>38</v>
      </c>
      <c r="D11" s="589" t="str">
        <f>+Datos!D11</f>
        <v>Cantera Dorita</v>
      </c>
      <c r="E11" s="589"/>
      <c r="F11" s="589"/>
      <c r="G11" s="270"/>
      <c r="H11" s="273"/>
      <c r="I11" s="273"/>
      <c r="J11" s="273"/>
      <c r="L11" s="591" t="s">
        <v>136</v>
      </c>
      <c r="O11" s="604" t="str">
        <f>+Datos!N11</f>
        <v>Tec. Nelson</v>
      </c>
      <c r="P11" s="604"/>
      <c r="Q11" s="273"/>
    </row>
    <row r="12" spans="1:17" ht="12.9" customHeight="1" x14ac:dyDescent="0.25">
      <c r="A12" s="798" t="s">
        <v>179</v>
      </c>
      <c r="B12" s="595"/>
      <c r="C12" s="799" t="s">
        <v>180</v>
      </c>
      <c r="D12" s="606" t="str">
        <f>+Datos!D12</f>
        <v>Base Granular</v>
      </c>
      <c r="E12" s="606"/>
      <c r="F12" s="606"/>
      <c r="G12" s="606"/>
      <c r="H12" s="595"/>
      <c r="I12" s="595"/>
      <c r="J12" s="595"/>
      <c r="K12" s="596"/>
      <c r="L12" s="597"/>
      <c r="M12" s="595"/>
      <c r="N12" s="595"/>
      <c r="O12" s="595"/>
      <c r="P12" s="595"/>
      <c r="Q12" s="595"/>
    </row>
    <row r="13" spans="1:17" ht="12.9" customHeight="1" x14ac:dyDescent="0.25">
      <c r="A13" s="627" t="s">
        <v>109</v>
      </c>
      <c r="B13" s="628"/>
      <c r="C13" s="592"/>
      <c r="D13" s="592"/>
      <c r="E13" s="592"/>
      <c r="F13" s="629"/>
      <c r="G13" s="630">
        <f>+Datos!G13</f>
        <v>2.2810000000000001</v>
      </c>
      <c r="H13" s="631"/>
      <c r="I13" s="592"/>
      <c r="J13" s="592"/>
      <c r="K13" s="592"/>
      <c r="L13" s="592"/>
      <c r="M13" s="592"/>
      <c r="N13" s="592"/>
      <c r="O13" s="592"/>
      <c r="P13" s="592"/>
      <c r="Q13" s="599"/>
    </row>
    <row r="14" spans="1:17" ht="12.9" customHeight="1" x14ac:dyDescent="0.25">
      <c r="A14" s="295" t="s">
        <v>111</v>
      </c>
      <c r="F14" s="213"/>
      <c r="G14" s="177">
        <f>+Datos!G14</f>
        <v>6.2</v>
      </c>
      <c r="Q14" s="600"/>
    </row>
    <row r="15" spans="1:17" ht="15" customHeight="1" x14ac:dyDescent="0.25">
      <c r="A15" s="632"/>
      <c r="B15" s="178"/>
      <c r="C15" s="178"/>
      <c r="D15" s="178"/>
      <c r="E15" s="178"/>
      <c r="F15" s="237"/>
      <c r="G15" s="237"/>
      <c r="H15" s="234"/>
      <c r="I15" s="234"/>
      <c r="J15" s="234"/>
      <c r="K15" s="234"/>
      <c r="L15" s="234"/>
      <c r="M15" s="234"/>
      <c r="N15" s="234"/>
      <c r="P15" s="178"/>
      <c r="Q15" s="600"/>
    </row>
    <row r="16" spans="1:17" s="178" customFormat="1" ht="15" customHeight="1" x14ac:dyDescent="0.25">
      <c r="A16" s="633"/>
      <c r="B16" s="278"/>
      <c r="C16" s="278"/>
      <c r="D16" s="237"/>
      <c r="E16" s="237"/>
      <c r="F16" s="237"/>
      <c r="H16" s="278"/>
      <c r="I16" s="278"/>
      <c r="J16" s="278"/>
      <c r="K16" s="237"/>
      <c r="L16" s="237"/>
      <c r="M16" s="237"/>
      <c r="Q16" s="624"/>
    </row>
    <row r="17" spans="1:20" s="178" customFormat="1" ht="15" customHeight="1" x14ac:dyDescent="0.25">
      <c r="A17" s="633"/>
      <c r="B17" s="278"/>
      <c r="C17" s="278"/>
      <c r="D17" s="237"/>
      <c r="E17" s="237"/>
      <c r="F17" s="237"/>
      <c r="H17" s="278"/>
      <c r="I17" s="278"/>
      <c r="J17" s="278"/>
      <c r="K17" s="279"/>
      <c r="L17" s="279"/>
      <c r="M17" s="279"/>
      <c r="Q17" s="624"/>
    </row>
    <row r="18" spans="1:20" s="178" customFormat="1" ht="15" customHeight="1" x14ac:dyDescent="0.25">
      <c r="A18" s="633"/>
      <c r="B18" s="278"/>
      <c r="C18" s="278"/>
      <c r="D18" s="280"/>
      <c r="E18" s="237"/>
      <c r="F18" s="237"/>
      <c r="H18" s="278"/>
      <c r="I18" s="278"/>
      <c r="J18" s="278"/>
      <c r="K18" s="279"/>
      <c r="L18" s="279"/>
      <c r="M18" s="279"/>
      <c r="Q18" s="624"/>
    </row>
    <row r="19" spans="1:20" s="178" customFormat="1" ht="15" customHeight="1" x14ac:dyDescent="0.25">
      <c r="A19" s="633"/>
      <c r="B19" s="278"/>
      <c r="C19" s="278"/>
      <c r="D19" s="237"/>
      <c r="E19" s="237"/>
      <c r="F19" s="237"/>
      <c r="H19" s="278"/>
      <c r="I19" s="278"/>
      <c r="J19" s="278"/>
      <c r="K19" s="279"/>
      <c r="L19" s="279"/>
      <c r="M19" s="279"/>
      <c r="Q19" s="624"/>
    </row>
    <row r="20" spans="1:20" s="178" customFormat="1" ht="15" customHeight="1" x14ac:dyDescent="0.25">
      <c r="A20" s="633"/>
      <c r="B20" s="278"/>
      <c r="C20" s="278"/>
      <c r="D20" s="237"/>
      <c r="E20" s="237"/>
      <c r="F20" s="237"/>
      <c r="H20" s="278"/>
      <c r="I20" s="278"/>
      <c r="J20" s="278"/>
      <c r="K20" s="279"/>
      <c r="L20" s="279"/>
      <c r="M20" s="279"/>
      <c r="Q20" s="624"/>
    </row>
    <row r="21" spans="1:20" s="178" customFormat="1" ht="15" customHeight="1" x14ac:dyDescent="0.25">
      <c r="A21" s="633"/>
      <c r="B21" s="278"/>
      <c r="C21" s="278"/>
      <c r="D21" s="237"/>
      <c r="E21" s="237"/>
      <c r="F21" s="237"/>
      <c r="H21" s="278"/>
      <c r="I21" s="278"/>
      <c r="J21" s="278"/>
      <c r="K21" s="279"/>
      <c r="L21" s="279"/>
      <c r="M21" s="279"/>
      <c r="Q21" s="624"/>
    </row>
    <row r="22" spans="1:20" s="178" customFormat="1" ht="15" customHeight="1" x14ac:dyDescent="0.25">
      <c r="A22" s="633"/>
      <c r="B22" s="278"/>
      <c r="C22" s="278"/>
      <c r="D22" s="237"/>
      <c r="E22" s="237"/>
      <c r="F22" s="237"/>
      <c r="H22" s="278"/>
      <c r="I22" s="278"/>
      <c r="J22" s="278"/>
      <c r="K22" s="281"/>
      <c r="L22" s="281"/>
      <c r="M22" s="281"/>
      <c r="Q22" s="624"/>
    </row>
    <row r="23" spans="1:20" s="178" customFormat="1" ht="15" customHeight="1" x14ac:dyDescent="0.25">
      <c r="A23" s="633"/>
      <c r="B23" s="278"/>
      <c r="C23" s="278"/>
      <c r="D23" s="282"/>
      <c r="E23" s="282"/>
      <c r="F23" s="282"/>
      <c r="H23" s="278"/>
      <c r="I23" s="278"/>
      <c r="J23" s="278"/>
      <c r="K23" s="283"/>
      <c r="L23" s="283"/>
      <c r="M23" s="283"/>
      <c r="Q23" s="624"/>
    </row>
    <row r="24" spans="1:20" s="178" customFormat="1" ht="15" customHeight="1" x14ac:dyDescent="0.25">
      <c r="A24" s="634"/>
      <c r="Q24" s="624"/>
    </row>
    <row r="25" spans="1:20" s="178" customFormat="1" ht="15" customHeight="1" x14ac:dyDescent="0.25">
      <c r="A25" s="635"/>
      <c r="B25" s="284"/>
      <c r="C25" s="284"/>
      <c r="D25" s="284"/>
      <c r="E25" s="284"/>
      <c r="F25" s="284"/>
      <c r="G25" s="284"/>
      <c r="H25" s="284"/>
      <c r="Q25" s="624"/>
    </row>
    <row r="26" spans="1:20" s="178" customFormat="1" ht="15" customHeight="1" x14ac:dyDescent="0.25">
      <c r="A26" s="636"/>
      <c r="B26" s="118"/>
      <c r="C26" s="118"/>
      <c r="D26" s="118"/>
      <c r="E26" s="285"/>
      <c r="F26" s="285"/>
      <c r="G26" s="118"/>
      <c r="H26" s="118"/>
      <c r="Q26" s="624"/>
    </row>
    <row r="27" spans="1:20" s="178" customFormat="1" ht="15" customHeight="1" x14ac:dyDescent="0.25">
      <c r="A27" s="636"/>
      <c r="B27" s="118"/>
      <c r="C27" s="118"/>
      <c r="D27" s="118"/>
      <c r="E27" s="118"/>
      <c r="F27" s="118"/>
      <c r="G27" s="118"/>
      <c r="H27" s="118"/>
      <c r="J27" s="168"/>
      <c r="K27" s="169"/>
      <c r="L27" s="169"/>
      <c r="M27" s="169"/>
      <c r="Q27" s="624"/>
    </row>
    <row r="28" spans="1:20" s="178" customFormat="1" ht="15" customHeight="1" x14ac:dyDescent="0.25">
      <c r="A28" s="636"/>
      <c r="B28" s="118"/>
      <c r="C28" s="118"/>
      <c r="D28" s="118"/>
      <c r="E28" s="118"/>
      <c r="F28" s="118"/>
      <c r="G28" s="118"/>
      <c r="H28" s="118"/>
      <c r="J28" s="169"/>
      <c r="K28" s="169"/>
      <c r="L28" s="169"/>
      <c r="M28" s="169"/>
      <c r="Q28" s="624"/>
    </row>
    <row r="29" spans="1:20" s="178" customFormat="1" ht="15" customHeight="1" x14ac:dyDescent="0.25">
      <c r="A29" s="637"/>
      <c r="B29" s="237"/>
      <c r="C29" s="286"/>
      <c r="D29" s="286"/>
      <c r="E29" s="286"/>
      <c r="F29" s="286"/>
      <c r="G29" s="237"/>
      <c r="H29" s="286"/>
      <c r="J29" s="117"/>
      <c r="K29" s="117"/>
      <c r="L29" s="117"/>
      <c r="M29" s="117"/>
      <c r="Q29" s="624"/>
    </row>
    <row r="30" spans="1:20" s="178" customFormat="1" ht="9.9" customHeight="1" x14ac:dyDescent="0.25">
      <c r="A30" s="638" t="s">
        <v>181</v>
      </c>
      <c r="B30" s="288"/>
      <c r="C30" s="288"/>
      <c r="D30" s="289">
        <f>+Apoyo!E23/0.7</f>
        <v>105.71428571428572</v>
      </c>
      <c r="E30" s="288"/>
      <c r="F30" s="286"/>
      <c r="G30" s="287" t="s">
        <v>182</v>
      </c>
      <c r="H30" s="286"/>
      <c r="I30" s="169"/>
      <c r="J30" s="289">
        <f>+Apoyo!F23/0.7</f>
        <v>71.428571428571431</v>
      </c>
      <c r="K30" s="458"/>
      <c r="L30" s="287" t="s">
        <v>183</v>
      </c>
      <c r="M30" s="288"/>
      <c r="N30" s="288"/>
      <c r="O30" s="289">
        <f>+Apoyo!G23/0.7</f>
        <v>48.571428571428577</v>
      </c>
      <c r="P30" s="288"/>
      <c r="Q30" s="624"/>
      <c r="R30" s="277" t="s">
        <v>184</v>
      </c>
    </row>
    <row r="31" spans="1:20" s="178" customFormat="1" ht="9.9" customHeight="1" x14ac:dyDescent="0.25">
      <c r="A31" s="638" t="s">
        <v>185</v>
      </c>
      <c r="B31" s="288"/>
      <c r="C31" s="288"/>
      <c r="D31" s="289">
        <f>+Apoyo!E29/1.05</f>
        <v>123.30984907813696</v>
      </c>
      <c r="E31" s="288"/>
      <c r="F31" s="286"/>
      <c r="G31" s="287" t="s">
        <v>186</v>
      </c>
      <c r="H31" s="286"/>
      <c r="I31" s="169"/>
      <c r="J31" s="289">
        <f>+Apoyo!F29/1.05</f>
        <v>82.798410731495025</v>
      </c>
      <c r="K31" s="169"/>
      <c r="L31" s="287" t="s">
        <v>187</v>
      </c>
      <c r="M31" s="288"/>
      <c r="N31" s="288"/>
      <c r="O31" s="289">
        <f>+Apoyo!G29/1.05</f>
        <v>58.011197847110033</v>
      </c>
      <c r="P31" s="288"/>
      <c r="Q31" s="624"/>
      <c r="R31" s="237">
        <v>56</v>
      </c>
      <c r="S31" s="237">
        <v>25</v>
      </c>
      <c r="T31" s="237">
        <v>12</v>
      </c>
    </row>
    <row r="32" spans="1:20" s="178" customFormat="1" ht="9.9" customHeight="1" x14ac:dyDescent="0.25">
      <c r="A32" s="638" t="s">
        <v>188</v>
      </c>
      <c r="B32" s="288"/>
      <c r="C32" s="288"/>
      <c r="D32" s="288">
        <f>+Datos!L23</f>
        <v>2.2911028288977842</v>
      </c>
      <c r="E32" s="288"/>
      <c r="F32" s="286"/>
      <c r="G32" s="287" t="s">
        <v>188</v>
      </c>
      <c r="H32" s="286"/>
      <c r="I32" s="169"/>
      <c r="J32" s="288">
        <f>+Datos!M23</f>
        <v>2.2020003637318029</v>
      </c>
      <c r="K32" s="169"/>
      <c r="L32" s="287" t="s">
        <v>188</v>
      </c>
      <c r="M32" s="288"/>
      <c r="N32" s="288"/>
      <c r="O32" s="288">
        <f>+Datos!N23</f>
        <v>2.0998871279061229</v>
      </c>
      <c r="P32" s="288"/>
      <c r="Q32" s="624"/>
      <c r="R32" s="464">
        <v>74</v>
      </c>
      <c r="S32" s="464">
        <v>50</v>
      </c>
      <c r="T32" s="464">
        <v>34</v>
      </c>
    </row>
    <row r="33" spans="1:17" ht="15" customHeight="1" x14ac:dyDescent="0.25">
      <c r="A33" s="1036" t="s">
        <v>189</v>
      </c>
      <c r="B33" s="1037"/>
      <c r="C33" s="1037"/>
      <c r="D33" s="1037"/>
      <c r="E33" s="1037"/>
      <c r="F33" s="1037"/>
      <c r="G33" s="1037"/>
      <c r="H33" s="1037"/>
      <c r="I33" s="1037"/>
      <c r="J33" s="1037"/>
      <c r="K33" s="1037"/>
      <c r="L33" s="1037"/>
      <c r="M33" s="1037"/>
      <c r="N33" s="1037"/>
      <c r="O33" s="1037"/>
      <c r="P33" s="1037"/>
      <c r="Q33" s="600"/>
    </row>
    <row r="34" spans="1:17" ht="15" customHeight="1" x14ac:dyDescent="0.25">
      <c r="A34" s="639"/>
      <c r="B34" s="117"/>
      <c r="C34" s="194"/>
      <c r="D34" s="286"/>
      <c r="E34" s="194"/>
      <c r="F34" s="286"/>
      <c r="G34" s="117"/>
      <c r="H34" s="286"/>
      <c r="J34" s="290"/>
      <c r="M34" s="275" t="s">
        <v>190</v>
      </c>
      <c r="N34" s="276">
        <f>+Datos!G13</f>
        <v>2.2810000000000001</v>
      </c>
      <c r="Q34" s="600"/>
    </row>
    <row r="35" spans="1:17" ht="15" customHeight="1" x14ac:dyDescent="0.25">
      <c r="A35" s="639"/>
      <c r="B35" s="117"/>
      <c r="C35" s="194"/>
      <c r="D35" s="286"/>
      <c r="E35" s="117"/>
      <c r="F35" s="286"/>
      <c r="G35" s="117"/>
      <c r="H35" s="286"/>
      <c r="M35" s="275" t="s">
        <v>191</v>
      </c>
      <c r="N35" s="1035">
        <f>+N34*0.95</f>
        <v>2.1669499999999999</v>
      </c>
      <c r="O35" s="1035"/>
      <c r="Q35" s="600"/>
    </row>
    <row r="36" spans="1:17" ht="15" customHeight="1" thickBot="1" x14ac:dyDescent="0.3">
      <c r="A36" s="639"/>
      <c r="B36" s="117"/>
      <c r="C36" s="194"/>
      <c r="D36" s="286"/>
      <c r="E36" s="117"/>
      <c r="F36" s="286"/>
      <c r="G36" s="117"/>
      <c r="H36" s="286"/>
      <c r="J36" s="291"/>
      <c r="Q36" s="600"/>
    </row>
    <row r="37" spans="1:17" ht="15" customHeight="1" thickTop="1" x14ac:dyDescent="0.2">
      <c r="A37" s="639"/>
      <c r="B37" s="117"/>
      <c r="C37" s="194"/>
      <c r="D37" s="286"/>
      <c r="E37" s="117"/>
      <c r="F37" s="286"/>
      <c r="G37" s="117"/>
      <c r="H37" s="286"/>
      <c r="J37" s="684"/>
      <c r="K37" s="685"/>
      <c r="L37" s="685"/>
      <c r="M37" s="686" t="s">
        <v>192</v>
      </c>
      <c r="N37" s="687">
        <f>ROUND(IF(D32&lt;N34,D30,(N34-D32)*(J30-D30)/(J32-D32)+D30),2)</f>
        <v>101.83</v>
      </c>
      <c r="O37" s="598" t="s">
        <v>193</v>
      </c>
      <c r="Q37" s="600"/>
    </row>
    <row r="38" spans="1:17" ht="15" customHeight="1" thickBot="1" x14ac:dyDescent="0.25">
      <c r="A38" s="639"/>
      <c r="B38" s="117"/>
      <c r="C38" s="194"/>
      <c r="D38" s="286"/>
      <c r="E38" s="117"/>
      <c r="F38" s="286"/>
      <c r="G38" s="117"/>
      <c r="H38" s="286"/>
      <c r="J38" s="688"/>
      <c r="K38" s="211"/>
      <c r="L38" s="211"/>
      <c r="M38" s="689" t="s">
        <v>194</v>
      </c>
      <c r="N38" s="690">
        <f>ROUND(IF(O32&gt;N35,O30,(N35-J32)*(O30-J30)/(O32-J32)+J30),2)</f>
        <v>63.58</v>
      </c>
      <c r="O38" s="586" t="s">
        <v>193</v>
      </c>
      <c r="Q38" s="600"/>
    </row>
    <row r="39" spans="1:17" ht="15" customHeight="1" thickTop="1" x14ac:dyDescent="0.2">
      <c r="A39" s="639"/>
      <c r="B39" s="117"/>
      <c r="C39" s="194"/>
      <c r="D39" s="286"/>
      <c r="E39" s="117"/>
      <c r="F39" s="286"/>
      <c r="G39" s="117"/>
      <c r="H39" s="286"/>
      <c r="M39" s="275"/>
      <c r="N39" s="451"/>
      <c r="Q39" s="600"/>
    </row>
    <row r="40" spans="1:17" ht="15" customHeight="1" x14ac:dyDescent="0.2">
      <c r="A40" s="639"/>
      <c r="B40" s="117"/>
      <c r="C40" s="194"/>
      <c r="D40" s="286"/>
      <c r="E40" s="117"/>
      <c r="F40" s="286"/>
      <c r="G40" s="117"/>
      <c r="H40" s="286"/>
      <c r="J40" s="275"/>
      <c r="M40" s="275"/>
      <c r="N40" s="451"/>
      <c r="Q40" s="600"/>
    </row>
    <row r="41" spans="1:17" ht="15" customHeight="1" x14ac:dyDescent="0.25">
      <c r="A41" s="295"/>
      <c r="J41" s="275"/>
      <c r="M41" s="275"/>
      <c r="N41" s="292"/>
      <c r="P41" s="552"/>
      <c r="Q41" s="600"/>
    </row>
    <row r="42" spans="1:17" ht="15" customHeight="1" x14ac:dyDescent="0.25">
      <c r="A42" s="295"/>
      <c r="Q42" s="600"/>
    </row>
    <row r="43" spans="1:17" ht="15" customHeight="1" x14ac:dyDescent="0.25">
      <c r="A43" s="295"/>
      <c r="Q43" s="600"/>
    </row>
    <row r="44" spans="1:17" ht="15" customHeight="1" x14ac:dyDescent="0.25">
      <c r="A44" s="295"/>
      <c r="Q44" s="600"/>
    </row>
    <row r="45" spans="1:17" ht="15" customHeight="1" x14ac:dyDescent="0.25">
      <c r="A45" s="295"/>
      <c r="Q45" s="600"/>
    </row>
    <row r="46" spans="1:17" ht="15" customHeight="1" x14ac:dyDescent="0.25">
      <c r="A46" s="295"/>
      <c r="Q46" s="600"/>
    </row>
    <row r="47" spans="1:17" ht="15" customHeight="1" x14ac:dyDescent="0.25">
      <c r="A47" s="295"/>
      <c r="Q47" s="600"/>
    </row>
    <row r="48" spans="1:17" ht="15" customHeight="1" x14ac:dyDescent="0.25">
      <c r="A48" s="626"/>
      <c r="B48" s="595"/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  <c r="P48" s="595"/>
      <c r="Q48" s="268"/>
    </row>
    <row r="49" spans="1:17" ht="15" customHeight="1" x14ac:dyDescent="0.25">
      <c r="A49" s="592"/>
      <c r="B49" s="592"/>
      <c r="C49" s="592"/>
      <c r="D49" s="607"/>
      <c r="E49" s="592"/>
      <c r="F49" s="592"/>
      <c r="G49" s="592"/>
      <c r="H49" s="592"/>
      <c r="I49" s="592"/>
      <c r="J49" s="592"/>
      <c r="K49" s="607"/>
      <c r="L49" s="592"/>
      <c r="M49" s="592"/>
      <c r="N49" s="592"/>
      <c r="O49" s="592"/>
      <c r="P49" s="592"/>
      <c r="Q49" s="592"/>
    </row>
    <row r="50" spans="1:17" ht="15.75" customHeight="1" x14ac:dyDescent="0.25">
      <c r="D50" s="176"/>
      <c r="K50" s="176"/>
    </row>
    <row r="51" spans="1:17" ht="15.75" customHeight="1" x14ac:dyDescent="0.25">
      <c r="D51" s="176"/>
      <c r="K51" s="176"/>
    </row>
    <row r="52" spans="1:17" ht="15.75" customHeight="1" x14ac:dyDescent="0.25">
      <c r="D52" s="176"/>
      <c r="K52" s="176"/>
    </row>
    <row r="55" spans="1:17" ht="12" customHeight="1" x14ac:dyDescent="0.25">
      <c r="A55" s="454"/>
      <c r="I55" s="454"/>
    </row>
    <row r="56" spans="1:17" ht="18" customHeight="1" x14ac:dyDescent="0.25">
      <c r="A56" s="1026" t="s">
        <v>159</v>
      </c>
      <c r="B56" s="1026"/>
      <c r="C56" s="1026"/>
      <c r="D56" s="1026"/>
      <c r="E56" s="1026"/>
      <c r="F56" s="1026"/>
      <c r="G56" s="1026"/>
      <c r="H56" s="1026"/>
      <c r="I56" s="1026"/>
      <c r="J56" s="1026"/>
      <c r="K56" s="1026"/>
      <c r="L56" s="1026"/>
      <c r="M56" s="1026"/>
      <c r="N56" s="1026"/>
      <c r="O56" s="1026"/>
      <c r="P56" s="1026"/>
      <c r="Q56" s="1026"/>
    </row>
    <row r="58" spans="1:17" ht="15" customHeight="1" x14ac:dyDescent="0.25">
      <c r="A58" s="224"/>
      <c r="B58" s="224"/>
      <c r="C58" s="224"/>
      <c r="D58" s="224"/>
      <c r="E58" s="224"/>
      <c r="F58" s="224"/>
      <c r="G58" s="224"/>
      <c r="H58" s="224"/>
      <c r="I58" s="224"/>
    </row>
  </sheetData>
  <protectedRanges>
    <protectedRange sqref="E11 D8 D11:D12" name="Rango3_3_1_1_1_1"/>
    <protectedRange sqref="F11" name="Rango3_1_1_1_1_1_1_1_1"/>
    <protectedRange sqref="L11" name="Rango3_3_1_1_1_2"/>
  </protectedRanges>
  <mergeCells count="5">
    <mergeCell ref="O10:P10"/>
    <mergeCell ref="A56:Q56"/>
    <mergeCell ref="N35:O35"/>
    <mergeCell ref="A33:P33"/>
    <mergeCell ref="A7:Q7"/>
  </mergeCells>
  <phoneticPr fontId="0" type="noConversion"/>
  <conditionalFormatting sqref="N37:N38">
    <cfRule type="expression" dxfId="6" priority="3" stopIfTrue="1">
      <formula>$W$61&gt;=100</formula>
    </cfRule>
  </conditionalFormatting>
  <conditionalFormatting sqref="N39:N40">
    <cfRule type="expression" dxfId="5" priority="1" stopIfTrue="1">
      <formula>$W$62&gt;=100</formula>
    </cfRule>
  </conditionalFormatting>
  <printOptions horizontalCentered="1" verticalCentered="1"/>
  <pageMargins left="0.78740157480314965" right="0.78740157480314965" top="0.59055118110236227" bottom="0.39370078740157483" header="0" footer="0"/>
  <pageSetup paperSize="9" scale="90" orientation="portrait" r:id="rId1"/>
  <headerFooter alignWithMargins="0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49FB-E168-479B-AD39-B549E7323214}">
  <sheetPr codeName="Hoja3"/>
  <dimension ref="A1:H42"/>
  <sheetViews>
    <sheetView workbookViewId="0">
      <selection activeCell="P33" sqref="P33"/>
    </sheetView>
  </sheetViews>
  <sheetFormatPr baseColWidth="10" defaultColWidth="8.33203125" defaultRowHeight="10.199999999999999" x14ac:dyDescent="0.25"/>
  <cols>
    <col min="1" max="4" width="8.33203125" style="250" customWidth="1"/>
    <col min="5" max="7" width="6.109375" style="249" customWidth="1"/>
    <col min="8" max="16384" width="8.33203125" style="250"/>
  </cols>
  <sheetData>
    <row r="1" spans="1:7" x14ac:dyDescent="0.25">
      <c r="A1" s="247" t="s">
        <v>148</v>
      </c>
      <c r="B1" s="247" t="s">
        <v>195</v>
      </c>
      <c r="C1" s="247" t="s">
        <v>196</v>
      </c>
      <c r="D1" s="247" t="s">
        <v>197</v>
      </c>
    </row>
    <row r="2" spans="1:7" x14ac:dyDescent="0.25">
      <c r="A2" s="1040" t="s">
        <v>151</v>
      </c>
      <c r="B2" s="114" t="s">
        <v>149</v>
      </c>
      <c r="C2" s="114" t="s">
        <v>149</v>
      </c>
      <c r="D2" s="114" t="s">
        <v>149</v>
      </c>
    </row>
    <row r="3" spans="1:7" x14ac:dyDescent="0.25">
      <c r="A3" s="1041"/>
      <c r="B3" s="245" t="s">
        <v>198</v>
      </c>
      <c r="C3" s="245" t="s">
        <v>198</v>
      </c>
      <c r="D3" s="245" t="s">
        <v>198</v>
      </c>
      <c r="E3" s="251" t="s">
        <v>195</v>
      </c>
      <c r="F3" s="251" t="s">
        <v>196</v>
      </c>
      <c r="G3" s="251" t="s">
        <v>197</v>
      </c>
    </row>
    <row r="4" spans="1:7" x14ac:dyDescent="0.25">
      <c r="A4" s="115">
        <v>0</v>
      </c>
      <c r="B4" s="115">
        <v>0</v>
      </c>
      <c r="C4" s="115">
        <v>0</v>
      </c>
      <c r="D4" s="115">
        <v>0</v>
      </c>
      <c r="E4" s="252">
        <f>+B4</f>
        <v>0</v>
      </c>
      <c r="F4" s="253">
        <f>+C4</f>
        <v>0</v>
      </c>
      <c r="G4" s="254">
        <f>+D4</f>
        <v>0</v>
      </c>
    </row>
    <row r="5" spans="1:7" x14ac:dyDescent="0.25">
      <c r="A5" s="248">
        <v>0.64</v>
      </c>
      <c r="B5" s="248">
        <f>+Datos!E29</f>
        <v>12.066463870495873</v>
      </c>
      <c r="C5" s="248">
        <f>+Datos!G29</f>
        <v>8.3538746216301689</v>
      </c>
      <c r="D5" s="248">
        <f>+Datos!I29</f>
        <v>4.3918872956725279</v>
      </c>
      <c r="E5" s="252">
        <f t="shared" ref="E5:E11" si="0">+B5</f>
        <v>12.066463870495873</v>
      </c>
      <c r="F5" s="253">
        <f t="shared" ref="F5:F11" si="1">+C5</f>
        <v>8.3538746216301689</v>
      </c>
      <c r="G5" s="254">
        <f t="shared" ref="G5:G11" si="2">+D5</f>
        <v>4.3918872956725279</v>
      </c>
    </row>
    <row r="6" spans="1:7" x14ac:dyDescent="0.25">
      <c r="A6" s="248">
        <v>1.27</v>
      </c>
      <c r="B6" s="248">
        <f>+Datos!E30</f>
        <v>34.059183879364682</v>
      </c>
      <c r="C6" s="248">
        <f>+Datos!G30</f>
        <v>23.193931731301845</v>
      </c>
      <c r="D6" s="248">
        <f>+Datos!I30</f>
        <v>15.777336471729724</v>
      </c>
      <c r="E6" s="252">
        <f t="shared" si="0"/>
        <v>34.059183879364682</v>
      </c>
      <c r="F6" s="253">
        <f t="shared" si="1"/>
        <v>23.193931731301845</v>
      </c>
      <c r="G6" s="254">
        <f t="shared" si="2"/>
        <v>15.777336471729724</v>
      </c>
    </row>
    <row r="7" spans="1:7" x14ac:dyDescent="0.25">
      <c r="A7" s="248">
        <v>1.91</v>
      </c>
      <c r="B7" s="248">
        <f>+Datos!E31</f>
        <v>55.253163921130756</v>
      </c>
      <c r="C7" s="248">
        <f>+Datos!G31</f>
        <v>37.019870938069758</v>
      </c>
      <c r="D7" s="248">
        <f>+Datos!I31</f>
        <v>26.405657219280414</v>
      </c>
      <c r="E7" s="252">
        <f t="shared" si="0"/>
        <v>55.253163921130756</v>
      </c>
      <c r="F7" s="253">
        <f t="shared" si="1"/>
        <v>37.019870938069758</v>
      </c>
      <c r="G7" s="254">
        <f t="shared" si="2"/>
        <v>26.405657219280414</v>
      </c>
    </row>
    <row r="8" spans="1:7" x14ac:dyDescent="0.25">
      <c r="A8" s="248">
        <v>2.54</v>
      </c>
      <c r="B8" s="248">
        <f>+Datos!E32</f>
        <v>72.462420592748401</v>
      </c>
      <c r="C8" s="248">
        <f>+Datos!G32</f>
        <v>48.605316887146564</v>
      </c>
      <c r="D8" s="248">
        <f>+Datos!I32</f>
        <v>33.565629222616735</v>
      </c>
      <c r="E8" s="252">
        <f t="shared" si="0"/>
        <v>72.462420592748401</v>
      </c>
      <c r="F8" s="253">
        <f t="shared" si="1"/>
        <v>48.605316887146564</v>
      </c>
      <c r="G8" s="254">
        <f t="shared" si="2"/>
        <v>33.565629222616735</v>
      </c>
    </row>
    <row r="9" spans="1:7" x14ac:dyDescent="0.25">
      <c r="A9" s="248">
        <v>3.81</v>
      </c>
      <c r="B9" s="248">
        <f>+Datos!E33</f>
        <v>100.89830983106884</v>
      </c>
      <c r="C9" s="248">
        <f>+Datos!G33</f>
        <v>67.549304887658593</v>
      </c>
      <c r="D9" s="248">
        <f>+Datos!I33</f>
        <v>45.402517966853651</v>
      </c>
      <c r="E9" s="252">
        <f t="shared" si="0"/>
        <v>100.89830983106884</v>
      </c>
      <c r="F9" s="253">
        <f t="shared" si="1"/>
        <v>67.549304887658593</v>
      </c>
      <c r="G9" s="254">
        <f t="shared" si="2"/>
        <v>45.402517966853651</v>
      </c>
    </row>
    <row r="10" spans="1:7" x14ac:dyDescent="0.25">
      <c r="A10" s="248">
        <v>5.08</v>
      </c>
      <c r="B10" s="248">
        <f>+Datos!E34</f>
        <v>129.47534153204381</v>
      </c>
      <c r="C10" s="248">
        <f>+Datos!G34</f>
        <v>86.938331268069774</v>
      </c>
      <c r="D10" s="248">
        <f>+Datos!I34</f>
        <v>60.911757739465536</v>
      </c>
      <c r="E10" s="252">
        <f t="shared" si="0"/>
        <v>129.47534153204381</v>
      </c>
      <c r="F10" s="253">
        <f t="shared" si="1"/>
        <v>86.938331268069774</v>
      </c>
      <c r="G10" s="254">
        <f t="shared" si="2"/>
        <v>60.911757739465536</v>
      </c>
    </row>
    <row r="11" spans="1:7" x14ac:dyDescent="0.25">
      <c r="A11" s="248">
        <v>6.35</v>
      </c>
      <c r="B11" s="248">
        <f>+Datos!E35</f>
        <v>161.83350219402899</v>
      </c>
      <c r="C11" s="248">
        <f>+Datos!G35</f>
        <v>109.70236653879252</v>
      </c>
      <c r="D11" s="248">
        <f>+Datos!I35</f>
        <v>72.462420592748401</v>
      </c>
      <c r="E11" s="252">
        <f t="shared" si="0"/>
        <v>161.83350219402899</v>
      </c>
      <c r="F11" s="253">
        <f t="shared" si="1"/>
        <v>109.70236653879252</v>
      </c>
      <c r="G11" s="254">
        <f t="shared" si="2"/>
        <v>72.462420592748401</v>
      </c>
    </row>
    <row r="12" spans="1:7" x14ac:dyDescent="0.25">
      <c r="A12" s="248">
        <v>7.62</v>
      </c>
      <c r="B12" s="248">
        <f>+Datos!E36</f>
        <v>185.83203416458724</v>
      </c>
      <c r="C12" s="248">
        <f>+Datos!G36</f>
        <v>126.30527335993165</v>
      </c>
      <c r="D12" s="248">
        <f>+Datos!I36</f>
        <v>86.202908895174986</v>
      </c>
      <c r="E12" s="252">
        <f>+B12</f>
        <v>185.83203416458724</v>
      </c>
      <c r="F12" s="253">
        <f>+C12</f>
        <v>126.30527335993165</v>
      </c>
      <c r="G12" s="254">
        <f>+D12</f>
        <v>86.202908895174986</v>
      </c>
    </row>
    <row r="13" spans="1:7" x14ac:dyDescent="0.25">
      <c r="A13" s="248">
        <v>8.89</v>
      </c>
      <c r="B13" s="248"/>
      <c r="C13" s="248"/>
      <c r="D13" s="248"/>
      <c r="E13" s="252"/>
      <c r="F13" s="253"/>
      <c r="G13" s="254"/>
    </row>
    <row r="14" spans="1:7" x14ac:dyDescent="0.25">
      <c r="A14" s="248">
        <v>10.16</v>
      </c>
      <c r="B14" s="248"/>
      <c r="C14" s="248"/>
      <c r="D14" s="248"/>
      <c r="E14" s="252"/>
      <c r="F14" s="253"/>
      <c r="G14" s="254"/>
    </row>
    <row r="15" spans="1:7" x14ac:dyDescent="0.25">
      <c r="A15" s="248">
        <v>11.43</v>
      </c>
      <c r="B15" s="248"/>
      <c r="C15" s="248"/>
      <c r="D15" s="248"/>
      <c r="E15" s="252"/>
      <c r="F15" s="253"/>
      <c r="G15" s="254"/>
    </row>
    <row r="16" spans="1:7" x14ac:dyDescent="0.25">
      <c r="A16" s="248">
        <v>12.7</v>
      </c>
      <c r="B16" s="248"/>
      <c r="C16" s="248"/>
      <c r="D16" s="248"/>
      <c r="E16" s="252"/>
      <c r="F16" s="253"/>
      <c r="G16" s="254"/>
    </row>
    <row r="17" spans="1:7" x14ac:dyDescent="0.25">
      <c r="A17" s="255"/>
      <c r="D17" s="250" t="s">
        <v>199</v>
      </c>
      <c r="E17" s="375">
        <v>24.753</v>
      </c>
      <c r="F17" s="375">
        <v>11.391</v>
      </c>
      <c r="G17" s="375">
        <v>16.774999999999999</v>
      </c>
    </row>
    <row r="18" spans="1:7" x14ac:dyDescent="0.25">
      <c r="A18" s="255"/>
      <c r="E18" s="375">
        <v>3.1760999999999999</v>
      </c>
      <c r="F18" s="375">
        <v>1.365</v>
      </c>
      <c r="G18" s="375">
        <v>1.9442999999999999</v>
      </c>
    </row>
    <row r="19" spans="1:7" x14ac:dyDescent="0.25">
      <c r="A19" s="255"/>
      <c r="B19" s="249"/>
      <c r="E19" s="249">
        <f>+E18/E17+2.54</f>
        <v>2.6683117197915402</v>
      </c>
      <c r="F19" s="249">
        <f>+F18/F17+2.54</f>
        <v>2.659831445878325</v>
      </c>
      <c r="G19" s="249">
        <f>+G18/G17+2.54</f>
        <v>2.6559046199701939</v>
      </c>
    </row>
    <row r="20" spans="1:7" x14ac:dyDescent="0.25">
      <c r="E20" s="249">
        <f>+E19</f>
        <v>2.6683117197915402</v>
      </c>
      <c r="F20" s="249">
        <f>+F19</f>
        <v>2.659831445878325</v>
      </c>
      <c r="G20" s="249">
        <f>+G19</f>
        <v>2.6559046199701939</v>
      </c>
    </row>
    <row r="21" spans="1:7" x14ac:dyDescent="0.25">
      <c r="E21" s="249">
        <v>0</v>
      </c>
      <c r="F21" s="249">
        <v>0</v>
      </c>
      <c r="G21" s="249">
        <v>0</v>
      </c>
    </row>
    <row r="22" spans="1:7" x14ac:dyDescent="0.25">
      <c r="E22" s="249">
        <v>0</v>
      </c>
      <c r="F22" s="249">
        <v>0</v>
      </c>
      <c r="G22" s="249">
        <v>0</v>
      </c>
    </row>
    <row r="23" spans="1:7" x14ac:dyDescent="0.25">
      <c r="C23" s="459" t="s">
        <v>200</v>
      </c>
      <c r="E23" s="375">
        <f>+'Grafico CBR'!R32</f>
        <v>74</v>
      </c>
      <c r="F23" s="375">
        <f>+'Grafico CBR'!S32</f>
        <v>50</v>
      </c>
      <c r="G23" s="375">
        <f>+'Grafico CBR'!T32</f>
        <v>34</v>
      </c>
    </row>
    <row r="24" spans="1:7" x14ac:dyDescent="0.25">
      <c r="E24" s="249">
        <f>+E23</f>
        <v>74</v>
      </c>
      <c r="F24" s="249">
        <f>+F23</f>
        <v>50</v>
      </c>
      <c r="G24" s="249">
        <f>+G23</f>
        <v>34</v>
      </c>
    </row>
    <row r="29" spans="1:7" x14ac:dyDescent="0.25">
      <c r="E29" s="256">
        <f>+E10</f>
        <v>129.47534153204381</v>
      </c>
      <c r="F29" s="256">
        <f>+F10</f>
        <v>86.938331268069774</v>
      </c>
      <c r="G29" s="256">
        <f>+G10</f>
        <v>60.911757739465536</v>
      </c>
    </row>
    <row r="33" spans="1:8" ht="10.8" thickBot="1" x14ac:dyDescent="0.3"/>
    <row r="34" spans="1:8" x14ac:dyDescent="0.25">
      <c r="A34" s="1038" t="s">
        <v>201</v>
      </c>
      <c r="B34" s="1039"/>
      <c r="D34" s="1038" t="s">
        <v>202</v>
      </c>
      <c r="E34" s="1039"/>
      <c r="G34" s="1038" t="s">
        <v>203</v>
      </c>
      <c r="H34" s="1039"/>
    </row>
    <row r="35" spans="1:8" x14ac:dyDescent="0.25">
      <c r="A35" s="444">
        <f>+Datos!G13</f>
        <v>2.2810000000000001</v>
      </c>
      <c r="B35" s="257">
        <f>+E23/0.7</f>
        <v>105.71428571428572</v>
      </c>
      <c r="D35" s="258">
        <f>+E23/0.7</f>
        <v>105.71428571428572</v>
      </c>
      <c r="E35" s="259">
        <v>0</v>
      </c>
      <c r="G35" s="260">
        <f>+'Grafico CBR'!N38</f>
        <v>63.58</v>
      </c>
      <c r="H35" s="261">
        <v>0</v>
      </c>
    </row>
    <row r="36" spans="1:8" x14ac:dyDescent="0.25">
      <c r="A36" s="444">
        <f>+Datos!M23</f>
        <v>2.2020003637318029</v>
      </c>
      <c r="B36" s="257">
        <f>+F23/0.7</f>
        <v>71.428571428571431</v>
      </c>
      <c r="D36" s="258">
        <f>+D35</f>
        <v>105.71428571428572</v>
      </c>
      <c r="E36" s="446">
        <f>+A35</f>
        <v>2.2810000000000001</v>
      </c>
      <c r="G36" s="260">
        <f>+G35</f>
        <v>63.58</v>
      </c>
      <c r="H36" s="446">
        <f>0.95*E36</f>
        <v>2.1669499999999999</v>
      </c>
    </row>
    <row r="37" spans="1:8" ht="10.8" thickBot="1" x14ac:dyDescent="0.3">
      <c r="A37" s="445">
        <f>+Datos!N23</f>
        <v>2.0998871279061229</v>
      </c>
      <c r="B37" s="263">
        <f>+G23/0.7</f>
        <v>48.571428571428577</v>
      </c>
      <c r="D37" s="262">
        <v>0</v>
      </c>
      <c r="E37" s="447">
        <f>+E36</f>
        <v>2.2810000000000001</v>
      </c>
      <c r="G37" s="265">
        <v>0</v>
      </c>
      <c r="H37" s="447">
        <f>+H36</f>
        <v>2.1669499999999999</v>
      </c>
    </row>
    <row r="38" spans="1:8" ht="10.8" thickBot="1" x14ac:dyDescent="0.3"/>
    <row r="39" spans="1:8" x14ac:dyDescent="0.25">
      <c r="A39" s="1038" t="s">
        <v>201</v>
      </c>
      <c r="B39" s="1039"/>
      <c r="D39" s="1038" t="s">
        <v>202</v>
      </c>
      <c r="E39" s="1039"/>
      <c r="G39" s="1038" t="s">
        <v>203</v>
      </c>
      <c r="H39" s="1039"/>
    </row>
    <row r="40" spans="1:8" x14ac:dyDescent="0.25">
      <c r="A40" s="444">
        <f>+A35</f>
        <v>2.2810000000000001</v>
      </c>
      <c r="B40" s="257">
        <f>+E29/1.04</f>
        <v>124.49552070388827</v>
      </c>
      <c r="D40" s="258">
        <f>+E29/1.04</f>
        <v>124.49552070388827</v>
      </c>
      <c r="E40" s="259">
        <v>0</v>
      </c>
      <c r="G40" s="266">
        <v>112.4</v>
      </c>
      <c r="H40" s="261">
        <v>0</v>
      </c>
    </row>
    <row r="41" spans="1:8" x14ac:dyDescent="0.25">
      <c r="A41" s="444">
        <f>+A36</f>
        <v>2.2020003637318029</v>
      </c>
      <c r="B41" s="257">
        <f>+F29/1.04</f>
        <v>83.594549296220933</v>
      </c>
      <c r="D41" s="258">
        <f>+D40</f>
        <v>124.49552070388827</v>
      </c>
      <c r="E41" s="259">
        <f>+A40</f>
        <v>2.2810000000000001</v>
      </c>
      <c r="G41" s="260">
        <f>+G40</f>
        <v>112.4</v>
      </c>
      <c r="H41" s="446">
        <f>0.95*E41</f>
        <v>2.1669499999999999</v>
      </c>
    </row>
    <row r="42" spans="1:8" ht="10.8" thickBot="1" x14ac:dyDescent="0.3">
      <c r="A42" s="445">
        <f>+A37</f>
        <v>2.0998871279061229</v>
      </c>
      <c r="B42" s="257">
        <f>+G29/1.04</f>
        <v>58.568997826409166</v>
      </c>
      <c r="D42" s="262">
        <v>0</v>
      </c>
      <c r="E42" s="264">
        <f>+E41</f>
        <v>2.2810000000000001</v>
      </c>
      <c r="G42" s="265">
        <v>0</v>
      </c>
      <c r="H42" s="447">
        <f>+H41</f>
        <v>2.1669499999999999</v>
      </c>
    </row>
  </sheetData>
  <mergeCells count="7">
    <mergeCell ref="A39:B39"/>
    <mergeCell ref="D39:E39"/>
    <mergeCell ref="G39:H39"/>
    <mergeCell ref="A2:A3"/>
    <mergeCell ref="A34:B34"/>
    <mergeCell ref="D34:E34"/>
    <mergeCell ref="G34:H34"/>
  </mergeCells>
  <phoneticPr fontId="0" type="noConversion"/>
  <pageMargins left="0.75" right="0.75" top="1" bottom="1" header="0" footer="0"/>
  <pageSetup orientation="portrait" horizontalDpi="204" verticalDpi="196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1952-A8B3-4148-8140-D94A75C394C1}">
  <dimension ref="A1:P47"/>
  <sheetViews>
    <sheetView view="pageBreakPreview" zoomScaleNormal="100" zoomScaleSheetLayoutView="100" workbookViewId="0">
      <selection activeCell="R40" sqref="R40"/>
    </sheetView>
  </sheetViews>
  <sheetFormatPr baseColWidth="10" defaultColWidth="11.44140625" defaultRowHeight="13.2" x14ac:dyDescent="0.25"/>
  <cols>
    <col min="1" max="1" width="2.5546875" style="489" customWidth="1"/>
    <col min="2" max="2" width="13.44140625" style="489" customWidth="1"/>
    <col min="3" max="3" width="1.109375" style="489" customWidth="1"/>
    <col min="4" max="4" width="16.6640625" style="489" customWidth="1"/>
    <col min="5" max="5" width="6.5546875" style="489" customWidth="1"/>
    <col min="6" max="6" width="9.6640625" style="489" customWidth="1"/>
    <col min="7" max="7" width="10" style="489" customWidth="1"/>
    <col min="8" max="8" width="11.44140625" style="489"/>
    <col min="9" max="9" width="1.109375" style="489" customWidth="1"/>
    <col min="10" max="10" width="8.109375" style="489" customWidth="1"/>
    <col min="11" max="11" width="11.44140625" style="489"/>
    <col min="12" max="12" width="2.6640625" style="489" customWidth="1"/>
    <col min="13" max="16384" width="11.44140625" style="489"/>
  </cols>
  <sheetData>
    <row r="1" spans="1:16" s="144" customFormat="1" ht="15.75" customHeight="1" thickTop="1" x14ac:dyDescent="0.25">
      <c r="A1" s="647"/>
      <c r="B1" s="648"/>
      <c r="C1" s="649"/>
      <c r="D1" s="649"/>
      <c r="E1" s="649"/>
      <c r="F1" s="649"/>
      <c r="G1" s="649"/>
      <c r="H1" s="649"/>
      <c r="I1" s="649"/>
      <c r="J1" s="650"/>
      <c r="K1" s="650"/>
      <c r="L1" s="655"/>
      <c r="M1" s="473"/>
    </row>
    <row r="2" spans="1:16" s="144" customFormat="1" ht="15.75" customHeight="1" x14ac:dyDescent="0.25">
      <c r="A2" s="651"/>
      <c r="B2" s="474"/>
      <c r="C2" s="474"/>
      <c r="D2" s="474"/>
      <c r="E2" s="474"/>
      <c r="F2" s="474"/>
      <c r="G2" s="474"/>
      <c r="H2" s="474"/>
      <c r="I2" s="474"/>
      <c r="J2" s="475"/>
      <c r="K2" s="475"/>
      <c r="L2" s="218"/>
      <c r="M2" s="476"/>
    </row>
    <row r="3" spans="1:16" s="144" customFormat="1" ht="15.75" customHeight="1" x14ac:dyDescent="0.25">
      <c r="A3" s="651"/>
      <c r="B3" s="477"/>
      <c r="F3" s="1042"/>
      <c r="G3" s="1042"/>
      <c r="H3" s="1042"/>
      <c r="I3" s="1042"/>
      <c r="J3" s="478"/>
      <c r="K3" s="478"/>
      <c r="L3" s="218"/>
      <c r="M3" s="478"/>
    </row>
    <row r="4" spans="1:16" s="144" customFormat="1" ht="15.75" customHeight="1" x14ac:dyDescent="0.25">
      <c r="A4" s="651"/>
      <c r="B4" s="479"/>
      <c r="C4" s="480"/>
      <c r="F4" s="481"/>
      <c r="G4" s="482"/>
      <c r="H4" s="482"/>
      <c r="I4" s="482"/>
      <c r="J4" s="561"/>
      <c r="K4" s="484"/>
      <c r="L4" s="218"/>
    </row>
    <row r="5" spans="1:16" s="144" customFormat="1" ht="15.75" customHeight="1" x14ac:dyDescent="0.25">
      <c r="A5" s="651"/>
      <c r="E5" s="487"/>
      <c r="F5" s="487"/>
      <c r="G5" s="487"/>
      <c r="H5" s="487"/>
      <c r="I5" s="487"/>
      <c r="J5" s="487"/>
      <c r="K5" s="487"/>
      <c r="L5" s="656"/>
    </row>
    <row r="6" spans="1:16" ht="15.75" customHeight="1" thickBot="1" x14ac:dyDescent="0.3">
      <c r="A6" s="652"/>
      <c r="B6" s="1043"/>
      <c r="C6" s="1043"/>
      <c r="D6" s="1043"/>
      <c r="E6" s="1043"/>
      <c r="F6" s="1043"/>
      <c r="G6" s="1043"/>
      <c r="H6" s="1043"/>
      <c r="I6" s="1043"/>
      <c r="J6" s="1043"/>
      <c r="K6" s="1043"/>
      <c r="L6" s="657"/>
    </row>
    <row r="7" spans="1:16" ht="42" customHeight="1" thickTop="1" x14ac:dyDescent="0.3">
      <c r="A7" s="1046" t="s">
        <v>204</v>
      </c>
      <c r="B7" s="1047"/>
      <c r="C7" s="1047"/>
      <c r="D7" s="1047"/>
      <c r="E7" s="1047"/>
      <c r="F7" s="1047"/>
      <c r="G7" s="1047"/>
      <c r="H7" s="1047"/>
      <c r="I7" s="1047"/>
      <c r="J7" s="1047"/>
      <c r="K7" s="1047"/>
      <c r="L7" s="1048"/>
      <c r="M7" s="553"/>
      <c r="N7" s="553"/>
      <c r="O7" s="553"/>
      <c r="P7" s="553"/>
    </row>
    <row r="8" spans="1:16" ht="13.8" x14ac:dyDescent="0.25">
      <c r="A8" s="674"/>
      <c r="B8" s="756"/>
      <c r="C8" s="756"/>
      <c r="D8" s="756"/>
      <c r="E8" s="756"/>
      <c r="F8" s="756"/>
      <c r="G8" s="756"/>
      <c r="H8" s="756"/>
      <c r="I8" s="756"/>
      <c r="J8" s="756"/>
      <c r="K8" s="756"/>
      <c r="L8" s="757"/>
    </row>
    <row r="9" spans="1:16" ht="13.8" x14ac:dyDescent="0.25">
      <c r="A9" s="674"/>
      <c r="B9" s="591" t="s">
        <v>174</v>
      </c>
      <c r="C9" s="502" t="s">
        <v>38</v>
      </c>
      <c r="D9" s="691" t="s">
        <v>205</v>
      </c>
      <c r="E9" s="691"/>
      <c r="F9" s="691"/>
      <c r="G9" s="691"/>
      <c r="H9" s="591" t="s">
        <v>121</v>
      </c>
      <c r="I9" s="503"/>
      <c r="J9" s="653"/>
      <c r="K9" s="691" t="s">
        <v>206</v>
      </c>
      <c r="L9" s="676"/>
    </row>
    <row r="10" spans="1:16" ht="13.8" x14ac:dyDescent="0.25">
      <c r="A10" s="674"/>
      <c r="B10" s="675" t="s">
        <v>175</v>
      </c>
      <c r="C10" s="502" t="s">
        <v>38</v>
      </c>
      <c r="D10" s="603" t="s">
        <v>207</v>
      </c>
      <c r="E10" s="603"/>
      <c r="F10" s="603"/>
      <c r="G10" s="603"/>
      <c r="H10" s="591" t="s">
        <v>126</v>
      </c>
      <c r="I10" s="503"/>
      <c r="J10" s="653"/>
      <c r="K10" s="604" t="s">
        <v>208</v>
      </c>
      <c r="L10" s="676"/>
    </row>
    <row r="11" spans="1:16" ht="13.8" x14ac:dyDescent="0.25">
      <c r="A11" s="674"/>
      <c r="B11" s="591" t="s">
        <v>176</v>
      </c>
      <c r="C11" s="502" t="s">
        <v>38</v>
      </c>
      <c r="D11" s="603" t="s">
        <v>209</v>
      </c>
      <c r="E11" s="603"/>
      <c r="F11" s="603"/>
      <c r="G11" s="603"/>
      <c r="H11" s="591" t="s">
        <v>177</v>
      </c>
      <c r="I11" s="497"/>
      <c r="J11" s="653"/>
      <c r="K11" s="601">
        <v>41528</v>
      </c>
      <c r="L11" s="676"/>
    </row>
    <row r="12" spans="1:16" ht="13.8" x14ac:dyDescent="0.25">
      <c r="A12" s="674"/>
      <c r="B12" s="591" t="s">
        <v>14</v>
      </c>
      <c r="C12" s="502" t="s">
        <v>38</v>
      </c>
      <c r="D12" s="590" t="s">
        <v>210</v>
      </c>
      <c r="E12" s="590"/>
      <c r="F12" s="590"/>
      <c r="G12" s="590"/>
      <c r="H12" s="591" t="s">
        <v>136</v>
      </c>
      <c r="I12" s="503"/>
      <c r="J12" s="654"/>
      <c r="K12" s="604" t="str">
        <f>+'[5]CONO 1'!$J$15</f>
        <v>R. Portillo</v>
      </c>
      <c r="L12" s="676"/>
    </row>
    <row r="13" spans="1:16" ht="13.8" x14ac:dyDescent="0.25">
      <c r="A13" s="677"/>
      <c r="B13" s="678" t="s">
        <v>211</v>
      </c>
      <c r="C13" s="679" t="s">
        <v>38</v>
      </c>
      <c r="D13" s="606" t="s">
        <v>212</v>
      </c>
      <c r="E13" s="606"/>
      <c r="F13" s="606"/>
      <c r="G13" s="606"/>
      <c r="H13" s="680"/>
      <c r="I13" s="679"/>
      <c r="J13" s="681"/>
      <c r="K13" s="682"/>
      <c r="L13" s="683"/>
    </row>
    <row r="14" spans="1:16" ht="9.75" customHeight="1" x14ac:dyDescent="0.25">
      <c r="A14" s="767"/>
      <c r="B14" s="593"/>
      <c r="C14" s="768"/>
      <c r="D14" s="769"/>
      <c r="E14" s="769"/>
      <c r="F14" s="769"/>
      <c r="G14" s="769"/>
      <c r="H14" s="660"/>
      <c r="I14" s="768"/>
      <c r="J14" s="770"/>
      <c r="K14" s="771"/>
      <c r="L14" s="772"/>
    </row>
    <row r="15" spans="1:16" ht="21" customHeight="1" x14ac:dyDescent="0.25">
      <c r="A15" s="674"/>
      <c r="B15" s="659"/>
      <c r="C15" s="660"/>
      <c r="D15" s="661"/>
      <c r="E15" s="662"/>
      <c r="F15" s="1051" t="s">
        <v>213</v>
      </c>
      <c r="G15" s="1052"/>
      <c r="H15" s="1052"/>
      <c r="I15" s="1052"/>
      <c r="J15" s="1053"/>
      <c r="K15" s="663" t="s">
        <v>214</v>
      </c>
      <c r="L15" s="773"/>
    </row>
    <row r="16" spans="1:16" ht="26.25" customHeight="1" x14ac:dyDescent="0.25">
      <c r="A16" s="674"/>
      <c r="B16" s="664"/>
      <c r="C16" s="562"/>
      <c r="D16" s="563"/>
      <c r="E16" s="564"/>
      <c r="F16" s="555">
        <v>1</v>
      </c>
      <c r="G16" s="555">
        <v>2</v>
      </c>
      <c r="H16" s="555">
        <v>3</v>
      </c>
      <c r="I16" s="1049">
        <v>4</v>
      </c>
      <c r="J16" s="1050"/>
      <c r="K16" s="665"/>
      <c r="L16" s="773"/>
    </row>
    <row r="17" spans="1:12" ht="26.25" customHeight="1" x14ac:dyDescent="0.25">
      <c r="A17" s="674"/>
      <c r="B17" s="666" t="s">
        <v>215</v>
      </c>
      <c r="C17" s="524"/>
      <c r="D17" s="565"/>
      <c r="E17" s="559" t="s">
        <v>216</v>
      </c>
      <c r="F17" s="560">
        <f>+[6]G_LL!B32</f>
        <v>4.76</v>
      </c>
      <c r="G17" s="560">
        <f>+F17</f>
        <v>4.76</v>
      </c>
      <c r="H17" s="560">
        <f>+G17</f>
        <v>4.76</v>
      </c>
      <c r="I17" s="1054"/>
      <c r="J17" s="1055"/>
      <c r="K17" s="667"/>
      <c r="L17" s="773"/>
    </row>
    <row r="18" spans="1:12" ht="26.25" customHeight="1" x14ac:dyDescent="0.25">
      <c r="A18" s="674"/>
      <c r="B18" s="666" t="s">
        <v>217</v>
      </c>
      <c r="C18" s="524"/>
      <c r="D18" s="565"/>
      <c r="E18" s="566">
        <v>6.9444444444444441E-3</v>
      </c>
      <c r="F18" s="558">
        <v>0.4513888888888889</v>
      </c>
      <c r="G18" s="567">
        <f>+F18+0.002</f>
        <v>0.4533888888888889</v>
      </c>
      <c r="H18" s="567">
        <f>+F18+0.003</f>
        <v>0.4543888888888889</v>
      </c>
      <c r="I18" s="1044"/>
      <c r="J18" s="1045"/>
      <c r="K18" s="667"/>
      <c r="L18" s="773"/>
    </row>
    <row r="19" spans="1:12" ht="26.25" customHeight="1" x14ac:dyDescent="0.25">
      <c r="A19" s="674"/>
      <c r="B19" s="666" t="s">
        <v>218</v>
      </c>
      <c r="C19" s="524"/>
      <c r="D19" s="565"/>
      <c r="E19" s="559"/>
      <c r="F19" s="567">
        <f>+F18+$E$18</f>
        <v>0.45833333333333331</v>
      </c>
      <c r="G19" s="567">
        <f>+G18+$E$18</f>
        <v>0.46033333333333332</v>
      </c>
      <c r="H19" s="567">
        <f>+H18+$E$18</f>
        <v>0.46133333333333332</v>
      </c>
      <c r="I19" s="1044"/>
      <c r="J19" s="1045"/>
      <c r="K19" s="667"/>
      <c r="L19" s="773"/>
    </row>
    <row r="20" spans="1:12" ht="26.25" customHeight="1" x14ac:dyDescent="0.25">
      <c r="A20" s="674"/>
      <c r="B20" s="666" t="s">
        <v>219</v>
      </c>
      <c r="C20" s="524"/>
      <c r="D20" s="565"/>
      <c r="E20" s="568">
        <v>1.3888888888888889E-3</v>
      </c>
      <c r="F20" s="567">
        <f>+F19+$E$20</f>
        <v>0.4597222222222222</v>
      </c>
      <c r="G20" s="567">
        <f>+G19+$E$20</f>
        <v>0.4617222222222222</v>
      </c>
      <c r="H20" s="567">
        <f>+H19+$E$20</f>
        <v>0.4627222222222222</v>
      </c>
      <c r="I20" s="1044"/>
      <c r="J20" s="1045"/>
      <c r="K20" s="667"/>
      <c r="L20" s="773"/>
    </row>
    <row r="21" spans="1:12" ht="26.25" customHeight="1" x14ac:dyDescent="0.25">
      <c r="A21" s="674"/>
      <c r="B21" s="666" t="s">
        <v>220</v>
      </c>
      <c r="C21" s="524"/>
      <c r="D21" s="565"/>
      <c r="E21" s="559"/>
      <c r="F21" s="567">
        <f>+F20+$B$26</f>
        <v>0.47361111111111109</v>
      </c>
      <c r="G21" s="567">
        <f>+G20+$B$26</f>
        <v>0.4756111111111111</v>
      </c>
      <c r="H21" s="567">
        <f>+H20+$B$26</f>
        <v>0.4766111111111111</v>
      </c>
      <c r="I21" s="1056"/>
      <c r="J21" s="1057"/>
      <c r="K21" s="667"/>
      <c r="L21" s="773"/>
    </row>
    <row r="22" spans="1:12" ht="26.25" customHeight="1" x14ac:dyDescent="0.25">
      <c r="A22" s="674"/>
      <c r="B22" s="666" t="s">
        <v>221</v>
      </c>
      <c r="C22" s="524"/>
      <c r="D22" s="565"/>
      <c r="E22" s="559" t="s">
        <v>216</v>
      </c>
      <c r="F22" s="556">
        <v>8.9</v>
      </c>
      <c r="G22" s="556">
        <v>9.3000000000000007</v>
      </c>
      <c r="H22" s="556">
        <v>9.41</v>
      </c>
      <c r="I22" s="1062"/>
      <c r="J22" s="1063"/>
      <c r="K22" s="667"/>
      <c r="L22" s="773"/>
    </row>
    <row r="23" spans="1:12" ht="26.25" customHeight="1" x14ac:dyDescent="0.25">
      <c r="A23" s="674"/>
      <c r="B23" s="666" t="s">
        <v>222</v>
      </c>
      <c r="C23" s="524"/>
      <c r="D23" s="565"/>
      <c r="E23" s="559" t="s">
        <v>216</v>
      </c>
      <c r="F23" s="556">
        <v>3.4</v>
      </c>
      <c r="G23" s="556">
        <v>3.4</v>
      </c>
      <c r="H23" s="556">
        <v>3.52</v>
      </c>
      <c r="I23" s="1062"/>
      <c r="J23" s="1063"/>
      <c r="K23" s="667"/>
      <c r="L23" s="773"/>
    </row>
    <row r="24" spans="1:12" ht="26.25" customHeight="1" x14ac:dyDescent="0.25">
      <c r="A24" s="674"/>
      <c r="B24" s="666" t="s">
        <v>223</v>
      </c>
      <c r="C24" s="524"/>
      <c r="D24" s="565"/>
      <c r="E24" s="559" t="s">
        <v>193</v>
      </c>
      <c r="F24" s="554">
        <f>+F23/F22*100</f>
        <v>38.202247191011232</v>
      </c>
      <c r="G24" s="554">
        <f>+G23/G22*100</f>
        <v>36.559139784946233</v>
      </c>
      <c r="H24" s="554">
        <f>+H23/H22*100</f>
        <v>37.40701381509033</v>
      </c>
      <c r="I24" s="1064"/>
      <c r="J24" s="1065"/>
      <c r="K24" s="668">
        <f>AVERAGE(F24:H24)</f>
        <v>37.389466930349265</v>
      </c>
      <c r="L24" s="773"/>
    </row>
    <row r="25" spans="1:12" ht="26.25" customHeight="1" x14ac:dyDescent="0.25">
      <c r="A25" s="674"/>
      <c r="B25" s="669"/>
      <c r="C25" s="670"/>
      <c r="D25" s="670"/>
      <c r="E25" s="671"/>
      <c r="F25" s="672"/>
      <c r="G25" s="672"/>
      <c r="H25" s="672"/>
      <c r="I25" s="1061"/>
      <c r="J25" s="1061"/>
      <c r="K25" s="673"/>
      <c r="L25" s="773"/>
    </row>
    <row r="26" spans="1:12" x14ac:dyDescent="0.25">
      <c r="A26" s="674"/>
      <c r="B26" s="658">
        <v>1.3888888888888888E-2</v>
      </c>
      <c r="E26" s="569"/>
      <c r="F26" s="570"/>
      <c r="G26" s="570"/>
      <c r="H26" s="570"/>
      <c r="I26" s="570"/>
      <c r="J26" s="570"/>
      <c r="K26" s="570"/>
      <c r="L26" s="773"/>
    </row>
    <row r="27" spans="1:12" x14ac:dyDescent="0.25">
      <c r="A27" s="674"/>
      <c r="B27" s="571" t="s">
        <v>224</v>
      </c>
      <c r="E27" s="569"/>
      <c r="G27" s="167"/>
      <c r="H27" s="167"/>
      <c r="I27" s="167"/>
      <c r="J27" s="1058"/>
      <c r="K27" s="1006"/>
      <c r="L27" s="1059"/>
    </row>
    <row r="28" spans="1:12" ht="18" customHeight="1" x14ac:dyDescent="0.25">
      <c r="A28" s="674"/>
      <c r="B28" s="571"/>
      <c r="D28" s="758"/>
      <c r="E28" s="759"/>
      <c r="F28" s="758"/>
      <c r="G28" s="760"/>
      <c r="H28" s="760"/>
      <c r="I28" s="760"/>
      <c r="J28" s="761"/>
      <c r="K28" s="762"/>
      <c r="L28" s="600"/>
    </row>
    <row r="29" spans="1:12" ht="18" customHeight="1" x14ac:dyDescent="0.25">
      <c r="A29" s="674"/>
      <c r="B29" s="571"/>
      <c r="E29" s="569"/>
      <c r="F29" s="570"/>
      <c r="G29" s="557"/>
      <c r="H29" s="557"/>
      <c r="I29" s="557"/>
      <c r="J29" s="1058"/>
      <c r="K29" s="1006"/>
      <c r="L29" s="1059"/>
    </row>
    <row r="30" spans="1:12" ht="18" customHeight="1" x14ac:dyDescent="0.25">
      <c r="A30" s="674"/>
      <c r="B30" s="571"/>
      <c r="D30" s="763"/>
      <c r="E30" s="764"/>
      <c r="F30" s="765"/>
      <c r="G30" s="766"/>
      <c r="H30" s="766"/>
      <c r="I30" s="766"/>
      <c r="J30" s="766"/>
      <c r="K30" s="766"/>
      <c r="L30" s="773"/>
    </row>
    <row r="31" spans="1:12" ht="18" customHeight="1" x14ac:dyDescent="0.25">
      <c r="A31" s="677"/>
      <c r="B31" s="682"/>
      <c r="C31" s="682"/>
      <c r="D31" s="682"/>
      <c r="E31" s="682"/>
      <c r="F31" s="682"/>
      <c r="G31" s="682"/>
      <c r="H31" s="774"/>
      <c r="I31" s="774"/>
      <c r="J31" s="774"/>
      <c r="K31" s="775"/>
      <c r="L31" s="683"/>
    </row>
    <row r="32" spans="1:12" ht="18" customHeight="1" x14ac:dyDescent="0.25">
      <c r="B32" s="571"/>
    </row>
    <row r="33" spans="1:12" ht="18" customHeight="1" x14ac:dyDescent="0.25">
      <c r="B33" s="571"/>
      <c r="C33" s="571"/>
      <c r="D33" s="571"/>
    </row>
    <row r="34" spans="1:12" ht="18" customHeight="1" x14ac:dyDescent="0.25">
      <c r="B34" s="571"/>
      <c r="C34" s="571"/>
      <c r="D34" s="571"/>
    </row>
    <row r="35" spans="1:12" ht="18" customHeight="1" x14ac:dyDescent="0.25">
      <c r="B35" s="571"/>
      <c r="C35" s="571"/>
      <c r="D35" s="571"/>
    </row>
    <row r="36" spans="1:12" ht="18" customHeight="1" x14ac:dyDescent="0.25">
      <c r="B36" s="571"/>
      <c r="C36" s="571"/>
      <c r="D36" s="571"/>
    </row>
    <row r="37" spans="1:12" x14ac:dyDescent="0.25">
      <c r="B37" s="569"/>
      <c r="C37" s="569"/>
      <c r="D37" s="569"/>
      <c r="F37" s="569"/>
      <c r="G37" s="569"/>
      <c r="H37" s="569"/>
      <c r="I37" s="569"/>
      <c r="J37" s="569"/>
      <c r="K37" s="569"/>
    </row>
    <row r="46" spans="1:12" ht="11.25" customHeight="1" x14ac:dyDescent="0.25"/>
    <row r="47" spans="1:12" ht="17.25" customHeight="1" x14ac:dyDescent="0.25">
      <c r="A47" s="1060" t="s">
        <v>159</v>
      </c>
      <c r="B47" s="1060"/>
      <c r="C47" s="1060"/>
      <c r="D47" s="1060"/>
      <c r="E47" s="1060"/>
      <c r="F47" s="1060"/>
      <c r="G47" s="1060"/>
      <c r="H47" s="1060"/>
      <c r="I47" s="1060"/>
      <c r="J47" s="1060"/>
      <c r="K47" s="1060"/>
      <c r="L47" s="1060"/>
    </row>
  </sheetData>
  <protectedRanges>
    <protectedRange sqref="E12 D9 D12:D14" name="Rango3_3_1_1_1"/>
    <protectedRange sqref="F12:G12" name="Rango3_1_1_1_1_1_1_1"/>
    <protectedRange sqref="H12" name="Rango3_3_1_1_1_1"/>
  </protectedRanges>
  <mergeCells count="17">
    <mergeCell ref="I21:J21"/>
    <mergeCell ref="J29:L29"/>
    <mergeCell ref="A47:L47"/>
    <mergeCell ref="I25:J25"/>
    <mergeCell ref="I22:J22"/>
    <mergeCell ref="I23:J23"/>
    <mergeCell ref="I24:J24"/>
    <mergeCell ref="J27:L27"/>
    <mergeCell ref="F3:I3"/>
    <mergeCell ref="B6:K6"/>
    <mergeCell ref="I18:J18"/>
    <mergeCell ref="I19:J19"/>
    <mergeCell ref="I20:J20"/>
    <mergeCell ref="A7:L7"/>
    <mergeCell ref="I16:J16"/>
    <mergeCell ref="F15:J15"/>
    <mergeCell ref="I17:J17"/>
  </mergeCells>
  <phoneticPr fontId="0" type="noConversion"/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BD32-8A92-444F-84E1-4464BFBADD9A}">
  <dimension ref="A1:O45"/>
  <sheetViews>
    <sheetView view="pageBreakPreview" zoomScaleNormal="100" zoomScaleSheetLayoutView="100" workbookViewId="0">
      <selection activeCell="L20" sqref="L20"/>
    </sheetView>
  </sheetViews>
  <sheetFormatPr baseColWidth="10" defaultColWidth="11.44140625" defaultRowHeight="12" x14ac:dyDescent="0.25"/>
  <cols>
    <col min="1" max="1" width="11.44140625" style="692" customWidth="1"/>
    <col min="2" max="2" width="1.44140625" style="692" customWidth="1"/>
    <col min="3" max="3" width="12.5546875" style="692" customWidth="1"/>
    <col min="4" max="5" width="16.5546875" style="692" customWidth="1"/>
    <col min="6" max="6" width="15" style="692" customWidth="1"/>
    <col min="7" max="7" width="1.6640625" style="692" customWidth="1"/>
    <col min="8" max="8" width="16.5546875" style="692" customWidth="1"/>
    <col min="9" max="9" width="14.44140625" style="692" customWidth="1"/>
    <col min="10" max="16384" width="11.44140625" style="692"/>
  </cols>
  <sheetData>
    <row r="1" spans="1:15" ht="15.75" customHeight="1" thickTop="1" x14ac:dyDescent="0.3">
      <c r="A1" s="738"/>
      <c r="B1" s="739"/>
      <c r="C1" s="739"/>
      <c r="D1" s="739"/>
      <c r="E1" s="739"/>
      <c r="F1" s="739"/>
      <c r="G1" s="739"/>
      <c r="H1" s="740"/>
      <c r="I1" s="693"/>
      <c r="J1" s="693"/>
      <c r="K1" s="693"/>
    </row>
    <row r="2" spans="1:15" ht="15.75" customHeight="1" x14ac:dyDescent="0.25">
      <c r="A2" s="741"/>
      <c r="B2" s="742"/>
      <c r="C2" s="742"/>
      <c r="D2" s="742"/>
      <c r="E2" s="742"/>
      <c r="F2" s="742"/>
      <c r="G2" s="742"/>
      <c r="H2" s="743"/>
      <c r="I2" s="694"/>
      <c r="J2" s="694"/>
      <c r="K2" s="694"/>
    </row>
    <row r="3" spans="1:15" ht="15.75" customHeight="1" x14ac:dyDescent="0.25">
      <c r="A3" s="741"/>
      <c r="B3" s="742"/>
      <c r="C3" s="742"/>
      <c r="D3" s="742"/>
      <c r="E3" s="742"/>
      <c r="F3" s="742"/>
      <c r="G3" s="742"/>
      <c r="H3" s="743"/>
      <c r="I3" s="695"/>
      <c r="J3" s="695"/>
      <c r="K3" s="695"/>
    </row>
    <row r="4" spans="1:15" ht="15.75" customHeight="1" x14ac:dyDescent="0.25">
      <c r="A4" s="741"/>
      <c r="B4" s="742"/>
      <c r="C4" s="742"/>
      <c r="D4" s="742"/>
      <c r="E4" s="742"/>
      <c r="F4" s="742"/>
      <c r="G4" s="742"/>
      <c r="H4" s="743"/>
      <c r="I4" s="696"/>
      <c r="J4" s="696"/>
      <c r="K4" s="696"/>
    </row>
    <row r="5" spans="1:15" ht="15.75" customHeight="1" x14ac:dyDescent="0.25">
      <c r="A5" s="741"/>
      <c r="B5" s="742"/>
      <c r="C5" s="742"/>
      <c r="D5" s="742"/>
      <c r="E5" s="742"/>
      <c r="F5" s="742"/>
      <c r="G5" s="742"/>
      <c r="H5" s="743"/>
      <c r="I5" s="697"/>
      <c r="J5" s="698"/>
      <c r="K5" s="698"/>
    </row>
    <row r="6" spans="1:15" ht="15.75" customHeight="1" thickBot="1" x14ac:dyDescent="0.3">
      <c r="A6" s="744"/>
      <c r="B6" s="745"/>
      <c r="C6" s="745"/>
      <c r="D6" s="745"/>
      <c r="E6" s="745"/>
      <c r="F6" s="745"/>
      <c r="G6" s="745"/>
      <c r="H6" s="746"/>
      <c r="I6" s="699"/>
      <c r="J6" s="699"/>
      <c r="K6" s="699"/>
    </row>
    <row r="7" spans="1:15" ht="42" customHeight="1" thickTop="1" x14ac:dyDescent="0.3">
      <c r="A7" s="1069" t="s">
        <v>225</v>
      </c>
      <c r="B7" s="1070"/>
      <c r="C7" s="1070"/>
      <c r="D7" s="1070"/>
      <c r="E7" s="1070"/>
      <c r="F7" s="1070"/>
      <c r="G7" s="1070"/>
      <c r="H7" s="1071"/>
      <c r="I7" s="700"/>
      <c r="J7" s="700"/>
      <c r="K7" s="700"/>
      <c r="L7" s="701"/>
      <c r="M7" s="701"/>
      <c r="N7" s="701"/>
      <c r="O7" s="701"/>
    </row>
    <row r="8" spans="1:15" s="699" customFormat="1" ht="15" customHeight="1" x14ac:dyDescent="0.25">
      <c r="A8" s="727"/>
      <c r="B8" s="728"/>
      <c r="C8" s="728"/>
      <c r="D8" s="728"/>
      <c r="E8" s="728"/>
      <c r="F8" s="728"/>
      <c r="G8" s="728"/>
      <c r="H8" s="729"/>
    </row>
    <row r="9" spans="1:15" s="699" customFormat="1" ht="15" customHeight="1" x14ac:dyDescent="0.25">
      <c r="A9" s="587" t="s">
        <v>174</v>
      </c>
      <c r="B9" s="591" t="s">
        <v>38</v>
      </c>
      <c r="C9" s="691" t="s">
        <v>205</v>
      </c>
      <c r="D9" s="732"/>
      <c r="E9" s="732"/>
      <c r="F9" s="591" t="s">
        <v>121</v>
      </c>
      <c r="G9" s="591" t="s">
        <v>38</v>
      </c>
      <c r="H9" s="737" t="s">
        <v>226</v>
      </c>
    </row>
    <row r="10" spans="1:15" s="699" customFormat="1" ht="15" customHeight="1" x14ac:dyDescent="0.25">
      <c r="A10" s="588" t="s">
        <v>175</v>
      </c>
      <c r="B10" s="591" t="s">
        <v>38</v>
      </c>
      <c r="C10" s="603" t="s">
        <v>207</v>
      </c>
      <c r="D10" s="733"/>
      <c r="E10" s="733"/>
      <c r="F10" s="591" t="s">
        <v>126</v>
      </c>
      <c r="G10" s="591" t="s">
        <v>38</v>
      </c>
      <c r="H10" s="605" t="s">
        <v>208</v>
      </c>
    </row>
    <row r="11" spans="1:15" s="699" customFormat="1" ht="15" customHeight="1" x14ac:dyDescent="0.25">
      <c r="A11" s="587" t="s">
        <v>176</v>
      </c>
      <c r="B11" s="591" t="s">
        <v>38</v>
      </c>
      <c r="C11" s="589" t="s">
        <v>209</v>
      </c>
      <c r="D11" s="733"/>
      <c r="E11" s="733"/>
      <c r="F11" s="591" t="s">
        <v>130</v>
      </c>
      <c r="G11" s="591" t="s">
        <v>38</v>
      </c>
      <c r="H11" s="776">
        <v>41528</v>
      </c>
    </row>
    <row r="12" spans="1:15" s="699" customFormat="1" ht="15" customHeight="1" x14ac:dyDescent="0.25">
      <c r="A12" s="587" t="s">
        <v>14</v>
      </c>
      <c r="B12" s="591" t="s">
        <v>38</v>
      </c>
      <c r="C12" s="589" t="s">
        <v>210</v>
      </c>
      <c r="D12" s="734"/>
      <c r="E12" s="733"/>
      <c r="F12" s="591" t="s">
        <v>136</v>
      </c>
      <c r="G12" s="591" t="s">
        <v>38</v>
      </c>
      <c r="H12" s="605" t="str">
        <f>+'[5]CONO 1'!$J$15</f>
        <v>R. Portillo</v>
      </c>
    </row>
    <row r="13" spans="1:15" s="699" customFormat="1" ht="15" customHeight="1" x14ac:dyDescent="0.25">
      <c r="A13" s="587" t="s">
        <v>211</v>
      </c>
      <c r="B13" s="591" t="s">
        <v>38</v>
      </c>
      <c r="C13" s="603" t="s">
        <v>212</v>
      </c>
      <c r="D13" s="735"/>
      <c r="E13" s="736"/>
      <c r="F13" s="725"/>
      <c r="G13" s="725"/>
      <c r="H13" s="730"/>
    </row>
    <row r="14" spans="1:15" s="699" customFormat="1" ht="15" customHeight="1" x14ac:dyDescent="0.25">
      <c r="A14" s="594"/>
      <c r="B14" s="678"/>
      <c r="C14" s="611"/>
      <c r="D14" s="702"/>
      <c r="E14" s="703"/>
      <c r="F14" s="704"/>
      <c r="G14" s="704"/>
      <c r="H14" s="731"/>
    </row>
    <row r="15" spans="1:15" ht="15" customHeight="1" x14ac:dyDescent="0.25">
      <c r="A15" s="780"/>
      <c r="B15" s="781"/>
      <c r="C15" s="781"/>
      <c r="D15" s="781"/>
      <c r="E15" s="781"/>
      <c r="F15" s="781"/>
      <c r="G15" s="781"/>
      <c r="H15" s="782"/>
    </row>
    <row r="16" spans="1:15" ht="20.100000000000001" customHeight="1" x14ac:dyDescent="0.25">
      <c r="A16" s="1072" t="s">
        <v>227</v>
      </c>
      <c r="B16" s="1073"/>
      <c r="C16" s="1074"/>
      <c r="D16" s="1066" t="s">
        <v>228</v>
      </c>
      <c r="E16" s="1078"/>
      <c r="F16" s="1078"/>
      <c r="G16" s="1078"/>
      <c r="H16" s="1067"/>
    </row>
    <row r="17" spans="1:8" ht="20.100000000000001" customHeight="1" x14ac:dyDescent="0.25">
      <c r="A17" s="1075"/>
      <c r="B17" s="1076"/>
      <c r="C17" s="1077"/>
      <c r="D17" s="705" t="s">
        <v>229</v>
      </c>
      <c r="E17" s="706" t="s">
        <v>230</v>
      </c>
      <c r="F17" s="1066" t="s">
        <v>231</v>
      </c>
      <c r="G17" s="1067"/>
      <c r="H17" s="706" t="s">
        <v>232</v>
      </c>
    </row>
    <row r="18" spans="1:8" ht="20.100000000000001" customHeight="1" x14ac:dyDescent="0.25">
      <c r="A18" s="1068" t="s">
        <v>58</v>
      </c>
      <c r="B18" s="1068"/>
      <c r="C18" s="1068"/>
      <c r="D18" s="707"/>
      <c r="E18" s="708"/>
      <c r="F18" s="1066"/>
      <c r="G18" s="1067"/>
      <c r="H18" s="709"/>
    </row>
    <row r="19" spans="1:8" ht="20.100000000000001" customHeight="1" x14ac:dyDescent="0.25">
      <c r="A19" s="1068" t="s">
        <v>59</v>
      </c>
      <c r="B19" s="1068"/>
      <c r="C19" s="1068"/>
      <c r="D19" s="710">
        <v>1252.0999999999999</v>
      </c>
      <c r="E19" s="708"/>
      <c r="F19" s="1066"/>
      <c r="G19" s="1067"/>
      <c r="H19" s="709"/>
    </row>
    <row r="20" spans="1:8" ht="20.100000000000001" customHeight="1" x14ac:dyDescent="0.25">
      <c r="A20" s="1068" t="s">
        <v>60</v>
      </c>
      <c r="B20" s="1068"/>
      <c r="C20" s="1068"/>
      <c r="D20" s="710">
        <v>1253.5999999999999</v>
      </c>
      <c r="E20" s="708"/>
      <c r="F20" s="1066"/>
      <c r="G20" s="1067"/>
      <c r="H20" s="709"/>
    </row>
    <row r="21" spans="1:8" ht="20.100000000000001" customHeight="1" x14ac:dyDescent="0.25">
      <c r="A21" s="1068" t="s">
        <v>61</v>
      </c>
      <c r="B21" s="1068"/>
      <c r="C21" s="1068"/>
      <c r="D21" s="710">
        <v>1251.3</v>
      </c>
      <c r="E21" s="711">
        <v>2500.1</v>
      </c>
      <c r="F21" s="1066"/>
      <c r="G21" s="1067"/>
      <c r="H21" s="709"/>
    </row>
    <row r="22" spans="1:8" ht="20.100000000000001" customHeight="1" x14ac:dyDescent="0.25">
      <c r="A22" s="1068" t="s">
        <v>62</v>
      </c>
      <c r="B22" s="1068"/>
      <c r="C22" s="1068"/>
      <c r="D22" s="710">
        <v>1250.5999999999999</v>
      </c>
      <c r="E22" s="711">
        <v>2500.9</v>
      </c>
      <c r="F22" s="1066"/>
      <c r="G22" s="1067"/>
      <c r="H22" s="709"/>
    </row>
    <row r="23" spans="1:8" ht="20.100000000000001" customHeight="1" x14ac:dyDescent="0.25">
      <c r="A23" s="1068" t="s">
        <v>63</v>
      </c>
      <c r="B23" s="1068"/>
      <c r="C23" s="1068"/>
      <c r="D23" s="712"/>
      <c r="E23" s="711"/>
      <c r="F23" s="1066"/>
      <c r="G23" s="1067"/>
      <c r="H23" s="709"/>
    </row>
    <row r="24" spans="1:8" ht="20.100000000000001" customHeight="1" x14ac:dyDescent="0.25">
      <c r="A24" s="1068" t="s">
        <v>233</v>
      </c>
      <c r="B24" s="1068"/>
      <c r="C24" s="1068"/>
      <c r="D24" s="712"/>
      <c r="E24" s="711"/>
      <c r="F24" s="1066"/>
      <c r="G24" s="1067"/>
      <c r="H24" s="709"/>
    </row>
    <row r="25" spans="1:8" ht="20.100000000000001" customHeight="1" x14ac:dyDescent="0.25">
      <c r="A25" s="1068" t="s">
        <v>234</v>
      </c>
      <c r="B25" s="1068"/>
      <c r="C25" s="1068"/>
      <c r="D25" s="713">
        <f>SUM(D19+D20+D21+D22)</f>
        <v>5007.6000000000004</v>
      </c>
      <c r="E25" s="714">
        <f>SUM(E21:E24)</f>
        <v>5001</v>
      </c>
      <c r="F25" s="1066"/>
      <c r="G25" s="1067"/>
      <c r="H25" s="715"/>
    </row>
    <row r="26" spans="1:8" ht="20.100000000000001" customHeight="1" x14ac:dyDescent="0.25">
      <c r="A26" s="1080" t="s">
        <v>235</v>
      </c>
      <c r="B26" s="1081"/>
      <c r="C26" s="1082"/>
      <c r="D26" s="716">
        <v>3629.6</v>
      </c>
      <c r="E26" s="717">
        <v>4238.3999999999996</v>
      </c>
      <c r="F26" s="1066"/>
      <c r="G26" s="1067"/>
      <c r="H26" s="718"/>
    </row>
    <row r="27" spans="1:8" ht="20.100000000000001" customHeight="1" x14ac:dyDescent="0.25">
      <c r="A27" s="1080" t="s">
        <v>236</v>
      </c>
      <c r="B27" s="1081"/>
      <c r="C27" s="1082"/>
      <c r="D27" s="719">
        <f>+D25-D26</f>
        <v>1378.0000000000005</v>
      </c>
      <c r="E27" s="714">
        <v>699.3</v>
      </c>
      <c r="F27" s="1066"/>
      <c r="G27" s="1067"/>
      <c r="H27" s="715"/>
    </row>
    <row r="28" spans="1:8" ht="20.100000000000001" customHeight="1" x14ac:dyDescent="0.25">
      <c r="A28" s="1083" t="s">
        <v>237</v>
      </c>
      <c r="B28" s="1084"/>
      <c r="C28" s="1085"/>
      <c r="D28" s="718">
        <v>12</v>
      </c>
      <c r="E28" s="717">
        <v>11</v>
      </c>
      <c r="F28" s="1066"/>
      <c r="G28" s="1067"/>
      <c r="H28" s="718"/>
    </row>
    <row r="29" spans="1:8" ht="20.100000000000001" customHeight="1" x14ac:dyDescent="0.25">
      <c r="A29" s="1080" t="s">
        <v>238</v>
      </c>
      <c r="B29" s="1081"/>
      <c r="C29" s="1082"/>
      <c r="D29" s="707"/>
      <c r="E29" s="711">
        <v>4620</v>
      </c>
      <c r="F29" s="1066"/>
      <c r="G29" s="1067"/>
      <c r="H29" s="707"/>
    </row>
    <row r="30" spans="1:8" ht="20.100000000000001" customHeight="1" x14ac:dyDescent="0.25">
      <c r="A30" s="1080" t="s">
        <v>239</v>
      </c>
      <c r="B30" s="1081"/>
      <c r="C30" s="1082"/>
      <c r="D30" s="720">
        <f>(D27/D25*100)/100</f>
        <v>0.27518172377985467</v>
      </c>
      <c r="E30" s="721">
        <f>E27/E25*100</f>
        <v>13.983203359328133</v>
      </c>
      <c r="F30" s="1066"/>
      <c r="G30" s="1067"/>
      <c r="H30" s="722"/>
    </row>
    <row r="31" spans="1:8" ht="20.100000000000001" customHeight="1" x14ac:dyDescent="0.25">
      <c r="A31" s="783" t="s">
        <v>240</v>
      </c>
      <c r="B31" s="723"/>
      <c r="C31" s="724"/>
      <c r="D31" s="724"/>
      <c r="E31" s="724"/>
      <c r="F31" s="724"/>
      <c r="G31" s="724"/>
      <c r="H31" s="784"/>
    </row>
    <row r="32" spans="1:8" ht="20.100000000000001" customHeight="1" x14ac:dyDescent="0.25">
      <c r="A32" s="783"/>
      <c r="B32" s="723"/>
      <c r="C32" s="724"/>
      <c r="D32" s="777"/>
      <c r="E32" s="777"/>
      <c r="F32" s="777"/>
      <c r="G32" s="777"/>
      <c r="H32" s="785"/>
    </row>
    <row r="33" spans="1:8" ht="20.100000000000001" customHeight="1" x14ac:dyDescent="0.25">
      <c r="A33" s="786"/>
      <c r="B33" s="778"/>
      <c r="C33" s="779"/>
      <c r="D33" s="779"/>
      <c r="E33" s="779"/>
      <c r="F33" s="779"/>
      <c r="G33" s="779"/>
      <c r="H33" s="787"/>
    </row>
    <row r="34" spans="1:8" ht="20.100000000000001" customHeight="1" x14ac:dyDescent="0.25">
      <c r="A34" s="788"/>
      <c r="B34" s="789"/>
      <c r="C34" s="790"/>
      <c r="D34" s="790"/>
      <c r="E34" s="790"/>
      <c r="F34" s="790"/>
      <c r="G34" s="790"/>
      <c r="H34" s="791"/>
    </row>
    <row r="35" spans="1:8" ht="20.100000000000001" customHeight="1" x14ac:dyDescent="0.25">
      <c r="A35" s="723"/>
      <c r="B35" s="723"/>
      <c r="C35" s="724"/>
      <c r="D35" s="724"/>
      <c r="E35" s="724"/>
      <c r="F35" s="724"/>
      <c r="G35" s="724"/>
      <c r="H35" s="724"/>
    </row>
    <row r="36" spans="1:8" ht="20.100000000000001" customHeight="1" x14ac:dyDescent="0.25">
      <c r="A36" s="723"/>
      <c r="B36" s="723"/>
      <c r="C36" s="724"/>
      <c r="D36" s="724"/>
      <c r="E36" s="724"/>
      <c r="F36" s="724"/>
      <c r="G36" s="724"/>
      <c r="H36" s="724"/>
    </row>
    <row r="37" spans="1:8" ht="20.100000000000001" customHeight="1" x14ac:dyDescent="0.25">
      <c r="A37" s="723"/>
      <c r="B37" s="723"/>
      <c r="C37" s="724"/>
      <c r="D37" s="724"/>
      <c r="E37" s="724"/>
      <c r="F37" s="724"/>
      <c r="G37" s="724"/>
      <c r="H37" s="724"/>
    </row>
    <row r="38" spans="1:8" ht="20.100000000000001" customHeight="1" x14ac:dyDescent="0.25">
      <c r="A38" s="723"/>
      <c r="B38" s="723"/>
      <c r="C38" s="724"/>
      <c r="D38" s="724"/>
      <c r="E38" s="724"/>
      <c r="F38" s="724"/>
      <c r="G38" s="724"/>
      <c r="H38" s="724"/>
    </row>
    <row r="39" spans="1:8" ht="20.100000000000001" customHeight="1" x14ac:dyDescent="0.25">
      <c r="A39" s="723"/>
      <c r="B39" s="723"/>
      <c r="C39" s="724"/>
      <c r="D39" s="724"/>
      <c r="E39" s="724"/>
      <c r="F39" s="724"/>
      <c r="G39" s="724"/>
      <c r="H39" s="724"/>
    </row>
    <row r="40" spans="1:8" ht="20.100000000000001" customHeight="1" x14ac:dyDescent="0.25">
      <c r="A40" s="723"/>
      <c r="B40" s="723"/>
      <c r="C40" s="724"/>
      <c r="D40" s="724"/>
      <c r="E40" s="724"/>
      <c r="F40" s="724"/>
      <c r="G40" s="724"/>
      <c r="H40" s="724"/>
    </row>
    <row r="41" spans="1:8" ht="20.100000000000001" customHeight="1" x14ac:dyDescent="0.25">
      <c r="A41" s="723"/>
      <c r="B41" s="723"/>
      <c r="C41" s="724"/>
      <c r="D41" s="724"/>
      <c r="E41" s="724"/>
      <c r="F41" s="724"/>
      <c r="G41" s="724"/>
      <c r="H41" s="724"/>
    </row>
    <row r="42" spans="1:8" ht="16.5" customHeight="1" x14ac:dyDescent="0.25">
      <c r="A42" s="724"/>
      <c r="B42" s="724"/>
      <c r="C42" s="724"/>
      <c r="D42" s="724"/>
      <c r="E42" s="724"/>
      <c r="F42" s="724"/>
      <c r="G42" s="724"/>
      <c r="H42" s="724"/>
    </row>
    <row r="43" spans="1:8" ht="27" customHeight="1" x14ac:dyDescent="0.25"/>
    <row r="45" spans="1:8" ht="21" customHeight="1" x14ac:dyDescent="0.25">
      <c r="A45" s="1079" t="s">
        <v>159</v>
      </c>
      <c r="B45" s="1079"/>
      <c r="C45" s="1079"/>
      <c r="D45" s="1079"/>
      <c r="E45" s="1079"/>
      <c r="F45" s="1079"/>
      <c r="G45" s="1079"/>
      <c r="H45" s="1079"/>
    </row>
  </sheetData>
  <protectedRanges>
    <protectedRange sqref="C9 C12:C14" name="Rango3_3_1_1_1_1"/>
    <protectedRange sqref="F12" name="Rango3_3_1_1_1_2"/>
  </protectedRanges>
  <mergeCells count="31">
    <mergeCell ref="A27:C27"/>
    <mergeCell ref="F20:G20"/>
    <mergeCell ref="F21:G21"/>
    <mergeCell ref="F24:G24"/>
    <mergeCell ref="F26:G26"/>
    <mergeCell ref="A26:C26"/>
    <mergeCell ref="A20:C20"/>
    <mergeCell ref="A45:H45"/>
    <mergeCell ref="A30:C30"/>
    <mergeCell ref="A21:C21"/>
    <mergeCell ref="A22:C22"/>
    <mergeCell ref="A23:C23"/>
    <mergeCell ref="F28:G28"/>
    <mergeCell ref="A28:C28"/>
    <mergeCell ref="F22:G22"/>
    <mergeCell ref="F30:G30"/>
    <mergeCell ref="A29:C29"/>
    <mergeCell ref="F27:G27"/>
    <mergeCell ref="A24:C24"/>
    <mergeCell ref="F23:G23"/>
    <mergeCell ref="F29:G29"/>
    <mergeCell ref="F25:G25"/>
    <mergeCell ref="A25:C25"/>
    <mergeCell ref="F19:G19"/>
    <mergeCell ref="A19:C19"/>
    <mergeCell ref="A18:C18"/>
    <mergeCell ref="A7:H7"/>
    <mergeCell ref="A16:C17"/>
    <mergeCell ref="D16:H16"/>
    <mergeCell ref="F17:G17"/>
    <mergeCell ref="F18:G18"/>
  </mergeCells>
  <printOptions horizontalCentered="1"/>
  <pageMargins left="0.78740157480314965" right="0.78740157480314965" top="0.59055118110236227" bottom="0.39370078740157483" header="0" footer="0.39370078740157483"/>
  <pageSetup paperSize="9" scale="90" orientation="portrait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03DE-0A03-4A9B-A895-16595A144402}">
  <dimension ref="A1:O62"/>
  <sheetViews>
    <sheetView zoomScaleNormal="100" workbookViewId="0">
      <selection activeCell="J26" sqref="J26"/>
    </sheetView>
  </sheetViews>
  <sheetFormatPr baseColWidth="10" defaultColWidth="11.44140625" defaultRowHeight="13.2" x14ac:dyDescent="0.25"/>
  <cols>
    <col min="1" max="1" width="2.33203125" style="489" customWidth="1"/>
    <col min="2" max="2" width="8.5546875" style="489" customWidth="1"/>
    <col min="3" max="3" width="1.88671875" style="489" customWidth="1"/>
    <col min="4" max="4" width="23.109375" style="489" customWidth="1"/>
    <col min="5" max="6" width="11.6640625" style="489" customWidth="1"/>
    <col min="7" max="7" width="12.5546875" style="489" customWidth="1"/>
    <col min="8" max="9" width="11.6640625" style="489" customWidth="1"/>
    <col min="10" max="16384" width="11.44140625" style="489"/>
  </cols>
  <sheetData>
    <row r="1" spans="1:14" s="144" customFormat="1" ht="13.8" x14ac:dyDescent="0.25">
      <c r="A1" s="470"/>
      <c r="B1" s="471"/>
      <c r="C1" s="471"/>
      <c r="D1" s="471"/>
      <c r="E1" s="471"/>
      <c r="F1" s="471"/>
      <c r="G1" s="471"/>
      <c r="H1" s="471"/>
      <c r="I1" s="472"/>
      <c r="J1" s="472"/>
      <c r="L1" s="473"/>
    </row>
    <row r="2" spans="1:14" s="144" customFormat="1" x14ac:dyDescent="0.25">
      <c r="A2" s="474"/>
      <c r="B2" s="474"/>
      <c r="C2" s="474"/>
      <c r="D2" s="474"/>
      <c r="E2" s="474"/>
      <c r="F2" s="474"/>
      <c r="G2" s="474"/>
      <c r="H2" s="474"/>
      <c r="I2" s="475"/>
      <c r="J2" s="475"/>
      <c r="L2" s="476"/>
    </row>
    <row r="3" spans="1:14" s="144" customFormat="1" ht="9" customHeight="1" x14ac:dyDescent="0.25">
      <c r="A3" s="477"/>
      <c r="E3" s="1042"/>
      <c r="F3" s="1042"/>
      <c r="G3" s="1042"/>
      <c r="H3" s="1042"/>
      <c r="I3" s="478"/>
      <c r="J3" s="478"/>
      <c r="L3" s="478"/>
    </row>
    <row r="4" spans="1:14" s="144" customFormat="1" ht="12" customHeight="1" x14ac:dyDescent="0.25">
      <c r="A4" s="479"/>
      <c r="B4" s="480"/>
      <c r="E4" s="481"/>
      <c r="F4" s="482"/>
      <c r="G4" s="482"/>
      <c r="H4" s="483" t="s">
        <v>241</v>
      </c>
      <c r="I4" s="484"/>
      <c r="J4" s="484"/>
    </row>
    <row r="5" spans="1:14" s="144" customFormat="1" ht="12" customHeight="1" thickBot="1" x14ac:dyDescent="0.3">
      <c r="A5" s="485"/>
      <c r="B5" s="485"/>
      <c r="C5" s="485"/>
      <c r="D5" s="486"/>
      <c r="E5" s="486"/>
      <c r="F5" s="486"/>
      <c r="G5" s="486"/>
      <c r="H5" s="486"/>
      <c r="I5" s="486"/>
      <c r="J5" s="487"/>
      <c r="K5" s="488"/>
    </row>
    <row r="6" spans="1:14" ht="9" customHeight="1" thickTop="1" x14ac:dyDescent="0.25">
      <c r="B6" s="490"/>
      <c r="C6" s="490"/>
      <c r="D6" s="490"/>
      <c r="E6" s="490"/>
      <c r="F6" s="490"/>
      <c r="G6" s="490"/>
      <c r="H6" s="490"/>
      <c r="I6" s="490"/>
      <c r="J6" s="490"/>
    </row>
    <row r="7" spans="1:14" ht="15.6" x14ac:dyDescent="0.3">
      <c r="A7" s="1088" t="s">
        <v>242</v>
      </c>
      <c r="B7" s="1088"/>
      <c r="C7" s="1088"/>
      <c r="D7" s="1088"/>
      <c r="E7" s="1088"/>
      <c r="F7" s="1088"/>
      <c r="G7" s="1088"/>
      <c r="H7" s="1088"/>
      <c r="I7" s="1088"/>
      <c r="J7" s="491"/>
      <c r="K7" s="491"/>
      <c r="L7" s="491"/>
      <c r="M7" s="491"/>
      <c r="N7" s="491"/>
    </row>
    <row r="8" spans="1:14" x14ac:dyDescent="0.25">
      <c r="A8" s="1089" t="s">
        <v>243</v>
      </c>
      <c r="B8" s="1089"/>
      <c r="C8" s="1089"/>
      <c r="D8" s="1089"/>
      <c r="E8" s="1089"/>
      <c r="F8" s="1089"/>
      <c r="G8" s="1089"/>
      <c r="H8" s="1089"/>
      <c r="I8" s="1089"/>
      <c r="J8" s="492"/>
      <c r="K8" s="492"/>
      <c r="L8" s="492"/>
      <c r="M8" s="492"/>
      <c r="N8" s="492"/>
    </row>
    <row r="9" spans="1:14" ht="4.5" customHeight="1" x14ac:dyDescent="0.25"/>
    <row r="10" spans="1:14" x14ac:dyDescent="0.25">
      <c r="A10" s="1093" t="s">
        <v>244</v>
      </c>
      <c r="B10" s="1094"/>
      <c r="C10" s="1094"/>
      <c r="D10" s="1094"/>
      <c r="E10" s="1094"/>
      <c r="F10" s="1094"/>
      <c r="G10" s="1094"/>
      <c r="H10" s="1094"/>
      <c r="I10" s="1095"/>
      <c r="J10" s="493"/>
    </row>
    <row r="11" spans="1:14" x14ac:dyDescent="0.25">
      <c r="A11" s="494" t="s">
        <v>245</v>
      </c>
      <c r="B11" s="495"/>
      <c r="C11" s="496" t="s">
        <v>38</v>
      </c>
      <c r="D11" s="497" t="s">
        <v>246</v>
      </c>
      <c r="E11" s="498"/>
      <c r="F11" s="498"/>
      <c r="G11" s="499" t="s">
        <v>247</v>
      </c>
      <c r="H11" s="499" t="s">
        <v>38</v>
      </c>
      <c r="I11" s="500"/>
      <c r="J11" s="490"/>
    </row>
    <row r="12" spans="1:14" x14ac:dyDescent="0.25">
      <c r="A12" s="501" t="s">
        <v>248</v>
      </c>
      <c r="B12" s="497"/>
      <c r="C12" s="502" t="s">
        <v>38</v>
      </c>
      <c r="D12" s="497" t="s">
        <v>249</v>
      </c>
      <c r="E12" s="503"/>
      <c r="F12" s="503"/>
      <c r="G12" s="503" t="s">
        <v>250</v>
      </c>
      <c r="H12" s="503" t="str">
        <f>+'Gran-LLyLP'!H8</f>
        <v>F.T.V</v>
      </c>
      <c r="I12" s="504"/>
      <c r="J12" s="490"/>
    </row>
    <row r="13" spans="1:14" x14ac:dyDescent="0.25">
      <c r="A13" s="501" t="s">
        <v>251</v>
      </c>
      <c r="B13" s="497"/>
      <c r="C13" s="502" t="s">
        <v>38</v>
      </c>
      <c r="D13" s="551" t="str">
        <f>+'Gran-LLyLP'!C10</f>
        <v>Sub Base Granular</v>
      </c>
      <c r="E13" s="503"/>
      <c r="F13" s="503"/>
      <c r="G13" s="503" t="s">
        <v>252</v>
      </c>
      <c r="H13" s="497" t="str">
        <f>+'Gran-LLyLP'!H9</f>
        <v>F.K.S</v>
      </c>
      <c r="I13" s="504"/>
      <c r="J13" s="490"/>
    </row>
    <row r="14" spans="1:14" x14ac:dyDescent="0.25">
      <c r="A14" s="505"/>
      <c r="B14" s="506"/>
      <c r="C14" s="507"/>
      <c r="D14" s="508"/>
      <c r="E14" s="509"/>
      <c r="F14" s="510"/>
      <c r="G14" s="511" t="s">
        <v>253</v>
      </c>
      <c r="H14" s="512">
        <f>+'Gran-LLyLP'!C11</f>
        <v>38972</v>
      </c>
      <c r="I14" s="513"/>
      <c r="J14" s="490"/>
    </row>
    <row r="15" spans="1:14" ht="9" customHeight="1" x14ac:dyDescent="0.25"/>
    <row r="16" spans="1:14" x14ac:dyDescent="0.25">
      <c r="A16" s="1090" t="s">
        <v>254</v>
      </c>
      <c r="B16" s="1091"/>
      <c r="C16" s="1091"/>
      <c r="D16" s="1091"/>
      <c r="E16" s="1091"/>
      <c r="F16" s="1091"/>
      <c r="G16" s="1091"/>
      <c r="H16" s="1091"/>
      <c r="I16" s="1092"/>
      <c r="J16" s="493"/>
    </row>
    <row r="17" spans="1:12" x14ac:dyDescent="0.25">
      <c r="A17" s="494" t="s">
        <v>255</v>
      </c>
      <c r="B17" s="495"/>
      <c r="C17" s="496" t="s">
        <v>38</v>
      </c>
      <c r="D17" s="503" t="str">
        <f>+D13</f>
        <v>Sub Base Granular</v>
      </c>
      <c r="E17" s="498"/>
      <c r="F17" s="498"/>
      <c r="G17" s="498"/>
      <c r="H17" s="514"/>
      <c r="I17" s="515"/>
      <c r="J17" s="490"/>
    </row>
    <row r="18" spans="1:12" x14ac:dyDescent="0.25">
      <c r="A18" s="501" t="s">
        <v>256</v>
      </c>
      <c r="B18" s="497"/>
      <c r="C18" s="502" t="s">
        <v>38</v>
      </c>
      <c r="D18" s="516"/>
      <c r="E18" s="503"/>
      <c r="F18" s="503"/>
      <c r="G18" s="503"/>
      <c r="H18" s="517"/>
      <c r="I18" s="518"/>
      <c r="J18" s="490"/>
    </row>
    <row r="19" spans="1:12" x14ac:dyDescent="0.25">
      <c r="A19" s="505" t="s">
        <v>257</v>
      </c>
      <c r="B19" s="506"/>
      <c r="C19" s="507" t="s">
        <v>38</v>
      </c>
      <c r="D19" s="519" t="str">
        <f>+'Gran-LLyLP'!C8</f>
        <v>Km. 54+710-54+910</v>
      </c>
      <c r="E19" s="509"/>
      <c r="F19" s="510"/>
      <c r="G19" s="511"/>
      <c r="H19" s="520"/>
      <c r="I19" s="521"/>
      <c r="J19" s="490"/>
    </row>
    <row r="20" spans="1:12" ht="12.75" customHeight="1" x14ac:dyDescent="0.25">
      <c r="D20" s="388"/>
      <c r="E20" s="388"/>
      <c r="F20" s="388"/>
      <c r="G20" s="388"/>
      <c r="H20" s="388"/>
      <c r="I20" s="388"/>
      <c r="J20" s="388"/>
      <c r="K20" s="388"/>
      <c r="L20" s="388"/>
    </row>
    <row r="21" spans="1:12" ht="12.75" customHeight="1" x14ac:dyDescent="0.25">
      <c r="A21" s="1090" t="s">
        <v>258</v>
      </c>
      <c r="B21" s="1091"/>
      <c r="C21" s="1091"/>
      <c r="D21" s="1091"/>
      <c r="E21" s="1091"/>
      <c r="F21" s="1091"/>
      <c r="G21" s="1091"/>
      <c r="H21" s="1091"/>
      <c r="I21" s="1092"/>
      <c r="J21" s="388"/>
      <c r="K21" s="388"/>
      <c r="L21" s="388"/>
    </row>
    <row r="22" spans="1:12" ht="4.5" customHeight="1" x14ac:dyDescent="0.25">
      <c r="D22" s="388"/>
      <c r="E22" s="388"/>
      <c r="F22" s="388"/>
      <c r="G22" s="388"/>
      <c r="H22" s="388"/>
      <c r="I22" s="388"/>
      <c r="J22" s="388"/>
      <c r="K22" s="388"/>
      <c r="L22" s="388"/>
    </row>
    <row r="23" spans="1:12" ht="18" customHeight="1" x14ac:dyDescent="0.25">
      <c r="A23" s="522" t="s">
        <v>229</v>
      </c>
      <c r="B23" s="523" t="s">
        <v>259</v>
      </c>
      <c r="C23" s="522"/>
      <c r="D23" s="524"/>
      <c r="E23" s="525">
        <v>4364.1000000000004</v>
      </c>
      <c r="F23" s="525">
        <v>200</v>
      </c>
      <c r="G23" s="526"/>
      <c r="H23" s="526"/>
      <c r="I23" s="527"/>
      <c r="J23" s="388"/>
      <c r="K23" s="388"/>
      <c r="L23" s="388"/>
    </row>
    <row r="24" spans="1:12" ht="18" customHeight="1" x14ac:dyDescent="0.25">
      <c r="A24" s="522" t="s">
        <v>230</v>
      </c>
      <c r="B24" s="523" t="s">
        <v>260</v>
      </c>
      <c r="C24" s="522"/>
      <c r="D24" s="524"/>
      <c r="E24" s="526">
        <v>2545.9</v>
      </c>
      <c r="F24" s="526">
        <v>667.3</v>
      </c>
      <c r="G24" s="526"/>
      <c r="H24" s="526"/>
      <c r="I24" s="527"/>
      <c r="J24" s="388"/>
      <c r="K24" s="388"/>
      <c r="L24" s="388"/>
    </row>
    <row r="25" spans="1:12" ht="18" customHeight="1" x14ac:dyDescent="0.25">
      <c r="A25" s="522" t="s">
        <v>231</v>
      </c>
      <c r="B25" s="523" t="s">
        <v>261</v>
      </c>
      <c r="C25" s="522"/>
      <c r="D25" s="524"/>
      <c r="E25" s="526">
        <f>+E24+E23</f>
        <v>6910</v>
      </c>
      <c r="F25" s="526">
        <f>+F24+F23</f>
        <v>867.3</v>
      </c>
      <c r="G25" s="526"/>
      <c r="H25" s="526"/>
      <c r="I25" s="527"/>
      <c r="J25" s="388"/>
      <c r="K25" s="388"/>
      <c r="L25" s="388"/>
    </row>
    <row r="26" spans="1:12" ht="18" customHeight="1" x14ac:dyDescent="0.25">
      <c r="A26" s="522" t="s">
        <v>232</v>
      </c>
      <c r="B26" s="523" t="s">
        <v>262</v>
      </c>
      <c r="C26" s="522"/>
      <c r="D26" s="524"/>
      <c r="E26" s="526">
        <v>792.5</v>
      </c>
      <c r="F26" s="526">
        <v>791.9</v>
      </c>
      <c r="G26" s="526"/>
      <c r="H26" s="526"/>
      <c r="I26" s="527"/>
      <c r="J26" s="388"/>
      <c r="K26" s="388"/>
      <c r="L26" s="388"/>
    </row>
    <row r="27" spans="1:12" ht="18" customHeight="1" x14ac:dyDescent="0.25">
      <c r="A27" s="522" t="s">
        <v>263</v>
      </c>
      <c r="B27" s="523" t="s">
        <v>264</v>
      </c>
      <c r="C27" s="522"/>
      <c r="D27" s="524"/>
      <c r="E27" s="528">
        <f>+E25-E26</f>
        <v>6117.5</v>
      </c>
      <c r="F27" s="528">
        <f>+F25-F26</f>
        <v>75.399999999999977</v>
      </c>
      <c r="G27" s="529"/>
      <c r="H27" s="529"/>
      <c r="I27" s="527"/>
      <c r="J27" s="388"/>
      <c r="K27" s="388"/>
      <c r="L27" s="388"/>
    </row>
    <row r="28" spans="1:12" ht="18" customHeight="1" x14ac:dyDescent="0.25">
      <c r="A28" s="522" t="s">
        <v>265</v>
      </c>
      <c r="B28" s="523" t="s">
        <v>266</v>
      </c>
      <c r="C28" s="522"/>
      <c r="D28" s="524"/>
      <c r="E28" s="525">
        <v>3936.8</v>
      </c>
      <c r="F28" s="525">
        <v>197.4</v>
      </c>
      <c r="G28" s="526"/>
      <c r="H28" s="526"/>
      <c r="I28" s="527"/>
      <c r="J28" s="388"/>
      <c r="K28" s="388"/>
      <c r="L28" s="388"/>
    </row>
    <row r="29" spans="1:12" ht="18" customHeight="1" x14ac:dyDescent="0.25">
      <c r="A29" s="522" t="s">
        <v>267</v>
      </c>
      <c r="B29" s="523" t="s">
        <v>268</v>
      </c>
      <c r="C29" s="522"/>
      <c r="D29" s="524"/>
      <c r="E29" s="530">
        <f>+E27-(E23-E28)</f>
        <v>5690.2</v>
      </c>
      <c r="F29" s="530">
        <f>+F27-(F23-F28)</f>
        <v>72.799999999999983</v>
      </c>
      <c r="G29" s="531"/>
      <c r="H29" s="531"/>
      <c r="I29" s="531" t="s">
        <v>269</v>
      </c>
      <c r="J29" s="388"/>
      <c r="K29" s="388"/>
      <c r="L29" s="388"/>
    </row>
    <row r="30" spans="1:12" ht="18" customHeight="1" x14ac:dyDescent="0.25">
      <c r="A30" s="523"/>
      <c r="B30" s="523" t="s">
        <v>270</v>
      </c>
      <c r="C30" s="522"/>
      <c r="D30" s="524"/>
      <c r="E30" s="532">
        <f>+E28/E27</f>
        <v>0.64353085410706989</v>
      </c>
      <c r="F30" s="532">
        <f>+F28/F27</f>
        <v>2.6180371352785157</v>
      </c>
      <c r="G30" s="532"/>
      <c r="H30" s="532"/>
      <c r="I30" s="532">
        <f>+AVERAGE(E30:H30)</f>
        <v>1.6307839946927927</v>
      </c>
      <c r="J30" s="388"/>
      <c r="K30" s="388"/>
      <c r="L30" s="388"/>
    </row>
    <row r="31" spans="1:12" ht="18" customHeight="1" x14ac:dyDescent="0.25">
      <c r="A31" s="523"/>
      <c r="B31" s="523" t="s">
        <v>271</v>
      </c>
      <c r="C31" s="522"/>
      <c r="D31" s="524"/>
      <c r="E31" s="532">
        <f>+E23/E27</f>
        <v>0.71337964854924407</v>
      </c>
      <c r="F31" s="532">
        <f>+F23/F27</f>
        <v>2.6525198938992052</v>
      </c>
      <c r="G31" s="532"/>
      <c r="H31" s="532"/>
      <c r="I31" s="532">
        <f>+AVERAGE(E31:H31)</f>
        <v>1.6829497712242247</v>
      </c>
      <c r="J31" s="388"/>
      <c r="K31" s="388"/>
      <c r="L31" s="388"/>
    </row>
    <row r="32" spans="1:12" ht="18" customHeight="1" x14ac:dyDescent="0.25">
      <c r="A32" s="523"/>
      <c r="B32" s="523" t="s">
        <v>272</v>
      </c>
      <c r="C32" s="522"/>
      <c r="D32" s="524"/>
      <c r="E32" s="532">
        <f>+E28/E29</f>
        <v>0.6918561737724509</v>
      </c>
      <c r="F32" s="532">
        <f>+F28/F29</f>
        <v>2.7115384615384621</v>
      </c>
      <c r="G32" s="532"/>
      <c r="H32" s="532"/>
      <c r="I32" s="532">
        <f>+AVERAGE(E32:H32)</f>
        <v>1.7016973176554564</v>
      </c>
      <c r="J32" s="388"/>
      <c r="K32" s="388"/>
      <c r="L32" s="388"/>
    </row>
    <row r="33" spans="1:12" ht="18" customHeight="1" x14ac:dyDescent="0.25">
      <c r="A33" s="523"/>
      <c r="B33" s="523" t="s">
        <v>273</v>
      </c>
      <c r="C33" s="522"/>
      <c r="D33" s="524"/>
      <c r="E33" s="530">
        <f>((E23-E28)/E28)*100</f>
        <v>10.8539930908352</v>
      </c>
      <c r="F33" s="530">
        <f>((F23-F28)/F28)*100</f>
        <v>1.3171225937183355</v>
      </c>
      <c r="G33" s="532"/>
      <c r="H33" s="532"/>
      <c r="I33" s="530">
        <f>+AVERAGE(E33:H33)</f>
        <v>6.085557842276768</v>
      </c>
      <c r="J33" s="388"/>
      <c r="K33" s="388"/>
      <c r="L33" s="388"/>
    </row>
    <row r="34" spans="1:12" ht="18" customHeight="1" x14ac:dyDescent="0.25">
      <c r="A34" s="388"/>
      <c r="B34" s="388"/>
      <c r="C34" s="533"/>
      <c r="E34" s="534"/>
      <c r="F34" s="534"/>
      <c r="G34" s="534"/>
      <c r="H34" s="534"/>
      <c r="I34" s="534"/>
      <c r="J34" s="388"/>
      <c r="K34" s="388"/>
      <c r="L34" s="388"/>
    </row>
    <row r="35" spans="1:12" x14ac:dyDescent="0.25">
      <c r="D35" s="388"/>
      <c r="E35" s="388"/>
      <c r="F35" s="388"/>
      <c r="G35" s="388"/>
      <c r="H35" s="388"/>
      <c r="I35" s="388"/>
      <c r="J35" s="388"/>
      <c r="K35" s="388"/>
      <c r="L35" s="388"/>
    </row>
    <row r="36" spans="1:12" ht="12.75" customHeight="1" x14ac:dyDescent="0.25">
      <c r="A36" s="1090" t="s">
        <v>274</v>
      </c>
      <c r="B36" s="1091"/>
      <c r="C36" s="1091"/>
      <c r="D36" s="1091"/>
      <c r="E36" s="1091"/>
      <c r="F36" s="1091"/>
      <c r="G36" s="1091"/>
      <c r="H36" s="1091"/>
      <c r="I36" s="1092"/>
      <c r="J36" s="388"/>
      <c r="K36" s="388"/>
      <c r="L36" s="388"/>
    </row>
    <row r="37" spans="1:12" ht="4.5" customHeight="1" x14ac:dyDescent="0.25">
      <c r="D37" s="388"/>
      <c r="E37" s="388"/>
      <c r="F37" s="535"/>
      <c r="G37" s="535"/>
      <c r="H37" s="535"/>
      <c r="I37" s="388"/>
      <c r="J37" s="388"/>
      <c r="K37" s="388"/>
      <c r="L37" s="388"/>
    </row>
    <row r="38" spans="1:12" ht="18" customHeight="1" x14ac:dyDescent="0.25">
      <c r="A38" s="522" t="s">
        <v>229</v>
      </c>
      <c r="B38" s="523" t="s">
        <v>275</v>
      </c>
      <c r="C38" s="522"/>
      <c r="D38" s="524"/>
      <c r="E38" s="537">
        <v>2964.5</v>
      </c>
      <c r="F38" s="536"/>
      <c r="G38" s="537"/>
      <c r="H38" s="537"/>
      <c r="I38" s="523"/>
      <c r="J38" s="388"/>
      <c r="K38" s="388"/>
      <c r="L38" s="388"/>
    </row>
    <row r="39" spans="1:12" ht="18" customHeight="1" x14ac:dyDescent="0.25">
      <c r="A39" s="522" t="s">
        <v>230</v>
      </c>
      <c r="B39" s="523" t="s">
        <v>276</v>
      </c>
      <c r="C39" s="522"/>
      <c r="D39" s="524"/>
      <c r="E39" s="537">
        <v>1846</v>
      </c>
      <c r="F39" s="536"/>
      <c r="G39" s="537"/>
      <c r="H39" s="537"/>
      <c r="I39" s="523"/>
      <c r="J39" s="388"/>
      <c r="K39" s="388"/>
      <c r="L39" s="388"/>
    </row>
    <row r="40" spans="1:12" ht="18" customHeight="1" x14ac:dyDescent="0.25">
      <c r="A40" s="522" t="s">
        <v>231</v>
      </c>
      <c r="B40" s="523" t="s">
        <v>277</v>
      </c>
      <c r="C40" s="522"/>
      <c r="D40" s="524"/>
      <c r="E40" s="537">
        <f>+E38-E39</f>
        <v>1118.5</v>
      </c>
      <c r="F40" s="538"/>
      <c r="G40" s="538"/>
      <c r="H40" s="538"/>
      <c r="I40" s="523"/>
      <c r="J40" s="388"/>
      <c r="K40" s="388"/>
      <c r="L40" s="388"/>
    </row>
    <row r="41" spans="1:12" ht="18" customHeight="1" x14ac:dyDescent="0.25">
      <c r="A41" s="522" t="s">
        <v>232</v>
      </c>
      <c r="B41" s="523" t="s">
        <v>278</v>
      </c>
      <c r="C41" s="522"/>
      <c r="D41" s="524"/>
      <c r="E41" s="577">
        <v>2910.9</v>
      </c>
      <c r="F41" s="536"/>
      <c r="G41" s="537"/>
      <c r="H41" s="537"/>
      <c r="I41" s="523"/>
      <c r="J41" s="388"/>
      <c r="K41" s="388"/>
      <c r="L41" s="388"/>
    </row>
    <row r="42" spans="1:12" ht="18" customHeight="1" x14ac:dyDescent="0.25">
      <c r="A42" s="522" t="s">
        <v>263</v>
      </c>
      <c r="B42" s="523" t="s">
        <v>279</v>
      </c>
      <c r="C42" s="522"/>
      <c r="D42" s="524"/>
      <c r="E42" s="538">
        <f>+E40-(E38-E41)</f>
        <v>1064.9000000000001</v>
      </c>
      <c r="F42" s="538"/>
      <c r="G42" s="538"/>
      <c r="H42" s="538"/>
      <c r="I42" s="522" t="s">
        <v>269</v>
      </c>
      <c r="J42" s="388"/>
      <c r="K42" s="388"/>
      <c r="L42" s="388"/>
    </row>
    <row r="43" spans="1:12" ht="18" customHeight="1" x14ac:dyDescent="0.25">
      <c r="A43" s="523"/>
      <c r="B43" s="523" t="s">
        <v>280</v>
      </c>
      <c r="C43" s="522"/>
      <c r="D43" s="524"/>
      <c r="E43" s="539">
        <f>+E41/E40</f>
        <v>2.6025033527045149</v>
      </c>
      <c r="F43" s="539"/>
      <c r="G43" s="539"/>
      <c r="H43" s="539"/>
      <c r="I43" s="539">
        <f>+AVERAGE(E43:G43)</f>
        <v>2.6025033527045149</v>
      </c>
      <c r="J43" s="388"/>
      <c r="K43" s="388"/>
      <c r="L43" s="388"/>
    </row>
    <row r="44" spans="1:12" ht="18" customHeight="1" x14ac:dyDescent="0.25">
      <c r="A44" s="523"/>
      <c r="B44" s="523" t="s">
        <v>281</v>
      </c>
      <c r="C44" s="522"/>
      <c r="D44" s="524"/>
      <c r="E44" s="539">
        <f>+E38/E40</f>
        <v>2.6504246759052301</v>
      </c>
      <c r="F44" s="539"/>
      <c r="G44" s="539"/>
      <c r="H44" s="539"/>
      <c r="I44" s="539">
        <f>+AVERAGE(E44:G44)</f>
        <v>2.6504246759052301</v>
      </c>
      <c r="J44" s="388"/>
      <c r="K44" s="388"/>
      <c r="L44" s="388"/>
    </row>
    <row r="45" spans="1:12" ht="18" customHeight="1" x14ac:dyDescent="0.25">
      <c r="A45" s="523"/>
      <c r="B45" s="523" t="s">
        <v>282</v>
      </c>
      <c r="C45" s="522"/>
      <c r="D45" s="524"/>
      <c r="E45" s="539">
        <f>+E41/E42</f>
        <v>2.7334961029204621</v>
      </c>
      <c r="F45" s="539"/>
      <c r="G45" s="539"/>
      <c r="H45" s="539"/>
      <c r="I45" s="539">
        <f>+AVERAGE(E45:G45)</f>
        <v>2.7334961029204621</v>
      </c>
      <c r="J45" s="388"/>
      <c r="K45" s="388"/>
      <c r="L45" s="388"/>
    </row>
    <row r="46" spans="1:12" ht="18" customHeight="1" x14ac:dyDescent="0.25">
      <c r="A46" s="523"/>
      <c r="B46" s="523" t="s">
        <v>283</v>
      </c>
      <c r="C46" s="522"/>
      <c r="D46" s="524"/>
      <c r="E46" s="540">
        <f>((E38-E41)/E41*100)</f>
        <v>1.8413549074169471</v>
      </c>
      <c r="F46" s="540"/>
      <c r="G46" s="541"/>
      <c r="H46" s="539"/>
      <c r="I46" s="541">
        <f>+AVERAGE(E46:G46)</f>
        <v>1.8413549074169471</v>
      </c>
      <c r="J46" s="388"/>
      <c r="K46" s="388"/>
      <c r="L46" s="388"/>
    </row>
    <row r="47" spans="1:12" ht="18" customHeight="1" x14ac:dyDescent="0.25">
      <c r="A47" s="388"/>
      <c r="B47" s="388"/>
      <c r="C47" s="533"/>
      <c r="E47" s="534"/>
      <c r="F47" s="534"/>
      <c r="G47" s="534"/>
      <c r="H47" s="534"/>
      <c r="I47" s="534"/>
      <c r="J47" s="388"/>
      <c r="K47" s="388"/>
      <c r="L47" s="388"/>
    </row>
    <row r="48" spans="1:12" x14ac:dyDescent="0.25">
      <c r="A48" s="489" t="s">
        <v>224</v>
      </c>
      <c r="D48" s="388"/>
      <c r="E48" s="388"/>
      <c r="F48" s="388"/>
      <c r="G48" s="388"/>
      <c r="H48" s="388"/>
      <c r="I48" s="388"/>
      <c r="J48" s="388"/>
      <c r="K48" s="388"/>
      <c r="L48" s="388"/>
    </row>
    <row r="49" spans="1:15" x14ac:dyDescent="0.25">
      <c r="A49" s="1086"/>
      <c r="B49" s="1086"/>
      <c r="C49" s="1086"/>
      <c r="D49" s="1086"/>
      <c r="E49" s="1086"/>
      <c r="F49" s="1087"/>
      <c r="G49" s="1087"/>
      <c r="H49" s="1087"/>
      <c r="I49" s="1087"/>
      <c r="J49" s="388"/>
      <c r="K49" s="388"/>
      <c r="L49" s="388"/>
    </row>
    <row r="50" spans="1:15" x14ac:dyDescent="0.25">
      <c r="A50" s="543"/>
      <c r="B50" s="544"/>
      <c r="C50" s="545"/>
      <c r="D50" s="542"/>
      <c r="E50" s="542"/>
      <c r="F50" s="542"/>
      <c r="G50" s="542"/>
      <c r="H50" s="542"/>
      <c r="I50" s="388"/>
      <c r="J50" s="388"/>
      <c r="K50" s="388"/>
      <c r="L50" s="388"/>
    </row>
    <row r="51" spans="1:15" x14ac:dyDescent="0.25">
      <c r="A51" s="543"/>
      <c r="B51" s="544"/>
      <c r="C51" s="545"/>
      <c r="D51" s="542"/>
      <c r="E51" s="542"/>
      <c r="F51" s="542"/>
      <c r="G51" s="542"/>
      <c r="H51" s="542"/>
      <c r="I51" s="388"/>
      <c r="J51" s="388"/>
      <c r="K51" s="388"/>
      <c r="L51" s="388"/>
    </row>
    <row r="52" spans="1:15" x14ac:dyDescent="0.25">
      <c r="A52" s="543"/>
      <c r="B52" s="544"/>
      <c r="C52" s="545"/>
      <c r="D52" s="542"/>
      <c r="E52" s="542"/>
      <c r="F52" s="542"/>
      <c r="G52" s="542"/>
      <c r="H52" s="542"/>
      <c r="I52" s="388"/>
      <c r="J52" s="388"/>
      <c r="K52" s="388"/>
      <c r="L52" s="388"/>
    </row>
    <row r="53" spans="1:15" x14ac:dyDescent="0.25">
      <c r="A53" s="543"/>
      <c r="B53" s="544"/>
      <c r="C53" s="545"/>
      <c r="D53" s="542"/>
      <c r="E53" s="542"/>
      <c r="F53" s="542"/>
      <c r="G53" s="542"/>
      <c r="H53" s="542"/>
      <c r="I53" s="388"/>
      <c r="J53" s="388"/>
      <c r="K53" s="388"/>
      <c r="L53" s="388"/>
    </row>
    <row r="54" spans="1:15" x14ac:dyDescent="0.25">
      <c r="A54" s="543"/>
      <c r="B54" s="544"/>
      <c r="C54" s="545"/>
      <c r="D54" s="542"/>
      <c r="E54" s="542"/>
      <c r="F54" s="542"/>
      <c r="G54" s="542"/>
      <c r="H54" s="542"/>
      <c r="I54" s="388"/>
      <c r="J54" s="388"/>
      <c r="K54" s="388"/>
      <c r="L54" s="388"/>
    </row>
    <row r="55" spans="1:15" x14ac:dyDescent="0.25">
      <c r="A55" s="543"/>
      <c r="B55" s="544"/>
      <c r="C55" s="545"/>
      <c r="D55" s="542"/>
      <c r="E55" s="542"/>
      <c r="F55" s="542"/>
      <c r="G55" s="542"/>
      <c r="H55" s="542"/>
      <c r="I55" s="388"/>
      <c r="J55" s="388"/>
      <c r="K55" s="388"/>
      <c r="L55" s="388"/>
    </row>
    <row r="56" spans="1:15" x14ac:dyDescent="0.25">
      <c r="A56" s="543"/>
      <c r="B56" s="544"/>
      <c r="C56" s="545"/>
      <c r="D56" s="542"/>
      <c r="E56" s="542"/>
      <c r="F56" s="542"/>
      <c r="G56" s="542"/>
      <c r="H56" s="542"/>
      <c r="I56" s="388"/>
      <c r="J56" s="388"/>
      <c r="K56" s="388"/>
      <c r="L56" s="388"/>
    </row>
    <row r="57" spans="1:15" x14ac:dyDescent="0.25">
      <c r="A57" s="543"/>
      <c r="B57" s="544"/>
      <c r="C57" s="545"/>
      <c r="D57" s="542"/>
      <c r="E57" s="542"/>
      <c r="F57" s="542"/>
      <c r="G57" s="542"/>
      <c r="H57" s="542"/>
      <c r="I57" s="388"/>
      <c r="J57" s="388"/>
      <c r="K57" s="388"/>
      <c r="L57" s="388"/>
    </row>
    <row r="58" spans="1:15" x14ac:dyDescent="0.25">
      <c r="A58" s="546"/>
      <c r="B58" s="546"/>
      <c r="C58" s="547"/>
      <c r="D58" s="542"/>
      <c r="E58" s="542"/>
      <c r="F58" s="542"/>
      <c r="G58" s="542"/>
      <c r="H58" s="542"/>
      <c r="I58" s="388"/>
      <c r="J58" s="388"/>
      <c r="K58" s="388"/>
      <c r="L58" s="388"/>
    </row>
    <row r="59" spans="1:15" x14ac:dyDescent="0.25">
      <c r="A59" s="454" t="s">
        <v>284</v>
      </c>
      <c r="B59" s="169"/>
      <c r="C59" s="169"/>
      <c r="D59" s="169"/>
      <c r="E59" s="169"/>
      <c r="F59" s="454" t="s">
        <v>284</v>
      </c>
      <c r="G59" s="169"/>
      <c r="H59" s="169"/>
      <c r="I59" s="169"/>
      <c r="J59" s="169"/>
      <c r="N59" s="169"/>
      <c r="O59" s="169"/>
    </row>
    <row r="60" spans="1:15" x14ac:dyDescent="0.25">
      <c r="A60" s="176" t="s">
        <v>285</v>
      </c>
      <c r="B60" s="169"/>
      <c r="C60" s="169"/>
      <c r="D60" s="467" t="s">
        <v>286</v>
      </c>
      <c r="F60" s="176" t="s">
        <v>285</v>
      </c>
      <c r="G60" s="169"/>
      <c r="H60" s="455" t="s">
        <v>287</v>
      </c>
      <c r="I60" s="169"/>
      <c r="N60" s="169"/>
      <c r="O60" s="169"/>
    </row>
    <row r="61" spans="1:15" x14ac:dyDescent="0.25">
      <c r="A61" s="548"/>
      <c r="B61" s="548"/>
      <c r="C61" s="549"/>
      <c r="D61" s="883"/>
      <c r="E61" s="144"/>
      <c r="F61" s="144"/>
      <c r="G61" s="144"/>
      <c r="H61" s="144"/>
      <c r="I61" s="533"/>
      <c r="J61" s="388"/>
      <c r="K61" s="388"/>
      <c r="L61" s="388"/>
    </row>
    <row r="62" spans="1:15" x14ac:dyDescent="0.25">
      <c r="A62" s="144"/>
      <c r="B62" s="144"/>
      <c r="C62" s="883"/>
      <c r="D62" s="883"/>
      <c r="E62" s="144"/>
      <c r="F62" s="144"/>
      <c r="G62" s="144"/>
      <c r="H62" s="144"/>
    </row>
  </sheetData>
  <mergeCells count="9">
    <mergeCell ref="E3:H3"/>
    <mergeCell ref="A49:E49"/>
    <mergeCell ref="F49:I49"/>
    <mergeCell ref="A7:I7"/>
    <mergeCell ref="A8:I8"/>
    <mergeCell ref="A36:I36"/>
    <mergeCell ref="A16:I16"/>
    <mergeCell ref="A10:I10"/>
    <mergeCell ref="A21:I21"/>
  </mergeCells>
  <phoneticPr fontId="78" type="noConversion"/>
  <printOptions horizontalCentered="1"/>
  <pageMargins left="0.59055118110236227" right="0.39370078740157483" top="0.98425196850393704" bottom="0.59055118110236227" header="0" footer="0"/>
  <pageSetup paperSize="9" scale="85" orientation="portrait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5E3A-A99E-4F6D-A38A-B1DD7B1D8472}">
  <sheetPr codeName="Hoja6"/>
  <dimension ref="A1:Q40"/>
  <sheetViews>
    <sheetView zoomScale="75" workbookViewId="0">
      <selection activeCell="G5" sqref="G5"/>
    </sheetView>
  </sheetViews>
  <sheetFormatPr baseColWidth="10" defaultColWidth="8.88671875" defaultRowHeight="13.2" x14ac:dyDescent="0.25"/>
  <cols>
    <col min="1" max="1" width="6.109375" customWidth="1"/>
    <col min="2" max="2" width="10.44140625" customWidth="1"/>
    <col min="3" max="3" width="18.109375" bestFit="1" customWidth="1"/>
    <col min="4" max="5" width="11.44140625" customWidth="1"/>
    <col min="6" max="6" width="32.88671875" customWidth="1"/>
    <col min="7" max="7" width="16.88671875" customWidth="1"/>
    <col min="8" max="8" width="15.5546875" customWidth="1"/>
    <col min="9" max="15" width="11.44140625" customWidth="1"/>
    <col min="16" max="16" width="20.5546875" customWidth="1"/>
    <col min="17" max="17" width="13.44140625" customWidth="1"/>
    <col min="18" max="256" width="11.44140625" customWidth="1"/>
  </cols>
  <sheetData>
    <row r="1" spans="1:17" x14ac:dyDescent="0.25">
      <c r="A1" s="69" t="s">
        <v>288</v>
      </c>
      <c r="B1" s="1100" t="s">
        <v>289</v>
      </c>
      <c r="C1" s="1100"/>
      <c r="D1" s="1100"/>
      <c r="E1" s="1100"/>
      <c r="F1" s="1100"/>
      <c r="G1" s="1100"/>
      <c r="H1" s="1100"/>
      <c r="I1" s="69"/>
    </row>
    <row r="2" spans="1:17" x14ac:dyDescent="0.25">
      <c r="A2" s="69"/>
      <c r="B2" s="70"/>
      <c r="C2" s="70"/>
      <c r="D2" s="70"/>
      <c r="E2" s="70"/>
      <c r="F2" s="70"/>
      <c r="G2" s="70"/>
      <c r="H2" s="70"/>
      <c r="I2" s="69"/>
    </row>
    <row r="3" spans="1:17" x14ac:dyDescent="0.25">
      <c r="A3" s="69"/>
      <c r="B3" s="71" t="s">
        <v>290</v>
      </c>
      <c r="C3" s="72">
        <f>ROUND('Gran-LLyLP'!F40,2)</f>
        <v>5</v>
      </c>
      <c r="D3" s="71" t="s">
        <v>291</v>
      </c>
      <c r="E3" s="73">
        <f>+'Gran-LLyLP'!T54</f>
        <v>38</v>
      </c>
      <c r="F3" s="69"/>
      <c r="G3" s="69"/>
      <c r="H3" s="70"/>
      <c r="I3" s="69"/>
      <c r="K3" s="74" t="s">
        <v>292</v>
      </c>
      <c r="L3" s="74">
        <f>+IF(N_10="NP",0,N_10)</f>
        <v>0</v>
      </c>
    </row>
    <row r="4" spans="1:17" ht="15.6" x14ac:dyDescent="0.3">
      <c r="A4" s="69"/>
      <c r="B4" s="71" t="s">
        <v>293</v>
      </c>
      <c r="C4" s="72">
        <f>IF('Gran-LLyLP'!F32="",100,ROUND('Gran-LLyLP'!F32,2))</f>
        <v>37.299999999999997</v>
      </c>
      <c r="D4" s="71" t="s">
        <v>294</v>
      </c>
      <c r="E4" s="72">
        <f>+'Gran-LLyLP'!T57</f>
        <v>1.6959267381416505</v>
      </c>
      <c r="F4" s="75" t="s">
        <v>295</v>
      </c>
      <c r="G4" s="76" t="str">
        <f>+Q9</f>
        <v>GW-GM</v>
      </c>
      <c r="H4" s="77"/>
      <c r="I4" s="69"/>
      <c r="K4" s="74" t="s">
        <v>296</v>
      </c>
      <c r="L4" s="74">
        <f>+IF(C6="NP",0,C6)</f>
        <v>0</v>
      </c>
    </row>
    <row r="5" spans="1:17" x14ac:dyDescent="0.25">
      <c r="A5" s="69"/>
      <c r="B5" s="71" t="s">
        <v>297</v>
      </c>
      <c r="C5" s="72" t="str">
        <f>IF('Gran-LLyLP'!G43="NP","NP",ROUND('Gran-LLyLP'!G43,2))</f>
        <v>NP</v>
      </c>
      <c r="D5" s="70"/>
      <c r="E5" s="70"/>
      <c r="F5" s="71"/>
      <c r="G5" s="70"/>
      <c r="H5" s="70"/>
      <c r="I5" s="69"/>
      <c r="K5" s="74" t="s">
        <v>298</v>
      </c>
      <c r="L5" s="78">
        <f>IF(OR(E3="----",E3=""),0,E3)</f>
        <v>38</v>
      </c>
    </row>
    <row r="6" spans="1:17" x14ac:dyDescent="0.25">
      <c r="A6" s="69"/>
      <c r="B6" s="71" t="s">
        <v>299</v>
      </c>
      <c r="C6" s="72" t="str">
        <f>IF('Gran-LLyLP'!G44="NP","NP",ROUND('Gran-LLyLP'!G44,2))</f>
        <v>NP</v>
      </c>
      <c r="D6" s="70"/>
      <c r="E6" s="70"/>
      <c r="F6" s="71"/>
      <c r="G6" s="70"/>
      <c r="H6" s="70"/>
      <c r="I6" s="69"/>
      <c r="K6" s="78" t="s">
        <v>300</v>
      </c>
      <c r="L6" s="78">
        <f>IF(OR(E4="----",E4=""),0,E4)</f>
        <v>1.6959267381416505</v>
      </c>
    </row>
    <row r="7" spans="1:17" x14ac:dyDescent="0.25">
      <c r="A7" s="69"/>
      <c r="B7" s="69"/>
      <c r="C7" s="70"/>
      <c r="D7" s="69"/>
      <c r="E7" s="69"/>
      <c r="F7" s="69"/>
      <c r="G7" s="69"/>
      <c r="H7" s="69"/>
      <c r="I7" s="69"/>
    </row>
    <row r="8" spans="1:17" ht="44.25" customHeight="1" x14ac:dyDescent="0.25">
      <c r="A8" s="69"/>
      <c r="B8" s="1101" t="s">
        <v>301</v>
      </c>
      <c r="C8" s="1101"/>
      <c r="D8" s="1101"/>
      <c r="E8" s="79" t="s">
        <v>302</v>
      </c>
      <c r="F8" s="80" t="s">
        <v>303</v>
      </c>
      <c r="G8" s="1102" t="s">
        <v>304</v>
      </c>
      <c r="H8" s="1102"/>
      <c r="I8" s="69"/>
      <c r="L8" s="81" t="s">
        <v>305</v>
      </c>
      <c r="M8" s="1125" t="s">
        <v>306</v>
      </c>
      <c r="N8" s="1125"/>
      <c r="O8" s="82" t="s">
        <v>307</v>
      </c>
      <c r="P8" s="81" t="s">
        <v>308</v>
      </c>
      <c r="Q8" s="83" t="s">
        <v>309</v>
      </c>
    </row>
    <row r="9" spans="1:17" ht="36.75" customHeight="1" x14ac:dyDescent="0.25">
      <c r="A9" s="69"/>
      <c r="B9" s="1096" t="s">
        <v>310</v>
      </c>
      <c r="C9" s="1098" t="s">
        <v>311</v>
      </c>
      <c r="D9" s="1103" t="s">
        <v>312</v>
      </c>
      <c r="E9" s="84" t="s">
        <v>313</v>
      </c>
      <c r="F9" s="85" t="s">
        <v>314</v>
      </c>
      <c r="G9" s="1104" t="s">
        <v>315</v>
      </c>
      <c r="H9" s="1105"/>
      <c r="I9" s="69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>GW-GM</v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>GW-GM</v>
      </c>
      <c r="Q9" t="str">
        <f>+P9&amp;P10&amp;P11&amp;P12&amp;P13&amp;P14&amp;P15&amp;P16&amp;P17&amp;P18&amp;P19&amp;P20&amp;P21&amp;P22&amp;P23&amp;P24</f>
        <v>GW-GM</v>
      </c>
    </row>
    <row r="10" spans="1:17" ht="36.75" customHeight="1" x14ac:dyDescent="0.25">
      <c r="A10" s="69"/>
      <c r="B10" s="1096"/>
      <c r="C10" s="1098"/>
      <c r="D10" s="1103"/>
      <c r="E10" s="86" t="s">
        <v>316</v>
      </c>
      <c r="F10" s="87" t="s">
        <v>317</v>
      </c>
      <c r="G10" s="1108" t="s">
        <v>318</v>
      </c>
      <c r="H10" s="1109"/>
      <c r="I10" s="69"/>
      <c r="L10" t="str">
        <f>IF(AND(N_200&lt;50,(100-N_40)&gt;=0.5*(100-N_200),N_200&lt;5,OR(CU&lt;4,CC&lt;1,CC&gt;3)),"GP","")</f>
        <v/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/>
      </c>
    </row>
    <row r="11" spans="1:17" ht="43.5" customHeight="1" x14ac:dyDescent="0.25">
      <c r="A11" s="69"/>
      <c r="B11" s="1096"/>
      <c r="C11" s="1098"/>
      <c r="D11" s="1103" t="s">
        <v>319</v>
      </c>
      <c r="E11" s="86" t="s">
        <v>320</v>
      </c>
      <c r="F11" s="88" t="s">
        <v>321</v>
      </c>
      <c r="G11" s="89" t="s">
        <v>322</v>
      </c>
      <c r="H11" s="1106" t="s">
        <v>323</v>
      </c>
      <c r="I11" s="69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 x14ac:dyDescent="0.25">
      <c r="A12" s="69"/>
      <c r="B12" s="1096"/>
      <c r="C12" s="1099"/>
      <c r="D12" s="1103"/>
      <c r="E12" s="90" t="s">
        <v>324</v>
      </c>
      <c r="F12" s="87" t="s">
        <v>325</v>
      </c>
      <c r="G12" s="89" t="s">
        <v>326</v>
      </c>
      <c r="H12" s="1107"/>
      <c r="I12" s="69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 x14ac:dyDescent="0.25">
      <c r="A13" s="69"/>
      <c r="B13" s="1096"/>
      <c r="C13" s="1098" t="s">
        <v>327</v>
      </c>
      <c r="D13" s="1103" t="s">
        <v>328</v>
      </c>
      <c r="E13" s="91" t="s">
        <v>329</v>
      </c>
      <c r="F13" s="92" t="s">
        <v>330</v>
      </c>
      <c r="G13" s="1126" t="s">
        <v>331</v>
      </c>
      <c r="H13" s="1127"/>
      <c r="I13" s="69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 x14ac:dyDescent="0.25">
      <c r="A14" s="69"/>
      <c r="B14" s="1096"/>
      <c r="C14" s="1098"/>
      <c r="D14" s="1103"/>
      <c r="E14" s="91" t="s">
        <v>332</v>
      </c>
      <c r="F14" s="92" t="s">
        <v>333</v>
      </c>
      <c r="G14" s="1126" t="s">
        <v>334</v>
      </c>
      <c r="H14" s="1127"/>
      <c r="I14" s="69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 x14ac:dyDescent="0.25">
      <c r="A15" s="69"/>
      <c r="B15" s="1096"/>
      <c r="C15" s="1098"/>
      <c r="D15" s="1103" t="s">
        <v>335</v>
      </c>
      <c r="E15" s="91" t="s">
        <v>336</v>
      </c>
      <c r="F15" s="93" t="s">
        <v>337</v>
      </c>
      <c r="G15" s="94" t="s">
        <v>338</v>
      </c>
      <c r="H15" s="1128" t="s">
        <v>339</v>
      </c>
      <c r="I15" s="69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 x14ac:dyDescent="0.25">
      <c r="A16" s="69"/>
      <c r="B16" s="1097"/>
      <c r="C16" s="1098"/>
      <c r="D16" s="1103"/>
      <c r="E16" s="95" t="s">
        <v>340</v>
      </c>
      <c r="F16" s="93" t="s">
        <v>341</v>
      </c>
      <c r="G16" s="92" t="s">
        <v>342</v>
      </c>
      <c r="H16" s="1129"/>
      <c r="I16" s="69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 x14ac:dyDescent="0.25">
      <c r="A17" s="69"/>
      <c r="B17" s="1110" t="s">
        <v>343</v>
      </c>
      <c r="C17" s="1113" t="s">
        <v>344</v>
      </c>
      <c r="D17" s="1114"/>
      <c r="E17" s="96" t="s">
        <v>345</v>
      </c>
      <c r="F17" s="97" t="s">
        <v>346</v>
      </c>
      <c r="G17" s="1119" t="s">
        <v>347</v>
      </c>
      <c r="H17" s="1120"/>
      <c r="I17" s="69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 x14ac:dyDescent="0.25">
      <c r="A18" s="69"/>
      <c r="B18" s="1111"/>
      <c r="C18" s="1115"/>
      <c r="D18" s="1116"/>
      <c r="E18" s="96" t="s">
        <v>348</v>
      </c>
      <c r="F18" s="97" t="s">
        <v>349</v>
      </c>
      <c r="G18" s="1121"/>
      <c r="H18" s="1122"/>
      <c r="I18" s="69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 x14ac:dyDescent="0.25">
      <c r="A19" s="69"/>
      <c r="B19" s="1111"/>
      <c r="C19" s="1117"/>
      <c r="D19" s="1118"/>
      <c r="E19" s="96" t="s">
        <v>350</v>
      </c>
      <c r="F19" s="98" t="s">
        <v>351</v>
      </c>
      <c r="G19" s="99"/>
      <c r="H19" s="99"/>
      <c r="I19" s="69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 x14ac:dyDescent="0.25">
      <c r="A20" s="69"/>
      <c r="B20" s="1111"/>
      <c r="C20" s="1115" t="s">
        <v>352</v>
      </c>
      <c r="D20" s="1123"/>
      <c r="E20" s="100" t="s">
        <v>353</v>
      </c>
      <c r="F20" s="101" t="s">
        <v>354</v>
      </c>
      <c r="G20" s="69"/>
      <c r="H20" s="69"/>
      <c r="I20" s="69"/>
      <c r="L20" t="str">
        <f>IF(AND(N_200&gt;=50,Ll&gt;=50,IP&gt;0,IP&lt;=16),"MH","")</f>
        <v/>
      </c>
      <c r="P20" t="str">
        <f t="shared" si="0"/>
        <v/>
      </c>
    </row>
    <row r="21" spans="1:16" ht="24" customHeight="1" x14ac:dyDescent="0.25">
      <c r="A21" s="69"/>
      <c r="B21" s="1111"/>
      <c r="C21" s="1115"/>
      <c r="D21" s="1123"/>
      <c r="E21" s="100" t="s">
        <v>355</v>
      </c>
      <c r="F21" s="101" t="s">
        <v>356</v>
      </c>
      <c r="G21" s="69"/>
      <c r="H21" s="69"/>
      <c r="I21" s="69"/>
      <c r="L21" t="str">
        <f>IF(AND(N_200&gt;=50,Ll&gt;=50,IP&gt;=0.73*(Ll-20)),"CH","")</f>
        <v/>
      </c>
      <c r="P21" t="str">
        <f t="shared" si="0"/>
        <v/>
      </c>
    </row>
    <row r="22" spans="1:16" ht="24" customHeight="1" x14ac:dyDescent="0.25">
      <c r="A22" s="69"/>
      <c r="B22" s="1111"/>
      <c r="C22" s="1117"/>
      <c r="D22" s="1124"/>
      <c r="E22" s="102" t="s">
        <v>357</v>
      </c>
      <c r="F22" s="101" t="s">
        <v>358</v>
      </c>
      <c r="G22" s="69"/>
      <c r="H22" s="69"/>
      <c r="I22" s="69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 x14ac:dyDescent="0.25">
      <c r="A23" s="69"/>
      <c r="B23" s="1111"/>
      <c r="C23" s="1113" t="s">
        <v>359</v>
      </c>
      <c r="D23" s="1114"/>
      <c r="E23" s="103" t="s">
        <v>360</v>
      </c>
      <c r="F23" s="104" t="s">
        <v>361</v>
      </c>
      <c r="G23" s="69"/>
      <c r="H23" s="69"/>
      <c r="I23" s="69"/>
      <c r="L23" t="str">
        <f>IF(AND(N_200&gt;=50,IP&gt;=0.73*(Ll-20),IP&gt;=4,IP&lt;7,IP&lt;0.9*(Ll-8)),"CL-ML","")</f>
        <v/>
      </c>
      <c r="P23" t="str">
        <f t="shared" si="0"/>
        <v/>
      </c>
    </row>
    <row r="24" spans="1:16" x14ac:dyDescent="0.25">
      <c r="A24" s="69"/>
      <c r="B24" s="1112"/>
      <c r="C24" s="105"/>
      <c r="D24" s="106"/>
      <c r="E24" s="107"/>
      <c r="F24" s="108"/>
      <c r="G24" s="69"/>
      <c r="H24" s="69"/>
      <c r="I24" s="69"/>
      <c r="P24" t="str">
        <f t="shared" si="0"/>
        <v/>
      </c>
    </row>
    <row r="25" spans="1:16" x14ac:dyDescent="0.25">
      <c r="A25" s="69"/>
      <c r="B25" s="109"/>
      <c r="C25" s="109"/>
      <c r="D25" s="109"/>
      <c r="E25" s="110"/>
      <c r="F25" s="111"/>
      <c r="G25" s="69"/>
      <c r="H25" s="69"/>
      <c r="I25" s="69"/>
    </row>
    <row r="26" spans="1:16" x14ac:dyDescent="0.25">
      <c r="A26" s="69"/>
      <c r="B26" s="109"/>
      <c r="C26" s="109"/>
      <c r="D26" s="109"/>
      <c r="E26" s="112"/>
      <c r="F26" s="111"/>
      <c r="G26" s="69"/>
      <c r="H26" s="69"/>
      <c r="I26" s="69"/>
    </row>
    <row r="27" spans="1:16" x14ac:dyDescent="0.25">
      <c r="A27" s="69"/>
      <c r="B27" s="69"/>
      <c r="C27" s="69"/>
      <c r="D27" s="69"/>
      <c r="E27" s="112"/>
      <c r="F27" s="111"/>
      <c r="G27" s="69"/>
      <c r="H27" s="69"/>
      <c r="I27" s="69"/>
    </row>
    <row r="28" spans="1:16" x14ac:dyDescent="0.25">
      <c r="A28" s="69"/>
      <c r="B28" s="69"/>
      <c r="C28" s="69"/>
      <c r="D28" s="69"/>
      <c r="E28" s="112"/>
      <c r="F28" s="111"/>
      <c r="G28" s="69"/>
      <c r="H28" s="69"/>
      <c r="I28" s="69"/>
    </row>
    <row r="29" spans="1:16" x14ac:dyDescent="0.25">
      <c r="A29" s="69"/>
      <c r="B29" s="69"/>
      <c r="C29" s="69"/>
      <c r="D29" s="69"/>
      <c r="E29" s="112"/>
      <c r="F29" s="111"/>
      <c r="G29" s="69"/>
      <c r="H29" s="69"/>
      <c r="I29" s="69"/>
    </row>
    <row r="30" spans="1:16" x14ac:dyDescent="0.25">
      <c r="F30" s="113"/>
    </row>
    <row r="31" spans="1:16" x14ac:dyDescent="0.25">
      <c r="F31" s="113"/>
    </row>
    <row r="32" spans="1:16" x14ac:dyDescent="0.25">
      <c r="F32" s="113"/>
    </row>
    <row r="33" spans="6:6" x14ac:dyDescent="0.25">
      <c r="F33" s="113"/>
    </row>
    <row r="34" spans="6:6" x14ac:dyDescent="0.25">
      <c r="F34" s="113"/>
    </row>
    <row r="35" spans="6:6" x14ac:dyDescent="0.25">
      <c r="F35" s="113"/>
    </row>
    <row r="36" spans="6:6" x14ac:dyDescent="0.25">
      <c r="F36" s="113"/>
    </row>
    <row r="37" spans="6:6" x14ac:dyDescent="0.25">
      <c r="F37" s="113"/>
    </row>
    <row r="38" spans="6:6" x14ac:dyDescent="0.25">
      <c r="F38" s="113"/>
    </row>
    <row r="39" spans="6:6" x14ac:dyDescent="0.25">
      <c r="F39" s="113"/>
    </row>
    <row r="40" spans="6:6" x14ac:dyDescent="0.25">
      <c r="F40" s="113"/>
    </row>
  </sheetData>
  <mergeCells count="22">
    <mergeCell ref="M8:N8"/>
    <mergeCell ref="C13:C16"/>
    <mergeCell ref="D13:D14"/>
    <mergeCell ref="G13:H13"/>
    <mergeCell ref="D11:D12"/>
    <mergeCell ref="G14:H14"/>
    <mergeCell ref="D15:D16"/>
    <mergeCell ref="H15:H16"/>
    <mergeCell ref="B17:B24"/>
    <mergeCell ref="C17:D19"/>
    <mergeCell ref="G17:H18"/>
    <mergeCell ref="C20:D22"/>
    <mergeCell ref="C23:D23"/>
    <mergeCell ref="B9:B16"/>
    <mergeCell ref="C9:C12"/>
    <mergeCell ref="B1:H1"/>
    <mergeCell ref="B8:D8"/>
    <mergeCell ref="G8:H8"/>
    <mergeCell ref="D9:D10"/>
    <mergeCell ref="G9:H9"/>
    <mergeCell ref="H11:H12"/>
    <mergeCell ref="G10:H10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C2D7-9B80-494E-A518-905C9008E769}">
  <sheetPr codeName="Hoja7"/>
  <dimension ref="A1:Q42"/>
  <sheetViews>
    <sheetView topLeftCell="A19" workbookViewId="0">
      <selection activeCell="F11" sqref="F11"/>
    </sheetView>
  </sheetViews>
  <sheetFormatPr baseColWidth="10" defaultColWidth="8.88671875" defaultRowHeight="13.2" x14ac:dyDescent="0.25"/>
  <cols>
    <col min="1" max="1" width="6.109375" customWidth="1"/>
    <col min="2" max="2" width="18.88671875" customWidth="1"/>
    <col min="3" max="3" width="6.44140625" customWidth="1"/>
    <col min="4" max="15" width="7.88671875" customWidth="1"/>
    <col min="16" max="17" width="11.44140625" style="144" customWidth="1"/>
    <col min="18" max="256" width="11.44140625" customWidth="1"/>
  </cols>
  <sheetData>
    <row r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6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63"/>
    </row>
    <row r="4" spans="1:16" ht="33" customHeight="1" thickBot="1" x14ac:dyDescent="0.3">
      <c r="A4" s="2"/>
      <c r="B4" s="1130" t="s">
        <v>362</v>
      </c>
      <c r="C4" s="1131"/>
      <c r="D4" s="1132" t="s">
        <v>363</v>
      </c>
      <c r="E4" s="1132"/>
      <c r="F4" s="1132"/>
      <c r="G4" s="1132"/>
      <c r="H4" s="1132"/>
      <c r="I4" s="1132"/>
      <c r="J4" s="1132"/>
      <c r="K4" s="1133" t="s">
        <v>364</v>
      </c>
      <c r="L4" s="1134"/>
      <c r="M4" s="1134"/>
      <c r="N4" s="1134"/>
      <c r="O4" s="1135"/>
    </row>
    <row r="5" spans="1:16" x14ac:dyDescent="0.25">
      <c r="A5" s="2"/>
      <c r="B5" s="1136" t="s">
        <v>365</v>
      </c>
      <c r="C5" s="1137"/>
      <c r="D5" s="1140" t="s">
        <v>366</v>
      </c>
      <c r="E5" s="1141"/>
      <c r="F5" s="1150" t="s">
        <v>367</v>
      </c>
      <c r="G5" s="1140" t="s">
        <v>368</v>
      </c>
      <c r="H5" s="1152"/>
      <c r="I5" s="1152"/>
      <c r="J5" s="1141"/>
      <c r="K5" s="1153" t="s">
        <v>369</v>
      </c>
      <c r="L5" s="1155" t="s">
        <v>370</v>
      </c>
      <c r="M5" s="1157" t="s">
        <v>371</v>
      </c>
      <c r="N5" s="1144" t="s">
        <v>372</v>
      </c>
      <c r="O5" s="1145"/>
    </row>
    <row r="6" spans="1:16" x14ac:dyDescent="0.25">
      <c r="A6" s="2"/>
      <c r="B6" s="1138"/>
      <c r="C6" s="1139"/>
      <c r="D6" s="4" t="s">
        <v>373</v>
      </c>
      <c r="E6" s="5" t="s">
        <v>374</v>
      </c>
      <c r="F6" s="1151"/>
      <c r="G6" s="4" t="s">
        <v>375</v>
      </c>
      <c r="H6" s="7" t="s">
        <v>376</v>
      </c>
      <c r="I6" s="6" t="s">
        <v>377</v>
      </c>
      <c r="J6" s="5" t="s">
        <v>378</v>
      </c>
      <c r="K6" s="1154"/>
      <c r="L6" s="1156"/>
      <c r="M6" s="1158"/>
      <c r="N6" s="8" t="s">
        <v>379</v>
      </c>
      <c r="O6" s="9" t="s">
        <v>380</v>
      </c>
    </row>
    <row r="7" spans="1:16" x14ac:dyDescent="0.25">
      <c r="A7" s="2"/>
      <c r="B7" s="10"/>
      <c r="C7" s="11"/>
      <c r="D7" s="12"/>
      <c r="E7" s="13"/>
      <c r="F7" s="14"/>
      <c r="G7" s="12"/>
      <c r="H7" s="15"/>
      <c r="I7" s="14"/>
      <c r="J7" s="13"/>
      <c r="K7" s="16"/>
      <c r="L7" s="17"/>
      <c r="M7" s="18"/>
      <c r="N7" s="16"/>
      <c r="O7" s="19"/>
    </row>
    <row r="8" spans="1:16" x14ac:dyDescent="0.25">
      <c r="A8" s="2"/>
      <c r="B8" s="20" t="s">
        <v>381</v>
      </c>
      <c r="C8" s="11"/>
      <c r="D8" s="12"/>
      <c r="E8" s="13"/>
      <c r="F8" s="14"/>
      <c r="G8" s="12"/>
      <c r="H8" s="15"/>
      <c r="I8" s="14"/>
      <c r="J8" s="13"/>
      <c r="K8" s="16"/>
      <c r="L8" s="17"/>
      <c r="M8" s="18"/>
      <c r="N8" s="16"/>
      <c r="O8" s="19"/>
    </row>
    <row r="9" spans="1:16" x14ac:dyDescent="0.25">
      <c r="A9" s="2"/>
      <c r="B9" s="20" t="s">
        <v>382</v>
      </c>
      <c r="C9" s="11"/>
      <c r="D9" s="12"/>
      <c r="E9" s="13"/>
      <c r="F9" s="14"/>
      <c r="G9" s="12"/>
      <c r="H9" s="15"/>
      <c r="I9" s="14"/>
      <c r="J9" s="13"/>
      <c r="K9" s="16"/>
      <c r="L9" s="17"/>
      <c r="M9" s="18"/>
      <c r="N9" s="16"/>
      <c r="O9" s="19"/>
    </row>
    <row r="10" spans="1:16" x14ac:dyDescent="0.25">
      <c r="A10" s="2"/>
      <c r="B10" s="21"/>
      <c r="C10" s="11"/>
      <c r="D10" s="12"/>
      <c r="E10" s="13"/>
      <c r="F10" s="14"/>
      <c r="G10" s="12"/>
      <c r="H10" s="15"/>
      <c r="I10" s="14"/>
      <c r="J10" s="13"/>
      <c r="K10" s="16"/>
      <c r="L10" s="17"/>
      <c r="M10" s="18"/>
      <c r="N10" s="16"/>
      <c r="O10" s="19"/>
    </row>
    <row r="11" spans="1:16" x14ac:dyDescent="0.25">
      <c r="A11" s="2"/>
      <c r="B11" s="22" t="s">
        <v>383</v>
      </c>
      <c r="C11" s="23">
        <f>+IF('Gran-LLyLP'!F33="",100,ROUND('Gran-LLyLP'!F33,1))</f>
        <v>27.8</v>
      </c>
      <c r="D11" s="12" t="s">
        <v>384</v>
      </c>
      <c r="E11" s="13"/>
      <c r="F11" s="14"/>
      <c r="G11" s="12"/>
      <c r="H11" s="15"/>
      <c r="I11" s="14"/>
      <c r="J11" s="13"/>
      <c r="K11" s="16"/>
      <c r="L11" s="17"/>
      <c r="M11" s="18"/>
      <c r="N11" s="16"/>
      <c r="O11" s="19"/>
    </row>
    <row r="12" spans="1:16" x14ac:dyDescent="0.25">
      <c r="A12" s="2"/>
      <c r="B12" s="22" t="s">
        <v>385</v>
      </c>
      <c r="C12" s="23">
        <f>+IF('Gran-LLyLP'!F36="",100,ROUND('Gran-LLyLP'!F36,1))</f>
        <v>12.6</v>
      </c>
      <c r="D12" s="12" t="s">
        <v>386</v>
      </c>
      <c r="E12" s="13" t="s">
        <v>384</v>
      </c>
      <c r="F12" s="14" t="s">
        <v>387</v>
      </c>
      <c r="G12" s="12"/>
      <c r="H12" s="15"/>
      <c r="I12" s="14"/>
      <c r="J12" s="13"/>
      <c r="K12" s="16"/>
      <c r="L12" s="17"/>
      <c r="M12" s="18"/>
      <c r="N12" s="16"/>
      <c r="O12" s="19"/>
    </row>
    <row r="13" spans="1:16" x14ac:dyDescent="0.25">
      <c r="A13" s="2"/>
      <c r="B13" s="22" t="s">
        <v>388</v>
      </c>
      <c r="C13" s="23">
        <f>ROUND('Gran-LLyLP'!F40,1)</f>
        <v>5</v>
      </c>
      <c r="D13" s="12" t="s">
        <v>389</v>
      </c>
      <c r="E13" s="13" t="s">
        <v>390</v>
      </c>
      <c r="F13" s="14" t="s">
        <v>391</v>
      </c>
      <c r="G13" s="12" t="s">
        <v>392</v>
      </c>
      <c r="H13" s="15" t="s">
        <v>392</v>
      </c>
      <c r="I13" s="14" t="s">
        <v>392</v>
      </c>
      <c r="J13" s="13" t="s">
        <v>392</v>
      </c>
      <c r="K13" s="16" t="s">
        <v>393</v>
      </c>
      <c r="L13" s="17" t="s">
        <v>393</v>
      </c>
      <c r="M13" s="18" t="s">
        <v>393</v>
      </c>
      <c r="N13" s="16" t="s">
        <v>393</v>
      </c>
      <c r="O13" s="19" t="s">
        <v>393</v>
      </c>
    </row>
    <row r="14" spans="1:16" x14ac:dyDescent="0.25">
      <c r="A14" s="2"/>
      <c r="B14" s="24"/>
      <c r="C14" s="25"/>
      <c r="D14" s="26"/>
      <c r="E14" s="27"/>
      <c r="F14" s="28"/>
      <c r="G14" s="26"/>
      <c r="H14" s="29"/>
      <c r="I14" s="28"/>
      <c r="J14" s="27"/>
      <c r="K14" s="30"/>
      <c r="L14" s="31"/>
      <c r="M14" s="32"/>
      <c r="N14" s="30"/>
      <c r="O14" s="33"/>
    </row>
    <row r="15" spans="1:16" x14ac:dyDescent="0.25">
      <c r="A15" s="2"/>
      <c r="B15" s="34"/>
      <c r="C15" s="35"/>
      <c r="D15" s="36"/>
      <c r="E15" s="37"/>
      <c r="F15" s="38"/>
      <c r="G15" s="36"/>
      <c r="H15" s="39"/>
      <c r="I15" s="38"/>
      <c r="J15" s="37"/>
      <c r="K15" s="40"/>
      <c r="L15" s="41"/>
      <c r="M15" s="42"/>
      <c r="N15" s="40"/>
      <c r="O15" s="43"/>
    </row>
    <row r="16" spans="1:16" x14ac:dyDescent="0.25">
      <c r="A16" s="2"/>
      <c r="B16" s="44" t="s">
        <v>394</v>
      </c>
      <c r="C16" s="45"/>
      <c r="D16" s="36"/>
      <c r="E16" s="37"/>
      <c r="F16" s="38"/>
      <c r="G16" s="36"/>
      <c r="H16" s="39"/>
      <c r="I16" s="38"/>
      <c r="J16" s="37"/>
      <c r="K16" s="40"/>
      <c r="L16" s="41"/>
      <c r="M16" s="42"/>
      <c r="N16" s="40"/>
      <c r="O16" s="43"/>
    </row>
    <row r="17" spans="1:15" x14ac:dyDescent="0.25">
      <c r="A17" s="2"/>
      <c r="B17" s="44" t="s">
        <v>395</v>
      </c>
      <c r="C17" s="45"/>
      <c r="D17" s="36"/>
      <c r="E17" s="37"/>
      <c r="F17" s="38"/>
      <c r="G17" s="36"/>
      <c r="H17" s="39"/>
      <c r="I17" s="38"/>
      <c r="J17" s="37"/>
      <c r="K17" s="40"/>
      <c r="L17" s="41"/>
      <c r="M17" s="42"/>
      <c r="N17" s="40"/>
      <c r="O17" s="43"/>
    </row>
    <row r="18" spans="1:15" x14ac:dyDescent="0.25">
      <c r="A18" s="2"/>
      <c r="B18" s="44" t="s">
        <v>396</v>
      </c>
      <c r="C18" s="45"/>
      <c r="D18" s="36"/>
      <c r="E18" s="37"/>
      <c r="F18" s="38"/>
      <c r="G18" s="36"/>
      <c r="H18" s="39"/>
      <c r="I18" s="38"/>
      <c r="J18" s="37"/>
      <c r="K18" s="40"/>
      <c r="L18" s="41"/>
      <c r="M18" s="42"/>
      <c r="N18" s="40"/>
      <c r="O18" s="43"/>
    </row>
    <row r="19" spans="1:15" x14ac:dyDescent="0.25">
      <c r="A19" s="2"/>
      <c r="B19" s="46"/>
      <c r="C19" s="45"/>
      <c r="D19" s="36"/>
      <c r="E19" s="37"/>
      <c r="F19" s="38"/>
      <c r="G19" s="36"/>
      <c r="H19" s="39"/>
      <c r="I19" s="38"/>
      <c r="J19" s="37"/>
      <c r="K19" s="40"/>
      <c r="L19" s="41"/>
      <c r="M19" s="42"/>
      <c r="N19" s="40"/>
      <c r="O19" s="43"/>
    </row>
    <row r="20" spans="1:15" x14ac:dyDescent="0.25">
      <c r="A20" s="2"/>
      <c r="B20" s="47" t="s">
        <v>397</v>
      </c>
      <c r="C20" s="45" t="str">
        <f>IF('Gran-LLyLP'!G43="NP","NP",ROUND('Gran-LLyLP'!G43,1))</f>
        <v>NP</v>
      </c>
      <c r="D20" s="36"/>
      <c r="E20" s="37"/>
      <c r="F20" s="38"/>
      <c r="G20" s="36" t="s">
        <v>398</v>
      </c>
      <c r="H20" s="39" t="s">
        <v>399</v>
      </c>
      <c r="I20" s="38" t="s">
        <v>398</v>
      </c>
      <c r="J20" s="37" t="s">
        <v>399</v>
      </c>
      <c r="K20" s="40" t="s">
        <v>398</v>
      </c>
      <c r="L20" s="41" t="s">
        <v>399</v>
      </c>
      <c r="M20" s="42" t="s">
        <v>398</v>
      </c>
      <c r="N20" s="40" t="s">
        <v>399</v>
      </c>
      <c r="O20" s="43" t="s">
        <v>399</v>
      </c>
    </row>
    <row r="21" spans="1:15" x14ac:dyDescent="0.25">
      <c r="A21" s="2"/>
      <c r="B21" s="47" t="s">
        <v>400</v>
      </c>
      <c r="C21" s="45" t="str">
        <f>IF('Gran-LLyLP'!G44="NP","NP",ROUND('Gran-LLyLP'!G44,1))</f>
        <v>NP</v>
      </c>
      <c r="D21" s="36" t="s">
        <v>401</v>
      </c>
      <c r="E21" s="37" t="s">
        <v>401</v>
      </c>
      <c r="F21" s="38" t="s">
        <v>402</v>
      </c>
      <c r="G21" s="36" t="s">
        <v>391</v>
      </c>
      <c r="H21" s="39" t="s">
        <v>391</v>
      </c>
      <c r="I21" s="38" t="s">
        <v>403</v>
      </c>
      <c r="J21" s="37" t="s">
        <v>403</v>
      </c>
      <c r="K21" s="40" t="s">
        <v>391</v>
      </c>
      <c r="L21" s="41" t="s">
        <v>391</v>
      </c>
      <c r="M21" s="42" t="s">
        <v>403</v>
      </c>
      <c r="N21" s="40" t="s">
        <v>404</v>
      </c>
      <c r="O21" s="43" t="s">
        <v>404</v>
      </c>
    </row>
    <row r="22" spans="1:15" x14ac:dyDescent="0.25">
      <c r="A22" s="2"/>
      <c r="B22" s="48"/>
      <c r="C22" s="49" t="s">
        <v>405</v>
      </c>
      <c r="D22" s="50"/>
      <c r="E22" s="51"/>
      <c r="F22" s="52"/>
      <c r="G22" s="50"/>
      <c r="H22" s="53"/>
      <c r="I22" s="52"/>
      <c r="J22" s="51"/>
      <c r="K22" s="54"/>
      <c r="L22" s="55"/>
      <c r="M22" s="56"/>
      <c r="N22" s="54"/>
      <c r="O22" s="57"/>
    </row>
    <row r="23" spans="1:15" ht="13.8" thickBot="1" x14ac:dyDescent="0.3">
      <c r="A23" s="2"/>
      <c r="B23" s="58" t="s">
        <v>406</v>
      </c>
      <c r="C23" s="59">
        <f>+D38</f>
        <v>0</v>
      </c>
      <c r="D23" s="1146">
        <v>0</v>
      </c>
      <c r="E23" s="1147"/>
      <c r="F23" s="1">
        <v>0</v>
      </c>
      <c r="G23" s="1146">
        <v>0</v>
      </c>
      <c r="H23" s="1148"/>
      <c r="I23" s="1149" t="s">
        <v>407</v>
      </c>
      <c r="J23" s="1147"/>
      <c r="K23" s="60" t="s">
        <v>408</v>
      </c>
      <c r="L23" s="61" t="s">
        <v>409</v>
      </c>
      <c r="M23" s="62" t="s">
        <v>410</v>
      </c>
      <c r="N23" s="60" t="s">
        <v>411</v>
      </c>
      <c r="O23" s="63" t="s">
        <v>411</v>
      </c>
    </row>
    <row r="24" spans="1:15" ht="13.8" thickTop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7.399999999999999" x14ac:dyDescent="0.3">
      <c r="A26" s="2"/>
      <c r="B26" s="2"/>
      <c r="C26" s="2"/>
      <c r="D26" s="2"/>
      <c r="E26" s="64" t="s">
        <v>412</v>
      </c>
      <c r="F26" s="3"/>
      <c r="G26" s="65"/>
      <c r="H26" s="3"/>
      <c r="I26" s="3"/>
      <c r="J26" s="1142" t="str">
        <f>+D31&amp;" "&amp;F38</f>
        <v>A-1-a (0)</v>
      </c>
      <c r="K26" s="1143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2.75" hidden="1" customHeight="1" x14ac:dyDescent="0.25"/>
    <row r="29" spans="1:15" ht="12.75" hidden="1" customHeight="1" x14ac:dyDescent="0.25">
      <c r="D29" t="str">
        <f>IF(AND(C11&lt;=50,C12&lt;=30,C13&lt;=15,OR(C21&lt;=6,C21="NP"),C23&lt;=0),D6,"--")</f>
        <v>A-1-a</v>
      </c>
      <c r="E29" t="str">
        <f>IF(AND(C12&lt;=50,C13&lt;=25,OR(C21&lt;=6,C21="NP"),C23&lt;=0),E6,"--")</f>
        <v>A-1-b</v>
      </c>
      <c r="F29" t="str">
        <f>IF(AND(C12&gt;50,C13&lt;=10,OR(C20="N.P.",C20="NP",C20=0),OR(C21="N.P.",C21="NP",C21=0),C23&lt;=0),F5,"--")</f>
        <v>--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 x14ac:dyDescent="0.25">
      <c r="D30" t="str">
        <f>IF(D29&lt;&gt;"--",D29,"")</f>
        <v>A-1-a</v>
      </c>
      <c r="E30" t="str">
        <f>IF(AND(D29="--",E29&lt;&gt;"--"),E29,"")</f>
        <v/>
      </c>
      <c r="F30" t="str">
        <f>IF(AND(D29="--",E29="--",F29&lt;&gt;"--"),F29,"")</f>
        <v/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 x14ac:dyDescent="0.25">
      <c r="D31" t="str">
        <f>+D30&amp;E30&amp;F30&amp;G30&amp;H30&amp;I30&amp;J30&amp;K30&amp;L30&amp;M30&amp;N30&amp;O30</f>
        <v>A-1-a</v>
      </c>
    </row>
    <row r="32" spans="1:15" ht="12.75" hidden="1" customHeight="1" x14ac:dyDescent="0.25"/>
    <row r="33" spans="1:15" ht="12.75" hidden="1" customHeight="1" x14ac:dyDescent="0.25">
      <c r="C33" t="s">
        <v>229</v>
      </c>
      <c r="D33" s="116">
        <f>+IF(C13&gt;75,40,IF(C13&lt;35,1,IF(C13&lt;40,40-C13,C13-40)))</f>
        <v>1</v>
      </c>
    </row>
    <row r="34" spans="1:15" ht="12.75" hidden="1" customHeight="1" x14ac:dyDescent="0.25">
      <c r="C34" t="s">
        <v>230</v>
      </c>
      <c r="D34" s="116">
        <f>+IF(C13&gt;55,40,IF(C13&lt;15,1,C13-15))</f>
        <v>1</v>
      </c>
    </row>
    <row r="35" spans="1:15" ht="12.75" hidden="1" customHeight="1" x14ac:dyDescent="0.25">
      <c r="C35" s="66" t="s">
        <v>231</v>
      </c>
      <c r="D35" s="116">
        <f>+IF(C20="NP",1,IF(C20&gt;60,20,IF(C20&lt;40,1,C20-40)))</f>
        <v>1</v>
      </c>
    </row>
    <row r="36" spans="1:15" ht="12.75" hidden="1" customHeight="1" x14ac:dyDescent="0.25">
      <c r="C36" t="s">
        <v>232</v>
      </c>
      <c r="D36" s="116">
        <f>+IF(C21="NP",1,IF(C21&gt;30,20,IF(C21&lt;10,1,C21-10)))</f>
        <v>1</v>
      </c>
    </row>
    <row r="37" spans="1:15" ht="12.75" hidden="1" customHeight="1" x14ac:dyDescent="0.25"/>
    <row r="38" spans="1:15" ht="12.75" hidden="1" customHeight="1" x14ac:dyDescent="0.25">
      <c r="C38" s="67">
        <f>0.2*D33+0.005*D33*D35+0.01*D34*D36</f>
        <v>0.21500000000000002</v>
      </c>
      <c r="D38" s="68">
        <f>ROUND(C38,0)</f>
        <v>0</v>
      </c>
      <c r="F38" t="str">
        <f>+"("&amp;D38&amp;")"</f>
        <v>(0)</v>
      </c>
    </row>
    <row r="39" spans="1:15" ht="12.75" hidden="1" customHeight="1" x14ac:dyDescent="0.25"/>
    <row r="40" spans="1:15" ht="12.75" hidden="1" customHeight="1" x14ac:dyDescent="0.25"/>
    <row r="41" spans="1:15" ht="13.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mergeCells count="15">
    <mergeCell ref="J26:K26"/>
    <mergeCell ref="N5:O5"/>
    <mergeCell ref="D23:E23"/>
    <mergeCell ref="G23:H23"/>
    <mergeCell ref="I23:J23"/>
    <mergeCell ref="F5:F6"/>
    <mergeCell ref="G5:J5"/>
    <mergeCell ref="K5:K6"/>
    <mergeCell ref="L5:L6"/>
    <mergeCell ref="M5:M6"/>
    <mergeCell ref="B4:C4"/>
    <mergeCell ref="D4:J4"/>
    <mergeCell ref="K4:O4"/>
    <mergeCell ref="B5:C6"/>
    <mergeCell ref="D5:E5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09CE-4F69-4439-BA29-F3BBCC2C6DFC}">
  <sheetPr codeName="Hoja9"/>
  <dimension ref="A1:P94"/>
  <sheetViews>
    <sheetView workbookViewId="0">
      <selection activeCell="A15" sqref="A15"/>
    </sheetView>
  </sheetViews>
  <sheetFormatPr baseColWidth="10" defaultColWidth="11.44140625" defaultRowHeight="13.2" x14ac:dyDescent="0.25"/>
  <cols>
    <col min="1" max="7" width="11.44140625" style="123"/>
    <col min="8" max="10" width="11.44140625" style="124"/>
    <col min="11" max="12" width="11.44140625" style="123"/>
    <col min="13" max="13" width="13.44140625" style="123" customWidth="1"/>
    <col min="14" max="16384" width="11.44140625" style="123"/>
  </cols>
  <sheetData>
    <row r="1" spans="1:16" x14ac:dyDescent="0.25">
      <c r="A1" s="119">
        <f>+D1</f>
        <v>76.2</v>
      </c>
      <c r="B1" s="120">
        <v>0</v>
      </c>
      <c r="C1" s="121" t="s">
        <v>53</v>
      </c>
      <c r="D1" s="122">
        <v>76.2</v>
      </c>
      <c r="E1" s="120">
        <v>0</v>
      </c>
      <c r="F1" s="120">
        <v>100</v>
      </c>
      <c r="G1" s="123">
        <f>+'Gran-LLyLP'!C23</f>
        <v>0</v>
      </c>
      <c r="H1" s="124">
        <f>+G1/'Gran-LLyLP'!$D$17*100</f>
        <v>0</v>
      </c>
      <c r="I1" s="124">
        <f>+H1</f>
        <v>0</v>
      </c>
      <c r="J1" s="124">
        <f>100-I1</f>
        <v>100</v>
      </c>
      <c r="L1" s="1160" t="s">
        <v>413</v>
      </c>
      <c r="M1" s="1160"/>
      <c r="N1" s="1160"/>
      <c r="O1" s="1160"/>
      <c r="P1" s="1160"/>
    </row>
    <row r="2" spans="1:16" x14ac:dyDescent="0.25">
      <c r="A2" s="119">
        <f>+A1</f>
        <v>76.2</v>
      </c>
      <c r="B2" s="120">
        <v>100</v>
      </c>
      <c r="C2" s="125" t="s">
        <v>55</v>
      </c>
      <c r="D2" s="122">
        <v>63.5</v>
      </c>
      <c r="E2" s="120">
        <v>0</v>
      </c>
      <c r="F2" s="120">
        <v>100</v>
      </c>
      <c r="G2" s="123">
        <f>+'Gran-LLyLP'!C24</f>
        <v>0</v>
      </c>
      <c r="H2" s="124">
        <f>+G2/'Gran-LLyLP'!$D$17*100</f>
        <v>0</v>
      </c>
      <c r="I2" s="124">
        <f>+H2+I1</f>
        <v>0</v>
      </c>
      <c r="J2" s="124">
        <f t="shared" ref="J2:J21" si="0">100-I2</f>
        <v>100</v>
      </c>
      <c r="L2" s="133" t="s">
        <v>414</v>
      </c>
      <c r="M2" s="133" t="s">
        <v>415</v>
      </c>
      <c r="N2" s="1159" t="s">
        <v>416</v>
      </c>
      <c r="O2" s="1159"/>
      <c r="P2" s="133" t="s">
        <v>417</v>
      </c>
    </row>
    <row r="3" spans="1:16" x14ac:dyDescent="0.25">
      <c r="A3" s="126"/>
      <c r="B3" s="126"/>
      <c r="C3" s="121" t="s">
        <v>57</v>
      </c>
      <c r="D3" s="122">
        <v>50.6</v>
      </c>
      <c r="E3" s="120">
        <v>0</v>
      </c>
      <c r="F3" s="120">
        <v>100</v>
      </c>
      <c r="G3" s="123">
        <f>+'Gran-LLyLP'!C25</f>
        <v>0</v>
      </c>
      <c r="H3" s="124">
        <f>+G3/'Gran-LLyLP'!$D$17*100</f>
        <v>0</v>
      </c>
      <c r="I3" s="124">
        <f t="shared" ref="I3:I21" si="1">+H3+I2</f>
        <v>0</v>
      </c>
      <c r="J3" s="124">
        <f t="shared" si="0"/>
        <v>100</v>
      </c>
      <c r="L3" s="130" t="str">
        <f>+C3</f>
        <v>2"</v>
      </c>
      <c r="M3" s="369">
        <f>+D3</f>
        <v>50.6</v>
      </c>
      <c r="N3" s="131">
        <f>+'Gran-LLyLP'!H25</f>
        <v>0</v>
      </c>
      <c r="O3" s="131">
        <f>+'Gran-LLyLP'!H25</f>
        <v>0</v>
      </c>
      <c r="P3" s="132">
        <f>+J3</f>
        <v>100</v>
      </c>
    </row>
    <row r="4" spans="1:16" x14ac:dyDescent="0.25">
      <c r="A4" s="119">
        <f>+D2</f>
        <v>63.5</v>
      </c>
      <c r="B4" s="120">
        <v>0</v>
      </c>
      <c r="C4" s="125" t="s">
        <v>58</v>
      </c>
      <c r="D4" s="122">
        <v>38.1</v>
      </c>
      <c r="E4" s="120">
        <v>0</v>
      </c>
      <c r="F4" s="120">
        <v>100</v>
      </c>
      <c r="G4" s="123">
        <f>+'Gran-LLyLP'!C26</f>
        <v>1384</v>
      </c>
      <c r="H4" s="124">
        <f>+G4/'Gran-LLyLP'!$D$17*100</f>
        <v>281.58697863682607</v>
      </c>
      <c r="I4" s="124">
        <f t="shared" si="1"/>
        <v>281.58697863682607</v>
      </c>
      <c r="J4" s="124">
        <f t="shared" si="0"/>
        <v>-181.58697863682607</v>
      </c>
      <c r="L4" s="130" t="str">
        <f t="shared" ref="L4:L21" si="2">+C4</f>
        <v>1 1/2"</v>
      </c>
      <c r="M4" s="369">
        <f t="shared" ref="M4:M21" si="3">+D4</f>
        <v>38.1</v>
      </c>
      <c r="N4" s="131">
        <f>+'Gran-LLyLP'!G26</f>
        <v>0</v>
      </c>
      <c r="O4" s="131">
        <f>+'Gran-LLyLP'!I26</f>
        <v>100</v>
      </c>
      <c r="P4" s="132">
        <f t="shared" ref="P4:P21" si="4">+J4</f>
        <v>-181.58697863682607</v>
      </c>
    </row>
    <row r="5" spans="1:16" x14ac:dyDescent="0.25">
      <c r="A5" s="119">
        <f>+A4</f>
        <v>63.5</v>
      </c>
      <c r="B5" s="120">
        <v>100</v>
      </c>
      <c r="C5" s="121" t="s">
        <v>59</v>
      </c>
      <c r="D5" s="122">
        <v>25.4</v>
      </c>
      <c r="E5" s="120">
        <v>0</v>
      </c>
      <c r="F5" s="120">
        <v>100</v>
      </c>
      <c r="G5" s="123">
        <f>+'Gran-LLyLP'!C27</f>
        <v>3256</v>
      </c>
      <c r="H5" s="124">
        <f>+G5/'Gran-LLyLP'!$D$17*100</f>
        <v>662.46185147507629</v>
      </c>
      <c r="I5" s="124">
        <f t="shared" si="1"/>
        <v>944.04883011190236</v>
      </c>
      <c r="J5" s="124">
        <f t="shared" si="0"/>
        <v>-844.04883011190236</v>
      </c>
      <c r="L5" s="130" t="str">
        <f t="shared" si="2"/>
        <v>1"</v>
      </c>
      <c r="M5" s="369">
        <f t="shared" si="3"/>
        <v>25.4</v>
      </c>
      <c r="N5" s="131">
        <f>+'Gran-LLyLP'!G27</f>
        <v>0</v>
      </c>
      <c r="O5" s="131">
        <f>+'Gran-LLyLP'!I27</f>
        <v>0</v>
      </c>
      <c r="P5" s="132">
        <f t="shared" si="4"/>
        <v>-844.04883011190236</v>
      </c>
    </row>
    <row r="6" spans="1:16" x14ac:dyDescent="0.25">
      <c r="A6" s="126"/>
      <c r="B6" s="126"/>
      <c r="C6" s="121" t="s">
        <v>60</v>
      </c>
      <c r="D6" s="122">
        <v>19.05</v>
      </c>
      <c r="E6" s="120">
        <v>0</v>
      </c>
      <c r="F6" s="120">
        <v>100</v>
      </c>
      <c r="G6" s="123">
        <f>+'Gran-LLyLP'!C28</f>
        <v>2413</v>
      </c>
      <c r="H6" s="124">
        <f>+G6/'Gran-LLyLP'!$D$17*100</f>
        <v>490.94608341810783</v>
      </c>
      <c r="I6" s="124">
        <f t="shared" si="1"/>
        <v>1434.9949135300103</v>
      </c>
      <c r="J6" s="124">
        <f t="shared" si="0"/>
        <v>-1334.9949135300103</v>
      </c>
      <c r="L6" s="130" t="str">
        <f t="shared" si="2"/>
        <v>3/4"</v>
      </c>
      <c r="M6" s="369">
        <f t="shared" si="3"/>
        <v>19.05</v>
      </c>
      <c r="N6" s="131">
        <f>+'Gran-LLyLP'!G28</f>
        <v>0</v>
      </c>
      <c r="O6" s="131">
        <f>+'Gran-LLyLP'!I28</f>
        <v>0</v>
      </c>
      <c r="P6" s="132">
        <f t="shared" si="4"/>
        <v>-1334.9949135300103</v>
      </c>
    </row>
    <row r="7" spans="1:16" x14ac:dyDescent="0.25">
      <c r="A7" s="119">
        <f>+D3</f>
        <v>50.6</v>
      </c>
      <c r="B7" s="120">
        <v>0</v>
      </c>
      <c r="C7" s="121" t="s">
        <v>61</v>
      </c>
      <c r="D7" s="122">
        <v>12.7</v>
      </c>
      <c r="E7" s="120">
        <v>0</v>
      </c>
      <c r="F7" s="120">
        <v>100</v>
      </c>
      <c r="G7" s="123">
        <f>+'Gran-LLyLP'!C29</f>
        <v>4064</v>
      </c>
      <c r="H7" s="124">
        <f>+G7/'Gran-LLyLP'!$D$17*100</f>
        <v>826.85656154628691</v>
      </c>
      <c r="I7" s="124">
        <f t="shared" si="1"/>
        <v>2261.851475076297</v>
      </c>
      <c r="J7" s="124">
        <f t="shared" si="0"/>
        <v>-2161.851475076297</v>
      </c>
      <c r="L7" s="130" t="str">
        <f t="shared" si="2"/>
        <v>1/2"</v>
      </c>
      <c r="M7" s="369">
        <f t="shared" si="3"/>
        <v>12.7</v>
      </c>
      <c r="N7" s="131">
        <f>+'Gran-LLyLP'!G30</f>
        <v>30</v>
      </c>
      <c r="O7" s="131">
        <f>+'Gran-LLyLP'!I30</f>
        <v>65</v>
      </c>
      <c r="P7" s="132">
        <f t="shared" si="4"/>
        <v>-2161.851475076297</v>
      </c>
    </row>
    <row r="8" spans="1:16" x14ac:dyDescent="0.25">
      <c r="A8" s="119">
        <f>+A7</f>
        <v>50.6</v>
      </c>
      <c r="B8" s="120">
        <v>100</v>
      </c>
      <c r="C8" s="121" t="s">
        <v>62</v>
      </c>
      <c r="D8" s="122">
        <v>9.5250000000000004</v>
      </c>
      <c r="E8" s="120">
        <v>0</v>
      </c>
      <c r="F8" s="120">
        <v>100</v>
      </c>
      <c r="G8" s="123">
        <f>+'Gran-LLyLP'!C30</f>
        <v>1986</v>
      </c>
      <c r="H8" s="124">
        <f>+G8/'Gran-LLyLP'!$D$17*100</f>
        <v>404.0691759918617</v>
      </c>
      <c r="I8" s="124">
        <f t="shared" si="1"/>
        <v>2665.9206510681588</v>
      </c>
      <c r="J8" s="124">
        <f t="shared" si="0"/>
        <v>-2565.9206510681588</v>
      </c>
      <c r="L8" s="130" t="str">
        <f t="shared" si="2"/>
        <v>3/8"</v>
      </c>
      <c r="M8" s="369">
        <f t="shared" si="3"/>
        <v>9.5250000000000004</v>
      </c>
      <c r="N8" s="131">
        <f>+'Gran-LLyLP'!G32</f>
        <v>25</v>
      </c>
      <c r="O8" s="131">
        <f>+'Gran-LLyLP'!I32</f>
        <v>55</v>
      </c>
      <c r="P8" s="132">
        <f t="shared" si="4"/>
        <v>-2565.9206510681588</v>
      </c>
    </row>
    <row r="9" spans="1:16" x14ac:dyDescent="0.25">
      <c r="A9" s="126"/>
      <c r="B9" s="126"/>
      <c r="C9" s="121" t="s">
        <v>63</v>
      </c>
      <c r="D9" s="122">
        <v>6.35</v>
      </c>
      <c r="E9" s="120">
        <v>0</v>
      </c>
      <c r="F9" s="120">
        <v>100</v>
      </c>
      <c r="I9" s="124">
        <f>+I8</f>
        <v>2665.9206510681588</v>
      </c>
      <c r="J9" s="124">
        <f>+(J8+J10)/2</f>
        <v>-2652.7975584944052</v>
      </c>
      <c r="L9" s="130" t="str">
        <f t="shared" si="2"/>
        <v>1/4"</v>
      </c>
      <c r="M9" s="369">
        <f t="shared" si="3"/>
        <v>6.35</v>
      </c>
      <c r="N9" s="131">
        <f>+'Gran-LLyLP'!G33</f>
        <v>0</v>
      </c>
      <c r="O9" s="131">
        <f>+'Gran-LLyLP'!I33</f>
        <v>0</v>
      </c>
      <c r="P9" s="132">
        <f t="shared" si="4"/>
        <v>-2652.7975584944052</v>
      </c>
    </row>
    <row r="10" spans="1:16" x14ac:dyDescent="0.25">
      <c r="A10" s="119">
        <f>+D4</f>
        <v>38.1</v>
      </c>
      <c r="B10" s="120">
        <v>0</v>
      </c>
      <c r="C10" s="121" t="s">
        <v>64</v>
      </c>
      <c r="D10" s="122">
        <v>4.76</v>
      </c>
      <c r="E10" s="120">
        <v>0</v>
      </c>
      <c r="F10" s="120">
        <v>100</v>
      </c>
      <c r="G10" s="123">
        <f>+'Gran-LLyLP'!C32</f>
        <v>854</v>
      </c>
      <c r="H10" s="124">
        <f>+G10/'Gran-LLyLP'!$D$17*100</f>
        <v>173.75381485249238</v>
      </c>
      <c r="I10" s="124">
        <f t="shared" si="1"/>
        <v>2839.6744659206511</v>
      </c>
      <c r="J10" s="124">
        <f t="shared" si="0"/>
        <v>-2739.6744659206511</v>
      </c>
      <c r="L10" s="130" t="str">
        <f t="shared" si="2"/>
        <v>No4</v>
      </c>
      <c r="M10" s="369">
        <f t="shared" si="3"/>
        <v>4.76</v>
      </c>
      <c r="N10" s="131">
        <f>+'Gran-LLyLP'!G36</f>
        <v>0</v>
      </c>
      <c r="O10" s="131">
        <f>+'Gran-LLyLP'!I36</f>
        <v>0</v>
      </c>
      <c r="P10" s="132">
        <f t="shared" si="4"/>
        <v>-2739.6744659206511</v>
      </c>
    </row>
    <row r="11" spans="1:16" x14ac:dyDescent="0.25">
      <c r="A11" s="119">
        <f>+A10</f>
        <v>38.1</v>
      </c>
      <c r="B11" s="120">
        <v>100</v>
      </c>
      <c r="C11" s="121">
        <v>8</v>
      </c>
      <c r="D11" s="122">
        <v>2.38</v>
      </c>
      <c r="E11" s="120">
        <v>0</v>
      </c>
      <c r="F11" s="120">
        <v>100</v>
      </c>
      <c r="I11" s="124">
        <f>+I10</f>
        <v>2839.6744659206511</v>
      </c>
      <c r="J11" s="124">
        <f>+(J10+J12)/2</f>
        <v>-2752.3906408952189</v>
      </c>
      <c r="L11" s="130">
        <f t="shared" si="2"/>
        <v>8</v>
      </c>
      <c r="M11" s="369">
        <f t="shared" si="3"/>
        <v>2.38</v>
      </c>
      <c r="N11" s="131">
        <f>+'Gran-LLyLP'!G40</f>
        <v>2</v>
      </c>
      <c r="O11" s="131">
        <f>+'Gran-LLyLP'!I40</f>
        <v>8</v>
      </c>
      <c r="P11" s="132">
        <f t="shared" si="4"/>
        <v>-2752.3906408952189</v>
      </c>
    </row>
    <row r="12" spans="1:16" x14ac:dyDescent="0.25">
      <c r="A12" s="126"/>
      <c r="B12" s="126"/>
      <c r="C12" s="121">
        <v>10</v>
      </c>
      <c r="D12" s="122">
        <v>2</v>
      </c>
      <c r="E12" s="120">
        <v>0</v>
      </c>
      <c r="F12" s="120">
        <v>100</v>
      </c>
      <c r="G12" s="123">
        <f>+'Gran-LLyLP'!C33</f>
        <v>125</v>
      </c>
      <c r="H12" s="124">
        <f>+G12/'Gran-LLyLP'!$D$17*100</f>
        <v>25.4323499491353</v>
      </c>
      <c r="I12" s="124">
        <f t="shared" si="1"/>
        <v>2865.1068158697863</v>
      </c>
      <c r="J12" s="124">
        <f t="shared" si="0"/>
        <v>-2765.1068158697863</v>
      </c>
      <c r="L12" s="130">
        <f t="shared" si="2"/>
        <v>10</v>
      </c>
      <c r="M12" s="369">
        <f t="shared" si="3"/>
        <v>2</v>
      </c>
      <c r="N12" s="127"/>
      <c r="O12" s="127"/>
      <c r="P12" s="132">
        <f t="shared" si="4"/>
        <v>-2765.1068158697863</v>
      </c>
    </row>
    <row r="13" spans="1:16" x14ac:dyDescent="0.25">
      <c r="A13" s="119">
        <f>+D5</f>
        <v>25.4</v>
      </c>
      <c r="B13" s="120">
        <v>0</v>
      </c>
      <c r="C13" s="121">
        <v>16</v>
      </c>
      <c r="D13" s="122">
        <v>1.19</v>
      </c>
      <c r="E13" s="120">
        <v>0</v>
      </c>
      <c r="F13" s="120">
        <v>100</v>
      </c>
      <c r="I13" s="124">
        <f>+I12</f>
        <v>2865.1068158697863</v>
      </c>
      <c r="J13" s="124">
        <f>+(J12+J14)/2</f>
        <v>-2766.9989827060017</v>
      </c>
      <c r="L13" s="130">
        <f t="shared" si="2"/>
        <v>16</v>
      </c>
      <c r="M13" s="369">
        <f t="shared" si="3"/>
        <v>1.19</v>
      </c>
      <c r="P13" s="132">
        <f t="shared" si="4"/>
        <v>-2766.9989827060017</v>
      </c>
    </row>
    <row r="14" spans="1:16" x14ac:dyDescent="0.25">
      <c r="A14" s="119">
        <f>+A13</f>
        <v>25.4</v>
      </c>
      <c r="B14" s="120">
        <v>100</v>
      </c>
      <c r="C14" s="121">
        <v>20</v>
      </c>
      <c r="D14" s="122">
        <v>0.84</v>
      </c>
      <c r="E14" s="120">
        <v>0</v>
      </c>
      <c r="F14" s="120">
        <v>100</v>
      </c>
      <c r="G14" s="123">
        <f>+'Gran-LLyLP'!C34</f>
        <v>18.600000000000001</v>
      </c>
      <c r="H14" s="124">
        <f>+G14/'Gran-LLyLP'!$D$17*100</f>
        <v>3.784333672431333</v>
      </c>
      <c r="I14" s="124">
        <f t="shared" si="1"/>
        <v>2868.8911495422176</v>
      </c>
      <c r="J14" s="124">
        <f t="shared" si="0"/>
        <v>-2768.8911495422176</v>
      </c>
      <c r="L14" s="130">
        <f t="shared" si="2"/>
        <v>20</v>
      </c>
      <c r="M14" s="369">
        <f t="shared" si="3"/>
        <v>0.84</v>
      </c>
      <c r="P14" s="132">
        <f t="shared" si="4"/>
        <v>-2768.8911495422176</v>
      </c>
    </row>
    <row r="15" spans="1:16" x14ac:dyDescent="0.25">
      <c r="A15" s="126"/>
      <c r="B15" s="126"/>
      <c r="C15" s="121">
        <v>30</v>
      </c>
      <c r="D15" s="122">
        <v>0.59</v>
      </c>
      <c r="E15" s="120">
        <v>0</v>
      </c>
      <c r="F15" s="120">
        <v>100</v>
      </c>
      <c r="I15" s="124">
        <f>+I14</f>
        <v>2868.8911495422176</v>
      </c>
      <c r="J15" s="124">
        <f>+(J14+J16)/2</f>
        <v>-2778.6571719226858</v>
      </c>
      <c r="L15" s="130">
        <f t="shared" si="2"/>
        <v>30</v>
      </c>
      <c r="M15" s="369">
        <f t="shared" si="3"/>
        <v>0.59</v>
      </c>
      <c r="P15" s="132">
        <f t="shared" si="4"/>
        <v>-2778.6571719226858</v>
      </c>
    </row>
    <row r="16" spans="1:16" x14ac:dyDescent="0.25">
      <c r="A16" s="119">
        <f>+D6</f>
        <v>19.05</v>
      </c>
      <c r="B16" s="120">
        <v>0</v>
      </c>
      <c r="C16" s="121">
        <v>40</v>
      </c>
      <c r="D16" s="122">
        <v>0.42</v>
      </c>
      <c r="E16" s="120">
        <v>0</v>
      </c>
      <c r="F16" s="120">
        <v>100</v>
      </c>
      <c r="G16" s="123">
        <f>+'Gran-LLyLP'!C36</f>
        <v>96</v>
      </c>
      <c r="H16" s="124">
        <f>+G16/'Gran-LLyLP'!$D$17*100</f>
        <v>19.532044760935911</v>
      </c>
      <c r="I16" s="124">
        <f>+H16+I15</f>
        <v>2888.4231943031537</v>
      </c>
      <c r="J16" s="124">
        <f>100-I16</f>
        <v>-2788.4231943031537</v>
      </c>
      <c r="L16" s="130">
        <f t="shared" si="2"/>
        <v>40</v>
      </c>
      <c r="M16" s="369">
        <f t="shared" si="3"/>
        <v>0.42</v>
      </c>
      <c r="P16" s="132">
        <f t="shared" si="4"/>
        <v>-2788.4231943031537</v>
      </c>
    </row>
    <row r="17" spans="1:16" x14ac:dyDescent="0.25">
      <c r="A17" s="119">
        <f>+A16</f>
        <v>19.05</v>
      </c>
      <c r="B17" s="120">
        <v>100</v>
      </c>
      <c r="C17" s="121">
        <v>50</v>
      </c>
      <c r="D17" s="122">
        <v>0.3</v>
      </c>
      <c r="E17" s="120">
        <v>0</v>
      </c>
      <c r="F17" s="120">
        <v>100</v>
      </c>
      <c r="I17" s="124">
        <f>+I16</f>
        <v>2888.4231943031537</v>
      </c>
      <c r="J17" s="124">
        <f>+(J16+J18)/2</f>
        <v>-2790.4170905391657</v>
      </c>
      <c r="L17" s="130">
        <f t="shared" si="2"/>
        <v>50</v>
      </c>
      <c r="M17" s="369">
        <f t="shared" si="3"/>
        <v>0.3</v>
      </c>
      <c r="P17" s="132">
        <f t="shared" si="4"/>
        <v>-2790.4170905391657</v>
      </c>
    </row>
    <row r="18" spans="1:16" x14ac:dyDescent="0.25">
      <c r="A18" s="126"/>
      <c r="B18" s="126"/>
      <c r="C18" s="121">
        <v>60</v>
      </c>
      <c r="D18" s="122">
        <v>0.25</v>
      </c>
      <c r="E18" s="120">
        <v>0</v>
      </c>
      <c r="F18" s="120">
        <v>100</v>
      </c>
      <c r="G18" s="123">
        <f>+'Gran-LLyLP'!C37</f>
        <v>19.600000000000001</v>
      </c>
      <c r="H18" s="124">
        <f>+G18/'Gran-LLyLP'!$D$17*100</f>
        <v>3.9877924720244149</v>
      </c>
      <c r="I18" s="124">
        <f t="shared" si="1"/>
        <v>2892.4109867751781</v>
      </c>
      <c r="J18" s="124">
        <f t="shared" si="0"/>
        <v>-2792.4109867751781</v>
      </c>
      <c r="L18" s="130">
        <f t="shared" si="2"/>
        <v>60</v>
      </c>
      <c r="M18" s="369">
        <f t="shared" si="3"/>
        <v>0.25</v>
      </c>
      <c r="P18" s="132">
        <f t="shared" si="4"/>
        <v>-2792.4109867751781</v>
      </c>
    </row>
    <row r="19" spans="1:16" x14ac:dyDescent="0.25">
      <c r="A19" s="119">
        <f>+D7</f>
        <v>12.7</v>
      </c>
      <c r="B19" s="120">
        <v>0</v>
      </c>
      <c r="C19" s="121">
        <v>80</v>
      </c>
      <c r="D19" s="122">
        <v>0.18</v>
      </c>
      <c r="E19" s="120">
        <v>0</v>
      </c>
      <c r="F19" s="120">
        <v>100</v>
      </c>
      <c r="G19" s="123">
        <f>'Gran-LLyLP'!C38</f>
        <v>23.6</v>
      </c>
      <c r="H19" s="124">
        <f>+G19/'Gran-LLyLP'!$D$17*100</f>
        <v>4.8016276703967451</v>
      </c>
      <c r="I19" s="124">
        <f>+H19+I18</f>
        <v>2897.2126144455747</v>
      </c>
      <c r="J19" s="124">
        <f t="shared" si="0"/>
        <v>-2797.2126144455747</v>
      </c>
      <c r="L19" s="130">
        <f t="shared" si="2"/>
        <v>80</v>
      </c>
      <c r="M19" s="369">
        <f t="shared" si="3"/>
        <v>0.18</v>
      </c>
      <c r="P19" s="132">
        <f t="shared" si="4"/>
        <v>-2797.2126144455747</v>
      </c>
    </row>
    <row r="20" spans="1:16" x14ac:dyDescent="0.25">
      <c r="A20" s="119">
        <f>+A19</f>
        <v>12.7</v>
      </c>
      <c r="B20" s="120">
        <v>100</v>
      </c>
      <c r="C20" s="121">
        <v>100</v>
      </c>
      <c r="D20" s="122">
        <v>0.14899999999999999</v>
      </c>
      <c r="E20" s="120">
        <v>0</v>
      </c>
      <c r="F20" s="120">
        <v>100</v>
      </c>
      <c r="G20" s="123">
        <f>+'Gran-LLyLP'!C39</f>
        <v>25.6</v>
      </c>
      <c r="H20" s="124">
        <f>+G20/'Gran-LLyLP'!$D$17*100</f>
        <v>5.2085452695829098</v>
      </c>
      <c r="I20" s="124">
        <f>+H20+I19</f>
        <v>2902.4211597151575</v>
      </c>
      <c r="J20" s="124">
        <f t="shared" si="0"/>
        <v>-2802.4211597151575</v>
      </c>
      <c r="L20" s="130">
        <f>+C20</f>
        <v>100</v>
      </c>
      <c r="M20" s="369">
        <f t="shared" si="3"/>
        <v>0.14899999999999999</v>
      </c>
      <c r="P20" s="132">
        <f t="shared" si="4"/>
        <v>-2802.4211597151575</v>
      </c>
    </row>
    <row r="21" spans="1:16" x14ac:dyDescent="0.25">
      <c r="A21" s="126"/>
      <c r="B21" s="126"/>
      <c r="C21" s="121">
        <v>200</v>
      </c>
      <c r="D21" s="122">
        <v>7.3999999999999996E-2</v>
      </c>
      <c r="E21" s="120">
        <v>0</v>
      </c>
      <c r="F21" s="120">
        <v>100</v>
      </c>
      <c r="G21" s="123">
        <f>+'Gran-LLyLP'!C40</f>
        <v>31.2</v>
      </c>
      <c r="H21" s="124">
        <f>+G21/'Gran-LLyLP'!$D$17*100</f>
        <v>6.3479145473041703</v>
      </c>
      <c r="I21" s="124">
        <f t="shared" si="1"/>
        <v>2908.7690742624618</v>
      </c>
      <c r="J21" s="124">
        <f t="shared" si="0"/>
        <v>-2808.7690742624618</v>
      </c>
      <c r="L21" s="130">
        <f t="shared" si="2"/>
        <v>200</v>
      </c>
      <c r="M21" s="369">
        <f t="shared" si="3"/>
        <v>7.3999999999999996E-2</v>
      </c>
      <c r="P21" s="132">
        <f t="shared" si="4"/>
        <v>-2808.7690742624618</v>
      </c>
    </row>
    <row r="22" spans="1:16" x14ac:dyDescent="0.25">
      <c r="A22" s="119">
        <f>+D8</f>
        <v>9.5250000000000004</v>
      </c>
      <c r="B22" s="120">
        <v>0</v>
      </c>
      <c r="D22" s="884" t="e">
        <f>+M22</f>
        <v>#REF!</v>
      </c>
      <c r="E22" s="120">
        <v>0</v>
      </c>
      <c r="F22" s="120">
        <v>100</v>
      </c>
      <c r="L22" s="130"/>
      <c r="M22" s="369" t="e">
        <f>#REF!</f>
        <v>#REF!</v>
      </c>
      <c r="P22" s="371" t="e">
        <f>+#REF!</f>
        <v>#REF!</v>
      </c>
    </row>
    <row r="23" spans="1:16" x14ac:dyDescent="0.25">
      <c r="A23" s="119">
        <f>+A22</f>
        <v>9.5250000000000004</v>
      </c>
      <c r="B23" s="120">
        <v>100</v>
      </c>
      <c r="D23" s="884" t="e">
        <f t="shared" ref="D23:D30" si="5">+M23</f>
        <v>#REF!</v>
      </c>
      <c r="E23" s="120">
        <v>0</v>
      </c>
      <c r="F23" s="120">
        <v>100</v>
      </c>
      <c r="L23" s="130"/>
      <c r="M23" s="369" t="e">
        <f>+#REF!</f>
        <v>#REF!</v>
      </c>
      <c r="P23" s="371" t="e">
        <f>+#REF!</f>
        <v>#REF!</v>
      </c>
    </row>
    <row r="24" spans="1:16" x14ac:dyDescent="0.25">
      <c r="A24" s="126"/>
      <c r="B24" s="126"/>
      <c r="D24" s="884" t="e">
        <f t="shared" si="5"/>
        <v>#REF!</v>
      </c>
      <c r="E24" s="120">
        <v>0</v>
      </c>
      <c r="F24" s="120">
        <v>100</v>
      </c>
      <c r="L24" s="130"/>
      <c r="M24" s="369" t="e">
        <f>+#REF!</f>
        <v>#REF!</v>
      </c>
      <c r="P24" s="371" t="e">
        <f>+#REF!</f>
        <v>#REF!</v>
      </c>
    </row>
    <row r="25" spans="1:16" x14ac:dyDescent="0.25">
      <c r="A25" s="119">
        <f>+D9</f>
        <v>6.35</v>
      </c>
      <c r="B25" s="120">
        <v>0</v>
      </c>
      <c r="D25" s="884" t="e">
        <f t="shared" si="5"/>
        <v>#REF!</v>
      </c>
      <c r="E25" s="120">
        <v>0</v>
      </c>
      <c r="F25" s="120">
        <v>100</v>
      </c>
      <c r="L25" s="130"/>
      <c r="M25" s="369" t="e">
        <f>+#REF!</f>
        <v>#REF!</v>
      </c>
      <c r="P25" s="371" t="e">
        <f>+#REF!</f>
        <v>#REF!</v>
      </c>
    </row>
    <row r="26" spans="1:16" x14ac:dyDescent="0.25">
      <c r="A26" s="119">
        <f>+A25</f>
        <v>6.35</v>
      </c>
      <c r="B26" s="120">
        <v>100</v>
      </c>
      <c r="D26" s="884" t="e">
        <f t="shared" si="5"/>
        <v>#REF!</v>
      </c>
      <c r="E26" s="120">
        <v>0</v>
      </c>
      <c r="F26" s="120">
        <v>100</v>
      </c>
      <c r="L26" s="130"/>
      <c r="M26" s="369" t="e">
        <f>+#REF!</f>
        <v>#REF!</v>
      </c>
      <c r="P26" s="371" t="e">
        <f>+#REF!</f>
        <v>#REF!</v>
      </c>
    </row>
    <row r="27" spans="1:16" x14ac:dyDescent="0.25">
      <c r="A27" s="126"/>
      <c r="B27" s="126"/>
      <c r="D27" s="884" t="e">
        <f t="shared" si="5"/>
        <v>#REF!</v>
      </c>
      <c r="E27" s="120">
        <v>0</v>
      </c>
      <c r="F27" s="120">
        <v>100</v>
      </c>
      <c r="L27" s="370"/>
      <c r="M27" s="369" t="e">
        <f>+#REF!</f>
        <v>#REF!</v>
      </c>
      <c r="P27" s="371" t="e">
        <f>+#REF!</f>
        <v>#REF!</v>
      </c>
    </row>
    <row r="28" spans="1:16" x14ac:dyDescent="0.25">
      <c r="A28" s="119">
        <f>+D10</f>
        <v>4.76</v>
      </c>
      <c r="B28" s="120">
        <v>0</v>
      </c>
      <c r="D28" s="884" t="e">
        <f t="shared" si="5"/>
        <v>#REF!</v>
      </c>
      <c r="E28" s="120">
        <v>0</v>
      </c>
      <c r="F28" s="120">
        <v>100</v>
      </c>
      <c r="G28" s="128"/>
      <c r="L28" s="370"/>
      <c r="M28" s="369" t="e">
        <f>+#REF!</f>
        <v>#REF!</v>
      </c>
      <c r="P28" s="371" t="e">
        <f>+#REF!</f>
        <v>#REF!</v>
      </c>
    </row>
    <row r="29" spans="1:16" x14ac:dyDescent="0.25">
      <c r="A29" s="119">
        <f>+A28</f>
        <v>4.76</v>
      </c>
      <c r="B29" s="120">
        <v>100</v>
      </c>
      <c r="D29" s="884" t="e">
        <f t="shared" si="5"/>
        <v>#REF!</v>
      </c>
      <c r="E29" s="120">
        <v>0</v>
      </c>
      <c r="F29" s="120">
        <v>100</v>
      </c>
      <c r="L29" s="370"/>
      <c r="M29" s="369" t="e">
        <f>+#REF!</f>
        <v>#REF!</v>
      </c>
      <c r="P29" s="371" t="e">
        <f>+#REF!</f>
        <v>#REF!</v>
      </c>
    </row>
    <row r="30" spans="1:16" x14ac:dyDescent="0.25">
      <c r="A30" s="126"/>
      <c r="B30" s="126"/>
      <c r="D30" s="885" t="e">
        <f t="shared" si="5"/>
        <v>#REF!</v>
      </c>
      <c r="E30" s="120">
        <v>0</v>
      </c>
      <c r="F30" s="120">
        <v>100</v>
      </c>
      <c r="L30" s="370"/>
      <c r="M30" s="369" t="e">
        <f>+#REF!</f>
        <v>#REF!</v>
      </c>
      <c r="P30" s="371" t="e">
        <f>+#REF!</f>
        <v>#REF!</v>
      </c>
    </row>
    <row r="31" spans="1:16" x14ac:dyDescent="0.25">
      <c r="A31" s="119">
        <f>+D11</f>
        <v>2.38</v>
      </c>
      <c r="B31" s="129">
        <v>0</v>
      </c>
      <c r="M31" s="368"/>
    </row>
    <row r="32" spans="1:16" x14ac:dyDescent="0.25">
      <c r="A32" s="119">
        <f>+A31</f>
        <v>2.38</v>
      </c>
      <c r="B32" s="129">
        <v>100</v>
      </c>
      <c r="M32" s="368"/>
    </row>
    <row r="33" spans="1:13" x14ac:dyDescent="0.25">
      <c r="A33" s="126"/>
      <c r="B33" s="126"/>
      <c r="M33" s="368"/>
    </row>
    <row r="34" spans="1:13" x14ac:dyDescent="0.25">
      <c r="A34" s="119">
        <f>+D12</f>
        <v>2</v>
      </c>
      <c r="B34" s="129">
        <v>0</v>
      </c>
      <c r="M34" s="368"/>
    </row>
    <row r="35" spans="1:13" x14ac:dyDescent="0.25">
      <c r="A35" s="119">
        <f>+A34</f>
        <v>2</v>
      </c>
      <c r="B35" s="129">
        <v>100</v>
      </c>
      <c r="M35" s="368"/>
    </row>
    <row r="36" spans="1:13" x14ac:dyDescent="0.25">
      <c r="A36" s="126"/>
      <c r="B36" s="126"/>
      <c r="M36" s="368"/>
    </row>
    <row r="37" spans="1:13" x14ac:dyDescent="0.25">
      <c r="A37" s="119">
        <f>+D13</f>
        <v>1.19</v>
      </c>
      <c r="B37" s="129">
        <v>0</v>
      </c>
      <c r="M37" s="368"/>
    </row>
    <row r="38" spans="1:13" x14ac:dyDescent="0.25">
      <c r="A38" s="119">
        <f>+A37</f>
        <v>1.19</v>
      </c>
      <c r="B38" s="129">
        <v>100</v>
      </c>
      <c r="M38" s="368"/>
    </row>
    <row r="39" spans="1:13" x14ac:dyDescent="0.25">
      <c r="A39" s="126"/>
      <c r="B39" s="126"/>
      <c r="M39" s="368"/>
    </row>
    <row r="40" spans="1:13" x14ac:dyDescent="0.25">
      <c r="A40" s="119">
        <f>+D14</f>
        <v>0.84</v>
      </c>
      <c r="B40" s="129">
        <v>0</v>
      </c>
      <c r="M40" s="368"/>
    </row>
    <row r="41" spans="1:13" x14ac:dyDescent="0.25">
      <c r="A41" s="119">
        <f>+A40</f>
        <v>0.84</v>
      </c>
      <c r="B41" s="129">
        <v>100</v>
      </c>
    </row>
    <row r="42" spans="1:13" x14ac:dyDescent="0.25">
      <c r="A42" s="126"/>
      <c r="B42" s="126"/>
    </row>
    <row r="43" spans="1:13" x14ac:dyDescent="0.25">
      <c r="A43" s="119">
        <f>+D15</f>
        <v>0.59</v>
      </c>
      <c r="B43" s="129">
        <v>0</v>
      </c>
    </row>
    <row r="44" spans="1:13" x14ac:dyDescent="0.25">
      <c r="A44" s="119">
        <f>+A43</f>
        <v>0.59</v>
      </c>
      <c r="B44" s="129">
        <v>100</v>
      </c>
    </row>
    <row r="45" spans="1:13" x14ac:dyDescent="0.25">
      <c r="A45" s="126"/>
      <c r="B45" s="126"/>
    </row>
    <row r="46" spans="1:13" x14ac:dyDescent="0.25">
      <c r="A46" s="119">
        <f>+D16</f>
        <v>0.42</v>
      </c>
      <c r="B46" s="129">
        <v>0</v>
      </c>
    </row>
    <row r="47" spans="1:13" x14ac:dyDescent="0.25">
      <c r="A47" s="119">
        <f>+A46</f>
        <v>0.42</v>
      </c>
      <c r="B47" s="129">
        <v>100</v>
      </c>
    </row>
    <row r="48" spans="1:13" x14ac:dyDescent="0.25">
      <c r="A48" s="126"/>
      <c r="B48" s="126"/>
    </row>
    <row r="49" spans="1:10" x14ac:dyDescent="0.25">
      <c r="A49" s="119">
        <f>+D17</f>
        <v>0.3</v>
      </c>
      <c r="B49" s="120">
        <v>0</v>
      </c>
    </row>
    <row r="50" spans="1:10" x14ac:dyDescent="0.25">
      <c r="A50" s="119">
        <f>+A49</f>
        <v>0.3</v>
      </c>
      <c r="B50" s="120">
        <v>100</v>
      </c>
    </row>
    <row r="51" spans="1:10" x14ac:dyDescent="0.25">
      <c r="A51" s="126"/>
      <c r="B51" s="126"/>
    </row>
    <row r="52" spans="1:10" x14ac:dyDescent="0.25">
      <c r="A52" s="119">
        <f>+D18</f>
        <v>0.25</v>
      </c>
      <c r="B52" s="129">
        <v>0</v>
      </c>
    </row>
    <row r="53" spans="1:10" x14ac:dyDescent="0.25">
      <c r="A53" s="119">
        <f>+A52</f>
        <v>0.25</v>
      </c>
      <c r="B53" s="129">
        <v>100</v>
      </c>
    </row>
    <row r="54" spans="1:10" x14ac:dyDescent="0.25">
      <c r="A54" s="126"/>
      <c r="B54" s="126"/>
    </row>
    <row r="55" spans="1:10" x14ac:dyDescent="0.25">
      <c r="A55" s="119">
        <f>+D19</f>
        <v>0.18</v>
      </c>
      <c r="B55" s="129">
        <v>0</v>
      </c>
    </row>
    <row r="56" spans="1:10" x14ac:dyDescent="0.25">
      <c r="A56" s="119">
        <f>+A55</f>
        <v>0.18</v>
      </c>
      <c r="B56" s="129">
        <v>100</v>
      </c>
    </row>
    <row r="57" spans="1:10" x14ac:dyDescent="0.25">
      <c r="A57" s="126"/>
      <c r="B57" s="126"/>
    </row>
    <row r="58" spans="1:10" x14ac:dyDescent="0.25">
      <c r="A58" s="119">
        <f>+D20</f>
        <v>0.14899999999999999</v>
      </c>
      <c r="B58" s="129">
        <v>0</v>
      </c>
    </row>
    <row r="59" spans="1:10" x14ac:dyDescent="0.25">
      <c r="A59" s="119">
        <f>+A58</f>
        <v>0.14899999999999999</v>
      </c>
      <c r="B59" s="129">
        <v>100</v>
      </c>
    </row>
    <row r="60" spans="1:10" x14ac:dyDescent="0.25">
      <c r="A60" s="126"/>
      <c r="B60" s="126"/>
    </row>
    <row r="61" spans="1:10" x14ac:dyDescent="0.25">
      <c r="A61" s="119">
        <f>+D21</f>
        <v>7.3999999999999996E-2</v>
      </c>
      <c r="B61" s="129">
        <v>0</v>
      </c>
    </row>
    <row r="62" spans="1:10" x14ac:dyDescent="0.25">
      <c r="A62" s="119">
        <f>+A61</f>
        <v>7.3999999999999996E-2</v>
      </c>
      <c r="B62" s="129">
        <v>100</v>
      </c>
    </row>
    <row r="64" spans="1:10" s="372" customFormat="1" ht="10.199999999999999" x14ac:dyDescent="0.25">
      <c r="A64" s="886" t="e">
        <f>+M22</f>
        <v>#REF!</v>
      </c>
      <c r="B64" s="129">
        <v>0</v>
      </c>
      <c r="C64" s="250"/>
      <c r="D64" s="250"/>
      <c r="E64" s="250"/>
      <c r="F64" s="250"/>
      <c r="G64" s="250"/>
      <c r="H64" s="887"/>
      <c r="I64" s="887"/>
      <c r="J64" s="887"/>
    </row>
    <row r="65" spans="1:10" s="372" customFormat="1" ht="10.199999999999999" x14ac:dyDescent="0.25">
      <c r="A65" s="886" t="e">
        <f>+A64</f>
        <v>#REF!</v>
      </c>
      <c r="B65" s="129">
        <v>100</v>
      </c>
      <c r="C65" s="250"/>
      <c r="D65" s="250"/>
      <c r="E65" s="250"/>
      <c r="F65" s="250"/>
      <c r="G65" s="250"/>
      <c r="H65" s="887"/>
      <c r="I65" s="887"/>
      <c r="J65" s="887"/>
    </row>
    <row r="66" spans="1:10" s="372" customFormat="1" ht="10.199999999999999" x14ac:dyDescent="0.25">
      <c r="A66" s="250"/>
      <c r="B66" s="250"/>
      <c r="C66" s="250"/>
      <c r="D66" s="250"/>
      <c r="E66" s="250"/>
      <c r="F66" s="250"/>
      <c r="G66" s="250"/>
      <c r="H66" s="887"/>
      <c r="I66" s="887"/>
      <c r="J66" s="887"/>
    </row>
    <row r="67" spans="1:10" s="372" customFormat="1" ht="10.199999999999999" x14ac:dyDescent="0.25">
      <c r="A67" s="886" t="e">
        <f>+M23</f>
        <v>#REF!</v>
      </c>
      <c r="B67" s="129">
        <v>0</v>
      </c>
      <c r="C67" s="250"/>
      <c r="D67" s="250"/>
      <c r="E67" s="250"/>
      <c r="F67" s="250"/>
      <c r="G67" s="250"/>
      <c r="H67" s="887"/>
      <c r="I67" s="887"/>
      <c r="J67" s="887"/>
    </row>
    <row r="68" spans="1:10" s="372" customFormat="1" ht="10.199999999999999" x14ac:dyDescent="0.25">
      <c r="A68" s="886" t="e">
        <f>+A67</f>
        <v>#REF!</v>
      </c>
      <c r="B68" s="129">
        <v>100</v>
      </c>
      <c r="C68" s="250"/>
      <c r="D68" s="250"/>
      <c r="E68" s="250"/>
      <c r="F68" s="250"/>
      <c r="G68" s="250"/>
      <c r="H68" s="887"/>
      <c r="I68" s="887"/>
      <c r="J68" s="887"/>
    </row>
    <row r="69" spans="1:10" s="372" customFormat="1" ht="10.199999999999999" x14ac:dyDescent="0.25">
      <c r="A69" s="250"/>
      <c r="B69" s="250"/>
      <c r="C69" s="250"/>
      <c r="D69" s="250"/>
      <c r="E69" s="250"/>
      <c r="F69" s="250"/>
      <c r="G69" s="250"/>
      <c r="H69" s="887"/>
      <c r="I69" s="887"/>
      <c r="J69" s="887"/>
    </row>
    <row r="70" spans="1:10" s="372" customFormat="1" ht="10.199999999999999" x14ac:dyDescent="0.25">
      <c r="A70" s="886" t="e">
        <f>+M24</f>
        <v>#REF!</v>
      </c>
      <c r="B70" s="129">
        <v>0</v>
      </c>
      <c r="C70" s="250"/>
      <c r="D70" s="250"/>
      <c r="E70" s="250"/>
      <c r="F70" s="250"/>
      <c r="G70" s="250"/>
      <c r="H70" s="887"/>
      <c r="I70" s="887"/>
      <c r="J70" s="887"/>
    </row>
    <row r="71" spans="1:10" s="372" customFormat="1" ht="10.199999999999999" x14ac:dyDescent="0.25">
      <c r="A71" s="886" t="e">
        <f>+A70</f>
        <v>#REF!</v>
      </c>
      <c r="B71" s="129">
        <v>100</v>
      </c>
      <c r="C71" s="250"/>
      <c r="D71" s="250"/>
      <c r="E71" s="250"/>
      <c r="F71" s="250"/>
      <c r="G71" s="250"/>
      <c r="H71" s="887"/>
      <c r="I71" s="887"/>
      <c r="J71" s="887"/>
    </row>
    <row r="72" spans="1:10" s="372" customFormat="1" ht="10.199999999999999" x14ac:dyDescent="0.25">
      <c r="A72" s="250"/>
      <c r="B72" s="250"/>
      <c r="C72" s="250"/>
      <c r="D72" s="250"/>
      <c r="E72" s="250"/>
      <c r="F72" s="250"/>
      <c r="G72" s="250"/>
      <c r="H72" s="887"/>
      <c r="I72" s="887"/>
      <c r="J72" s="887"/>
    </row>
    <row r="73" spans="1:10" s="372" customFormat="1" ht="10.199999999999999" x14ac:dyDescent="0.25">
      <c r="A73" s="886" t="e">
        <f>+M25</f>
        <v>#REF!</v>
      </c>
      <c r="B73" s="129">
        <v>0</v>
      </c>
      <c r="C73" s="250"/>
      <c r="D73" s="250"/>
      <c r="E73" s="250"/>
      <c r="F73" s="250"/>
      <c r="G73" s="250"/>
      <c r="H73" s="887"/>
      <c r="I73" s="887"/>
      <c r="J73" s="887"/>
    </row>
    <row r="74" spans="1:10" s="372" customFormat="1" ht="10.199999999999999" x14ac:dyDescent="0.25">
      <c r="A74" s="886" t="e">
        <f>+A73</f>
        <v>#REF!</v>
      </c>
      <c r="B74" s="129">
        <v>100</v>
      </c>
      <c r="C74" s="250"/>
      <c r="D74" s="250"/>
      <c r="E74" s="250"/>
      <c r="F74" s="250"/>
      <c r="G74" s="250"/>
      <c r="H74" s="887"/>
      <c r="I74" s="887"/>
      <c r="J74" s="887"/>
    </row>
    <row r="75" spans="1:10" s="372" customFormat="1" ht="10.199999999999999" x14ac:dyDescent="0.25">
      <c r="A75" s="250"/>
      <c r="B75" s="250"/>
      <c r="C75" s="250"/>
      <c r="D75" s="250"/>
      <c r="E75" s="250"/>
      <c r="F75" s="250"/>
      <c r="G75" s="250"/>
      <c r="H75" s="887"/>
      <c r="I75" s="887"/>
      <c r="J75" s="887"/>
    </row>
    <row r="76" spans="1:10" s="372" customFormat="1" ht="10.199999999999999" x14ac:dyDescent="0.25">
      <c r="A76" s="886" t="e">
        <f>+'Apoyo 2'!M26</f>
        <v>#REF!</v>
      </c>
      <c r="B76" s="129">
        <v>0</v>
      </c>
      <c r="C76" s="250"/>
      <c r="D76" s="250"/>
      <c r="E76" s="250"/>
      <c r="F76" s="250"/>
      <c r="G76" s="250"/>
      <c r="H76" s="887"/>
      <c r="I76" s="887"/>
      <c r="J76" s="887"/>
    </row>
    <row r="77" spans="1:10" s="372" customFormat="1" ht="10.199999999999999" x14ac:dyDescent="0.25">
      <c r="A77" s="886" t="e">
        <f>+A76</f>
        <v>#REF!</v>
      </c>
      <c r="B77" s="129">
        <v>100</v>
      </c>
      <c r="C77" s="250"/>
      <c r="D77" s="250"/>
      <c r="E77" s="250"/>
      <c r="F77" s="250"/>
      <c r="G77" s="250"/>
      <c r="H77" s="887"/>
      <c r="I77" s="887"/>
      <c r="J77" s="887"/>
    </row>
    <row r="78" spans="1:10" s="372" customFormat="1" ht="10.199999999999999" x14ac:dyDescent="0.25">
      <c r="A78" s="250"/>
      <c r="B78" s="250"/>
      <c r="C78" s="250"/>
      <c r="D78" s="250"/>
      <c r="E78" s="250"/>
      <c r="F78" s="250"/>
      <c r="G78" s="250"/>
      <c r="H78" s="887"/>
      <c r="I78" s="887"/>
      <c r="J78" s="887"/>
    </row>
    <row r="79" spans="1:10" s="372" customFormat="1" ht="10.199999999999999" x14ac:dyDescent="0.25">
      <c r="A79" s="886" t="e">
        <f>+M27</f>
        <v>#REF!</v>
      </c>
      <c r="B79" s="129">
        <v>0</v>
      </c>
      <c r="C79" s="250"/>
      <c r="D79" s="250"/>
      <c r="E79" s="250"/>
      <c r="F79" s="250"/>
      <c r="G79" s="250"/>
      <c r="H79" s="887"/>
      <c r="I79" s="887"/>
      <c r="J79" s="887"/>
    </row>
    <row r="80" spans="1:10" s="372" customFormat="1" ht="10.199999999999999" x14ac:dyDescent="0.25">
      <c r="A80" s="886" t="e">
        <f>+A79</f>
        <v>#REF!</v>
      </c>
      <c r="B80" s="129">
        <v>100</v>
      </c>
      <c r="C80" s="250"/>
      <c r="D80" s="250"/>
      <c r="E80" s="250"/>
      <c r="F80" s="250"/>
      <c r="G80" s="250"/>
      <c r="H80" s="887"/>
      <c r="I80" s="887"/>
      <c r="J80" s="887"/>
    </row>
    <row r="81" spans="1:10" s="372" customFormat="1" ht="10.199999999999999" x14ac:dyDescent="0.25">
      <c r="A81" s="250"/>
      <c r="B81" s="250"/>
      <c r="C81" s="250"/>
      <c r="D81" s="250"/>
      <c r="E81" s="250"/>
      <c r="F81" s="250"/>
      <c r="G81" s="250"/>
      <c r="H81" s="887"/>
      <c r="I81" s="887"/>
      <c r="J81" s="887"/>
    </row>
    <row r="82" spans="1:10" s="372" customFormat="1" ht="10.199999999999999" x14ac:dyDescent="0.25">
      <c r="A82" s="886" t="e">
        <f>+M28</f>
        <v>#REF!</v>
      </c>
      <c r="B82" s="129">
        <v>0</v>
      </c>
      <c r="C82" s="250"/>
      <c r="D82" s="250"/>
      <c r="E82" s="250"/>
      <c r="F82" s="250"/>
      <c r="G82" s="250"/>
      <c r="H82" s="887"/>
      <c r="I82" s="887"/>
      <c r="J82" s="887"/>
    </row>
    <row r="83" spans="1:10" s="372" customFormat="1" ht="10.199999999999999" x14ac:dyDescent="0.25">
      <c r="A83" s="886" t="e">
        <f>+A82</f>
        <v>#REF!</v>
      </c>
      <c r="B83" s="129">
        <v>100</v>
      </c>
      <c r="C83" s="250"/>
      <c r="D83" s="250"/>
      <c r="E83" s="250"/>
      <c r="F83" s="250"/>
      <c r="G83" s="250"/>
      <c r="H83" s="887"/>
      <c r="I83" s="887"/>
      <c r="J83" s="887"/>
    </row>
    <row r="84" spans="1:10" s="372" customFormat="1" ht="10.199999999999999" x14ac:dyDescent="0.25">
      <c r="A84" s="250"/>
      <c r="B84" s="250"/>
      <c r="C84" s="250"/>
      <c r="D84" s="250"/>
      <c r="E84" s="250"/>
      <c r="F84" s="250"/>
      <c r="G84" s="250"/>
      <c r="H84" s="887"/>
      <c r="I84" s="887"/>
      <c r="J84" s="887"/>
    </row>
    <row r="85" spans="1:10" s="372" customFormat="1" ht="10.199999999999999" x14ac:dyDescent="0.25">
      <c r="A85" s="886" t="e">
        <f>+M29</f>
        <v>#REF!</v>
      </c>
      <c r="B85" s="129">
        <v>0</v>
      </c>
      <c r="C85" s="250"/>
      <c r="D85" s="250"/>
      <c r="E85" s="250"/>
      <c r="F85" s="250"/>
      <c r="G85" s="250"/>
      <c r="H85" s="887"/>
      <c r="I85" s="887"/>
      <c r="J85" s="887"/>
    </row>
    <row r="86" spans="1:10" s="372" customFormat="1" ht="10.199999999999999" x14ac:dyDescent="0.25">
      <c r="A86" s="886" t="e">
        <f>+A85</f>
        <v>#REF!</v>
      </c>
      <c r="B86" s="129">
        <v>100</v>
      </c>
      <c r="C86" s="250"/>
      <c r="D86" s="250"/>
      <c r="E86" s="250"/>
      <c r="F86" s="250"/>
      <c r="G86" s="250"/>
      <c r="H86" s="887"/>
      <c r="I86" s="887"/>
      <c r="J86" s="887"/>
    </row>
    <row r="87" spans="1:10" s="372" customFormat="1" ht="10.199999999999999" x14ac:dyDescent="0.25">
      <c r="A87" s="250"/>
      <c r="B87" s="250"/>
      <c r="C87" s="250"/>
      <c r="D87" s="250"/>
      <c r="E87" s="250"/>
      <c r="F87" s="250"/>
      <c r="G87" s="250"/>
      <c r="H87" s="887"/>
      <c r="I87" s="887"/>
      <c r="J87" s="887"/>
    </row>
    <row r="88" spans="1:10" s="372" customFormat="1" ht="10.199999999999999" x14ac:dyDescent="0.25">
      <c r="A88" s="886" t="e">
        <f>+M30</f>
        <v>#REF!</v>
      </c>
      <c r="B88" s="129">
        <v>0</v>
      </c>
      <c r="C88" s="250"/>
      <c r="D88" s="250"/>
      <c r="E88" s="250"/>
      <c r="F88" s="250"/>
      <c r="G88" s="250"/>
      <c r="H88" s="887"/>
      <c r="I88" s="887"/>
      <c r="J88" s="887"/>
    </row>
    <row r="89" spans="1:10" s="372" customFormat="1" ht="10.199999999999999" x14ac:dyDescent="0.25">
      <c r="A89" s="886" t="e">
        <f>+A88</f>
        <v>#REF!</v>
      </c>
      <c r="B89" s="129">
        <v>100</v>
      </c>
      <c r="C89" s="250"/>
      <c r="D89" s="250"/>
      <c r="E89" s="250"/>
      <c r="F89" s="250"/>
      <c r="G89" s="250"/>
      <c r="H89" s="887"/>
      <c r="I89" s="887"/>
      <c r="J89" s="887"/>
    </row>
    <row r="90" spans="1:10" s="372" customFormat="1" ht="10.199999999999999" x14ac:dyDescent="0.25">
      <c r="A90" s="250"/>
      <c r="B90" s="250"/>
      <c r="C90" s="250"/>
      <c r="D90" s="250"/>
      <c r="E90" s="250"/>
      <c r="F90" s="250"/>
      <c r="G90" s="250"/>
      <c r="H90" s="887"/>
      <c r="I90" s="887"/>
      <c r="J90" s="887"/>
    </row>
    <row r="91" spans="1:10" s="372" customFormat="1" ht="10.199999999999999" x14ac:dyDescent="0.25">
      <c r="A91" s="250"/>
      <c r="B91" s="250"/>
      <c r="C91" s="250"/>
      <c r="D91" s="250"/>
      <c r="E91" s="250"/>
      <c r="F91" s="250"/>
      <c r="G91" s="250"/>
      <c r="H91" s="887"/>
      <c r="I91" s="887"/>
      <c r="J91" s="887"/>
    </row>
    <row r="92" spans="1:10" s="372" customFormat="1" ht="10.199999999999999" x14ac:dyDescent="0.25">
      <c r="A92" s="250"/>
      <c r="B92" s="250"/>
      <c r="C92" s="250"/>
      <c r="D92" s="250"/>
      <c r="E92" s="250"/>
      <c r="F92" s="250"/>
      <c r="G92" s="250"/>
      <c r="H92" s="887"/>
      <c r="I92" s="887"/>
      <c r="J92" s="887"/>
    </row>
    <row r="93" spans="1:10" s="372" customFormat="1" ht="10.199999999999999" x14ac:dyDescent="0.25">
      <c r="A93" s="250"/>
      <c r="B93" s="250"/>
      <c r="C93" s="250"/>
      <c r="D93" s="250"/>
      <c r="E93" s="250"/>
      <c r="F93" s="250"/>
      <c r="G93" s="250"/>
      <c r="H93" s="887"/>
      <c r="I93" s="887"/>
      <c r="J93" s="887"/>
    </row>
    <row r="94" spans="1:10" s="372" customFormat="1" ht="10.199999999999999" x14ac:dyDescent="0.25">
      <c r="A94" s="250"/>
      <c r="B94" s="250"/>
      <c r="C94" s="250"/>
      <c r="D94" s="250"/>
      <c r="E94" s="250"/>
      <c r="F94" s="250"/>
      <c r="G94" s="250"/>
      <c r="H94" s="887"/>
      <c r="I94" s="887"/>
      <c r="J94" s="887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F55E-EA5D-4F89-8BFA-28C7ADEC718D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33203125" defaultRowHeight="13.2" x14ac:dyDescent="0.25"/>
  <cols>
    <col min="1" max="3" width="6.6640625" customWidth="1"/>
    <col min="4" max="15" width="9.33203125" customWidth="1"/>
    <col min="16" max="23" width="9.33203125" style="382" customWidth="1"/>
  </cols>
  <sheetData>
    <row r="1" spans="1:23" s="380" customFormat="1" ht="11.4" customHeight="1" thickTop="1" x14ac:dyDescent="0.2">
      <c r="A1" s="1161" t="s">
        <v>418</v>
      </c>
      <c r="B1" s="1162"/>
      <c r="C1" s="1162"/>
      <c r="D1" s="1163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406"/>
      <c r="Q1" s="406"/>
      <c r="R1" s="406"/>
      <c r="S1" s="406"/>
      <c r="T1" s="406"/>
      <c r="U1" s="406"/>
      <c r="V1" s="406"/>
      <c r="W1" s="406"/>
    </row>
    <row r="2" spans="1:23" s="380" customFormat="1" ht="11.4" customHeight="1" x14ac:dyDescent="0.2">
      <c r="A2" s="1164"/>
      <c r="B2" s="1004"/>
      <c r="C2" s="1004"/>
      <c r="D2" s="1165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406"/>
      <c r="Q2" s="406"/>
      <c r="R2" s="406"/>
      <c r="S2" s="406"/>
      <c r="T2" s="406"/>
      <c r="U2" s="406"/>
      <c r="V2" s="406"/>
      <c r="W2" s="406"/>
    </row>
    <row r="3" spans="1:23" s="380" customFormat="1" ht="11.4" customHeight="1" x14ac:dyDescent="0.2">
      <c r="A3" s="1164"/>
      <c r="B3" s="1004"/>
      <c r="C3" s="1004"/>
      <c r="D3" s="1165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406"/>
      <c r="Q3" s="406"/>
      <c r="R3" s="406"/>
      <c r="S3" s="406"/>
      <c r="T3" s="406"/>
      <c r="U3" s="406"/>
      <c r="V3" s="406"/>
      <c r="W3" s="406"/>
    </row>
    <row r="4" spans="1:23" s="380" customFormat="1" ht="11.4" customHeight="1" thickBot="1" x14ac:dyDescent="0.25">
      <c r="A4" s="1166"/>
      <c r="B4" s="1167"/>
      <c r="C4" s="1167"/>
      <c r="D4" s="116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406"/>
      <c r="Q4" s="406"/>
      <c r="R4" s="406"/>
      <c r="S4" s="406"/>
      <c r="T4" s="406"/>
      <c r="U4" s="406"/>
      <c r="V4" s="406"/>
      <c r="W4" s="406"/>
    </row>
    <row r="5" spans="1:23" s="380" customFormat="1" ht="11.4" customHeight="1" thickTop="1" x14ac:dyDescent="0.3">
      <c r="A5" s="1173"/>
      <c r="B5" s="1173"/>
      <c r="C5" s="1173"/>
      <c r="D5" s="1173"/>
      <c r="E5" s="1173"/>
      <c r="F5" s="1173"/>
      <c r="G5" s="1173"/>
      <c r="H5" s="1173"/>
      <c r="I5" s="1173"/>
      <c r="J5" s="1173"/>
      <c r="K5" s="1173"/>
      <c r="L5" s="1173"/>
      <c r="M5" s="1173"/>
      <c r="N5" s="1173"/>
      <c r="O5" s="1173"/>
      <c r="P5" s="387"/>
      <c r="Q5" s="387"/>
      <c r="R5" s="406"/>
      <c r="S5" s="406"/>
      <c r="T5" s="406"/>
      <c r="U5" s="406"/>
      <c r="V5" s="406"/>
      <c r="W5" s="406"/>
    </row>
    <row r="6" spans="1:23" s="380" customFormat="1" ht="18.600000000000001" customHeight="1" x14ac:dyDescent="0.2">
      <c r="A6" s="1175" t="s">
        <v>419</v>
      </c>
      <c r="B6" s="1176"/>
      <c r="C6" s="1176"/>
      <c r="D6" s="1176"/>
      <c r="E6" s="1176"/>
      <c r="F6" s="1176"/>
      <c r="G6" s="1176"/>
      <c r="H6" s="1176"/>
      <c r="I6" s="1176"/>
      <c r="J6" s="1176"/>
      <c r="K6" s="1176"/>
      <c r="L6" s="1176"/>
      <c r="M6" s="1176"/>
      <c r="N6" s="1176"/>
      <c r="O6" s="1176"/>
      <c r="P6" s="406"/>
      <c r="Q6" s="406"/>
      <c r="R6" s="406"/>
      <c r="S6" s="406"/>
      <c r="T6" s="406"/>
      <c r="U6" s="406"/>
      <c r="V6" s="406"/>
      <c r="W6" s="406"/>
    </row>
    <row r="7" spans="1:23" s="380" customFormat="1" ht="3.6" customHeight="1" thickBot="1" x14ac:dyDescent="0.3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406"/>
      <c r="Q7" s="406"/>
      <c r="R7" s="406"/>
      <c r="S7" s="406"/>
      <c r="T7" s="406"/>
      <c r="U7" s="406"/>
      <c r="V7" s="406"/>
      <c r="W7" s="406"/>
    </row>
    <row r="8" spans="1:23" s="380" customFormat="1" ht="13.5" customHeight="1" thickTop="1" x14ac:dyDescent="0.3">
      <c r="A8" s="390"/>
      <c r="B8" s="390"/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406"/>
      <c r="Q8" s="406"/>
      <c r="R8" s="406"/>
      <c r="S8" s="406"/>
      <c r="T8" s="406"/>
      <c r="U8" s="406"/>
      <c r="V8" s="406"/>
      <c r="W8" s="406"/>
    </row>
    <row r="9" spans="1:23" ht="13.8" x14ac:dyDescent="0.25">
      <c r="A9" s="365" t="s">
        <v>420</v>
      </c>
      <c r="B9" s="144"/>
      <c r="C9" s="145" t="s">
        <v>38</v>
      </c>
      <c r="D9" s="366" t="str">
        <f>Datos!D9</f>
        <v>Tunel de Puruchuco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</row>
    <row r="10" spans="1:23" s="381" customFormat="1" ht="13.8" x14ac:dyDescent="0.3">
      <c r="A10" s="365" t="s">
        <v>421</v>
      </c>
      <c r="B10" s="350"/>
      <c r="C10" s="145" t="s">
        <v>38</v>
      </c>
      <c r="D10" s="366" t="str">
        <f>Datos!D10</f>
        <v>Av. Javier Prado S/N Alt. Huaca de Puruchuco</v>
      </c>
      <c r="E10" s="351"/>
      <c r="F10" s="351"/>
      <c r="G10" s="351"/>
      <c r="H10" s="349"/>
      <c r="I10" s="351"/>
      <c r="J10" s="349"/>
      <c r="K10" s="391"/>
      <c r="L10" s="392"/>
      <c r="M10" s="349"/>
      <c r="N10" s="351"/>
      <c r="O10" s="351"/>
      <c r="P10" s="407"/>
      <c r="Q10" s="407"/>
      <c r="R10" s="407"/>
      <c r="S10" s="407"/>
      <c r="T10" s="407"/>
      <c r="U10" s="407"/>
      <c r="V10" s="407"/>
      <c r="W10" s="407"/>
    </row>
    <row r="11" spans="1:23" s="381" customFormat="1" ht="13.8" x14ac:dyDescent="0.3">
      <c r="A11" s="365" t="s">
        <v>422</v>
      </c>
      <c r="B11" s="350"/>
      <c r="C11" s="145" t="s">
        <v>38</v>
      </c>
      <c r="D11" s="366" t="str">
        <f>Datos!D11</f>
        <v>Cantera Dorita</v>
      </c>
      <c r="E11" s="351"/>
      <c r="F11" s="351"/>
      <c r="G11" s="351"/>
      <c r="H11" s="349"/>
      <c r="I11" s="351"/>
      <c r="J11" s="349"/>
      <c r="K11" s="391"/>
      <c r="L11" s="392"/>
      <c r="M11" s="393"/>
      <c r="N11" s="351"/>
      <c r="O11" s="351"/>
      <c r="P11" s="407"/>
      <c r="Q11" s="407"/>
      <c r="R11" s="407"/>
      <c r="S11" s="407"/>
      <c r="T11" s="407"/>
      <c r="U11" s="407"/>
      <c r="V11" s="407"/>
      <c r="W11" s="407"/>
    </row>
    <row r="12" spans="1:23" s="381" customFormat="1" ht="13.8" x14ac:dyDescent="0.3">
      <c r="A12" s="349" t="s">
        <v>17</v>
      </c>
      <c r="B12" s="350"/>
      <c r="C12" s="145" t="s">
        <v>38</v>
      </c>
      <c r="D12" s="1177" t="e">
        <f>Datos!#REF!</f>
        <v>#REF!</v>
      </c>
      <c r="E12" s="1177"/>
      <c r="F12" s="351"/>
      <c r="G12" s="351"/>
      <c r="H12" s="349"/>
      <c r="I12" s="351"/>
      <c r="J12" s="349"/>
      <c r="K12" s="391"/>
      <c r="L12" s="392"/>
      <c r="M12" s="1174"/>
      <c r="N12" s="1174"/>
      <c r="O12" s="351"/>
      <c r="P12" s="407"/>
      <c r="Q12" s="407"/>
      <c r="R12" s="407"/>
      <c r="S12" s="407"/>
      <c r="T12" s="407"/>
      <c r="U12" s="407"/>
      <c r="V12" s="407"/>
      <c r="W12" s="407"/>
    </row>
    <row r="13" spans="1:23" s="381" customFormat="1" ht="13.8" x14ac:dyDescent="0.3">
      <c r="A13" s="349"/>
      <c r="B13" s="351"/>
      <c r="C13" s="351"/>
      <c r="D13" s="351"/>
      <c r="E13" s="351"/>
      <c r="F13" s="351"/>
      <c r="G13" s="351"/>
      <c r="H13" s="349"/>
      <c r="I13" s="351"/>
      <c r="J13" s="349"/>
      <c r="K13" s="351"/>
      <c r="L13" s="351"/>
      <c r="M13" s="351"/>
      <c r="N13" s="351"/>
      <c r="O13" s="351"/>
      <c r="P13" s="407"/>
      <c r="Q13" s="407"/>
      <c r="R13" s="407"/>
      <c r="S13" s="407"/>
      <c r="T13" s="407"/>
      <c r="U13" s="407"/>
      <c r="V13" s="407"/>
      <c r="W13" s="407"/>
    </row>
    <row r="14" spans="1:23" s="381" customFormat="1" ht="13.8" x14ac:dyDescent="0.3">
      <c r="A14" s="349" t="s">
        <v>423</v>
      </c>
      <c r="B14" s="351"/>
      <c r="C14" s="351"/>
      <c r="D14" s="349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407"/>
      <c r="Q14" s="407"/>
      <c r="R14" s="407"/>
      <c r="S14" s="407"/>
      <c r="T14" s="407"/>
      <c r="U14" s="407"/>
      <c r="V14" s="407"/>
      <c r="W14" s="407"/>
    </row>
    <row r="15" spans="1:23" s="381" customFormat="1" ht="13.8" x14ac:dyDescent="0.3">
      <c r="A15" s="1171" t="s">
        <v>424</v>
      </c>
      <c r="B15" s="1171" t="s">
        <v>425</v>
      </c>
      <c r="C15" s="1169" t="s">
        <v>426</v>
      </c>
      <c r="D15" s="1169" t="s">
        <v>427</v>
      </c>
      <c r="E15" s="1169" t="s">
        <v>428</v>
      </c>
      <c r="F15" s="1169" t="s">
        <v>429</v>
      </c>
      <c r="G15" s="1169" t="s">
        <v>430</v>
      </c>
      <c r="H15" s="1169" t="s">
        <v>265</v>
      </c>
      <c r="I15" s="1169" t="s">
        <v>431</v>
      </c>
      <c r="J15" s="394" t="s">
        <v>432</v>
      </c>
      <c r="K15" s="1169" t="s">
        <v>433</v>
      </c>
      <c r="L15" s="1169" t="s">
        <v>434</v>
      </c>
      <c r="M15" s="1169" t="s">
        <v>435</v>
      </c>
      <c r="N15" s="1172" t="s">
        <v>436</v>
      </c>
      <c r="O15" s="1172" t="s">
        <v>437</v>
      </c>
      <c r="P15" s="1180" t="s">
        <v>438</v>
      </c>
      <c r="Q15" s="1178" t="s">
        <v>439</v>
      </c>
      <c r="R15" s="1178" t="s">
        <v>440</v>
      </c>
      <c r="S15" s="1178" t="s">
        <v>441</v>
      </c>
      <c r="T15" s="1178" t="s">
        <v>442</v>
      </c>
      <c r="U15" s="1178" t="s">
        <v>443</v>
      </c>
      <c r="V15" s="1178" t="s">
        <v>444</v>
      </c>
      <c r="W15" s="1182" t="s">
        <v>445</v>
      </c>
    </row>
    <row r="16" spans="1:23" s="381" customFormat="1" ht="13.8" x14ac:dyDescent="0.3">
      <c r="A16" s="1171"/>
      <c r="B16" s="1171"/>
      <c r="C16" s="1169"/>
      <c r="D16" s="1169"/>
      <c r="E16" s="1169"/>
      <c r="F16" s="1169"/>
      <c r="G16" s="1169"/>
      <c r="H16" s="1169"/>
      <c r="I16" s="1169"/>
      <c r="J16" s="395" t="s">
        <v>446</v>
      </c>
      <c r="K16" s="1169"/>
      <c r="L16" s="1169"/>
      <c r="M16" s="1169"/>
      <c r="N16" s="1172"/>
      <c r="O16" s="1172"/>
      <c r="P16" s="1181"/>
      <c r="Q16" s="1179"/>
      <c r="R16" s="1179"/>
      <c r="S16" s="1179"/>
      <c r="T16" s="1179"/>
      <c r="U16" s="1179"/>
      <c r="V16" s="1179"/>
      <c r="W16" s="1183"/>
    </row>
    <row r="17" spans="1:23" s="383" customFormat="1" ht="13.8" x14ac:dyDescent="0.3">
      <c r="A17" s="396">
        <v>1</v>
      </c>
      <c r="B17" s="400">
        <v>24</v>
      </c>
      <c r="C17" s="400">
        <v>17.5</v>
      </c>
      <c r="D17" s="401">
        <v>0.5</v>
      </c>
      <c r="E17" s="402">
        <v>1.0199</v>
      </c>
      <c r="F17" s="397">
        <f t="shared" ref="F17:F25" si="0">+E17-D17+C17</f>
        <v>18.0199</v>
      </c>
      <c r="G17" s="398">
        <f t="shared" ref="G17:G25" si="1">+F17*$D$31/$D$28*100</f>
        <v>17.978936359371932</v>
      </c>
      <c r="H17" s="399">
        <f t="shared" ref="H17:H25" si="2">+$D$29/100</f>
        <v>0.27800000000000014</v>
      </c>
      <c r="I17" s="398">
        <f t="shared" ref="I17:I25" si="3">+H17*G17</f>
        <v>4.9981443079053998</v>
      </c>
      <c r="J17" s="398">
        <v>7.8E-2</v>
      </c>
      <c r="K17" s="398">
        <f t="shared" ref="K17:K25" si="4">+(253.85-F17)/461.54</f>
        <v>0.51096351345495505</v>
      </c>
      <c r="L17" s="397">
        <f t="shared" ref="L17:L25" si="5">+($D$31-T17)*(W17-V17)/(U17-T17)+V17</f>
        <v>0.99683526846276038</v>
      </c>
      <c r="M17" s="397">
        <f t="shared" ref="M17:M25" si="6">+(B17-P17)*(S17-R17)/(Q17-P17)+R17</f>
        <v>0.94761999999999991</v>
      </c>
      <c r="N17" s="397">
        <f t="shared" ref="N17:N25" si="7">+M17*L17*K17*J17</f>
        <v>3.7648016952033334E-2</v>
      </c>
      <c r="O17" s="399">
        <f>+$D$30-I17</f>
        <v>1.8556920946002364E-3</v>
      </c>
      <c r="P17" s="409">
        <v>23.9</v>
      </c>
      <c r="Q17" s="410">
        <v>24.4</v>
      </c>
      <c r="R17" s="410">
        <v>0.94889999999999997</v>
      </c>
      <c r="S17" s="410">
        <v>0.9425</v>
      </c>
      <c r="T17" s="411">
        <v>0.99329999999999996</v>
      </c>
      <c r="U17" s="411">
        <v>0.9889</v>
      </c>
      <c r="V17" s="412">
        <v>0.99099999999999999</v>
      </c>
      <c r="W17" s="413">
        <v>0.98519999999999996</v>
      </c>
    </row>
    <row r="18" spans="1:23" s="383" customFormat="1" ht="13.8" x14ac:dyDescent="0.3">
      <c r="A18" s="396">
        <v>2</v>
      </c>
      <c r="B18" s="400">
        <v>24</v>
      </c>
      <c r="C18" s="400">
        <v>16.5</v>
      </c>
      <c r="D18" s="401">
        <v>0.5</v>
      </c>
      <c r="E18" s="402">
        <v>1.0199</v>
      </c>
      <c r="F18" s="397">
        <f t="shared" si="0"/>
        <v>17.0199</v>
      </c>
      <c r="G18" s="398">
        <f t="shared" si="1"/>
        <v>16.98120960398639</v>
      </c>
      <c r="H18" s="399">
        <f t="shared" si="2"/>
        <v>0.27800000000000014</v>
      </c>
      <c r="I18" s="398">
        <f t="shared" si="3"/>
        <v>4.7207762699082183</v>
      </c>
      <c r="J18" s="398">
        <v>5.5E-2</v>
      </c>
      <c r="K18" s="398">
        <f t="shared" si="4"/>
        <v>0.51313017289942364</v>
      </c>
      <c r="L18" s="397">
        <f t="shared" si="5"/>
        <v>0.99683526846276038</v>
      </c>
      <c r="M18" s="397">
        <f t="shared" si="6"/>
        <v>0.94761999999999991</v>
      </c>
      <c r="N18" s="397">
        <f t="shared" si="7"/>
        <v>2.6659245585054787E-2</v>
      </c>
      <c r="O18" s="399">
        <f t="shared" ref="O18:O25" si="8">+I17-I18</f>
        <v>0.27736803799718146</v>
      </c>
      <c r="P18" s="414">
        <v>23.9</v>
      </c>
      <c r="Q18" s="415">
        <v>24.4</v>
      </c>
      <c r="R18" s="415">
        <v>0.94889999999999997</v>
      </c>
      <c r="S18" s="415">
        <v>0.9425</v>
      </c>
      <c r="T18" s="416">
        <f t="shared" ref="T18:W25" si="9">+T17</f>
        <v>0.99329999999999996</v>
      </c>
      <c r="U18" s="416">
        <f t="shared" si="9"/>
        <v>0.9889</v>
      </c>
      <c r="V18" s="416">
        <f t="shared" si="9"/>
        <v>0.99099999999999999</v>
      </c>
      <c r="W18" s="417">
        <f t="shared" si="9"/>
        <v>0.98519999999999996</v>
      </c>
    </row>
    <row r="19" spans="1:23" s="383" customFormat="1" ht="13.8" x14ac:dyDescent="0.3">
      <c r="A19" s="396">
        <v>5</v>
      </c>
      <c r="B19" s="400">
        <v>24</v>
      </c>
      <c r="C19" s="400">
        <v>14.5</v>
      </c>
      <c r="D19" s="401">
        <v>0.5</v>
      </c>
      <c r="E19" s="402">
        <v>1.0199</v>
      </c>
      <c r="F19" s="397">
        <f t="shared" si="0"/>
        <v>15.0199</v>
      </c>
      <c r="G19" s="398">
        <f t="shared" si="1"/>
        <v>14.985756093215304</v>
      </c>
      <c r="H19" s="399">
        <f t="shared" si="2"/>
        <v>0.27800000000000014</v>
      </c>
      <c r="I19" s="398">
        <f t="shared" si="3"/>
        <v>4.1660401939138563</v>
      </c>
      <c r="J19" s="398">
        <v>3.5000000000000003E-2</v>
      </c>
      <c r="K19" s="398">
        <f t="shared" si="4"/>
        <v>0.51746349178836071</v>
      </c>
      <c r="L19" s="397">
        <f t="shared" si="5"/>
        <v>0.99683526846276038</v>
      </c>
      <c r="M19" s="397">
        <f t="shared" si="6"/>
        <v>0.94783333333333331</v>
      </c>
      <c r="N19" s="397">
        <f t="shared" si="7"/>
        <v>1.7112093009365517E-2</v>
      </c>
      <c r="O19" s="399">
        <f t="shared" si="8"/>
        <v>0.55473607599436203</v>
      </c>
      <c r="P19" s="414">
        <v>23.3</v>
      </c>
      <c r="Q19" s="415">
        <v>23.9</v>
      </c>
      <c r="R19" s="415">
        <v>0.95530000000000004</v>
      </c>
      <c r="S19" s="415">
        <v>0.94889999999999997</v>
      </c>
      <c r="T19" s="416">
        <f t="shared" si="9"/>
        <v>0.99329999999999996</v>
      </c>
      <c r="U19" s="416">
        <f t="shared" si="9"/>
        <v>0.9889</v>
      </c>
      <c r="V19" s="416">
        <f t="shared" si="9"/>
        <v>0.99099999999999999</v>
      </c>
      <c r="W19" s="417">
        <f t="shared" si="9"/>
        <v>0.98519999999999996</v>
      </c>
    </row>
    <row r="20" spans="1:23" s="383" customFormat="1" ht="13.8" x14ac:dyDescent="0.3">
      <c r="A20" s="396">
        <v>10</v>
      </c>
      <c r="B20" s="400">
        <v>24</v>
      </c>
      <c r="C20" s="400">
        <v>13</v>
      </c>
      <c r="D20" s="401">
        <v>0.5</v>
      </c>
      <c r="E20" s="402">
        <v>1.0199</v>
      </c>
      <c r="F20" s="397">
        <f t="shared" si="0"/>
        <v>13.5199</v>
      </c>
      <c r="G20" s="398">
        <f t="shared" si="1"/>
        <v>13.489165960136992</v>
      </c>
      <c r="H20" s="399">
        <f t="shared" si="2"/>
        <v>0.27800000000000014</v>
      </c>
      <c r="I20" s="398">
        <f t="shared" si="3"/>
        <v>3.7499881369180854</v>
      </c>
      <c r="J20" s="367">
        <f>(J19+J21)/2</f>
        <v>2.7500000000000004E-2</v>
      </c>
      <c r="K20" s="398">
        <f t="shared" si="4"/>
        <v>0.52071348095506342</v>
      </c>
      <c r="L20" s="397">
        <f t="shared" si="5"/>
        <v>0.99683526846276038</v>
      </c>
      <c r="M20" s="397">
        <f t="shared" si="6"/>
        <v>0.94783333333333331</v>
      </c>
      <c r="N20" s="397">
        <f t="shared" si="7"/>
        <v>1.3529660165965941E-2</v>
      </c>
      <c r="O20" s="399">
        <f t="shared" si="8"/>
        <v>0.41605205699577086</v>
      </c>
      <c r="P20" s="414">
        <v>23.3</v>
      </c>
      <c r="Q20" s="415">
        <v>23.9</v>
      </c>
      <c r="R20" s="415">
        <v>0.95530000000000004</v>
      </c>
      <c r="S20" s="415">
        <v>0.94889999999999997</v>
      </c>
      <c r="T20" s="416">
        <f t="shared" si="9"/>
        <v>0.99329999999999996</v>
      </c>
      <c r="U20" s="416">
        <f t="shared" si="9"/>
        <v>0.9889</v>
      </c>
      <c r="V20" s="416">
        <f t="shared" si="9"/>
        <v>0.99099999999999999</v>
      </c>
      <c r="W20" s="417">
        <f t="shared" si="9"/>
        <v>0.98519999999999996</v>
      </c>
    </row>
    <row r="21" spans="1:23" s="383" customFormat="1" ht="13.8" x14ac:dyDescent="0.3">
      <c r="A21" s="396">
        <v>15</v>
      </c>
      <c r="B21" s="400">
        <v>24</v>
      </c>
      <c r="C21" s="400">
        <v>13</v>
      </c>
      <c r="D21" s="401">
        <v>0.5</v>
      </c>
      <c r="E21" s="402">
        <v>1.0199</v>
      </c>
      <c r="F21" s="397">
        <f t="shared" si="0"/>
        <v>13.5199</v>
      </c>
      <c r="G21" s="398">
        <f t="shared" si="1"/>
        <v>13.489165960136992</v>
      </c>
      <c r="H21" s="399">
        <f t="shared" si="2"/>
        <v>0.27800000000000014</v>
      </c>
      <c r="I21" s="398">
        <f t="shared" si="3"/>
        <v>3.7499881369180854</v>
      </c>
      <c r="J21" s="398">
        <v>0.02</v>
      </c>
      <c r="K21" s="398">
        <f t="shared" si="4"/>
        <v>0.52071348095506342</v>
      </c>
      <c r="L21" s="397">
        <f t="shared" si="5"/>
        <v>0.99683526846276038</v>
      </c>
      <c r="M21" s="397">
        <f t="shared" si="6"/>
        <v>0.9464800000000001</v>
      </c>
      <c r="N21" s="397">
        <f t="shared" si="7"/>
        <v>9.8257034734147309E-3</v>
      </c>
      <c r="O21" s="399">
        <f t="shared" si="8"/>
        <v>0</v>
      </c>
      <c r="P21" s="414">
        <v>22.8</v>
      </c>
      <c r="Q21" s="415">
        <v>23.3</v>
      </c>
      <c r="R21" s="415">
        <v>0.96160000000000001</v>
      </c>
      <c r="S21" s="415">
        <v>0.95530000000000004</v>
      </c>
      <c r="T21" s="416">
        <f t="shared" si="9"/>
        <v>0.99329999999999996</v>
      </c>
      <c r="U21" s="416">
        <f t="shared" si="9"/>
        <v>0.9889</v>
      </c>
      <c r="V21" s="416">
        <f t="shared" si="9"/>
        <v>0.99099999999999999</v>
      </c>
      <c r="W21" s="417">
        <f t="shared" si="9"/>
        <v>0.98519999999999996</v>
      </c>
    </row>
    <row r="22" spans="1:23" s="383" customFormat="1" ht="13.8" x14ac:dyDescent="0.3">
      <c r="A22" s="396">
        <v>30</v>
      </c>
      <c r="B22" s="400">
        <v>24.5</v>
      </c>
      <c r="C22" s="400">
        <v>12</v>
      </c>
      <c r="D22" s="401">
        <v>0.5</v>
      </c>
      <c r="E22" s="402">
        <v>1.1398999999999999</v>
      </c>
      <c r="F22" s="397">
        <f t="shared" si="0"/>
        <v>12.639900000000001</v>
      </c>
      <c r="G22" s="398">
        <f t="shared" si="1"/>
        <v>12.611166415397715</v>
      </c>
      <c r="H22" s="399">
        <f t="shared" si="2"/>
        <v>0.27800000000000014</v>
      </c>
      <c r="I22" s="398">
        <f t="shared" si="3"/>
        <v>3.5059042634805664</v>
      </c>
      <c r="J22" s="398">
        <v>1.4E-2</v>
      </c>
      <c r="K22" s="398">
        <f t="shared" si="4"/>
        <v>0.52262014126619571</v>
      </c>
      <c r="L22" s="397">
        <f t="shared" si="5"/>
        <v>0.99683526846276038</v>
      </c>
      <c r="M22" s="397">
        <f t="shared" si="6"/>
        <v>0.94018000000000013</v>
      </c>
      <c r="N22" s="397">
        <f t="shared" si="7"/>
        <v>6.8572278797082789E-3</v>
      </c>
      <c r="O22" s="399">
        <f t="shared" si="8"/>
        <v>0.24408387343751903</v>
      </c>
      <c r="P22" s="414">
        <v>22.8</v>
      </c>
      <c r="Q22" s="415">
        <v>23.3</v>
      </c>
      <c r="R22" s="415">
        <v>0.96160000000000001</v>
      </c>
      <c r="S22" s="415">
        <v>0.95530000000000004</v>
      </c>
      <c r="T22" s="416">
        <f t="shared" si="9"/>
        <v>0.99329999999999996</v>
      </c>
      <c r="U22" s="416">
        <f t="shared" si="9"/>
        <v>0.9889</v>
      </c>
      <c r="V22" s="416">
        <f t="shared" si="9"/>
        <v>0.99099999999999999</v>
      </c>
      <c r="W22" s="417">
        <f t="shared" si="9"/>
        <v>0.98519999999999996</v>
      </c>
    </row>
    <row r="23" spans="1:23" s="383" customFormat="1" ht="13.8" x14ac:dyDescent="0.3">
      <c r="A23" s="396">
        <v>60</v>
      </c>
      <c r="B23" s="400">
        <v>24.5</v>
      </c>
      <c r="C23" s="400">
        <v>11.5</v>
      </c>
      <c r="D23" s="401">
        <v>0.5</v>
      </c>
      <c r="E23" s="402">
        <v>1.1398999999999999</v>
      </c>
      <c r="F23" s="397">
        <f t="shared" si="0"/>
        <v>12.139900000000001</v>
      </c>
      <c r="G23" s="398">
        <f t="shared" si="1"/>
        <v>12.112303037704946</v>
      </c>
      <c r="H23" s="399">
        <f t="shared" si="2"/>
        <v>0.27800000000000014</v>
      </c>
      <c r="I23" s="398">
        <f t="shared" si="3"/>
        <v>3.3672202444819765</v>
      </c>
      <c r="J23" s="398">
        <v>0.01</v>
      </c>
      <c r="K23" s="398">
        <f t="shared" si="4"/>
        <v>0.52370347098842995</v>
      </c>
      <c r="L23" s="397">
        <f t="shared" si="5"/>
        <v>0.99683526846276038</v>
      </c>
      <c r="M23" s="397">
        <f t="shared" si="6"/>
        <v>0.9393800000000001</v>
      </c>
      <c r="N23" s="397">
        <f t="shared" si="7"/>
        <v>4.9039965611591269E-3</v>
      </c>
      <c r="O23" s="399">
        <f t="shared" si="8"/>
        <v>0.13868401899858984</v>
      </c>
      <c r="P23" s="414">
        <v>21.7</v>
      </c>
      <c r="Q23" s="415">
        <v>22.2</v>
      </c>
      <c r="R23" s="415">
        <v>0.97409999999999997</v>
      </c>
      <c r="S23" s="415">
        <v>0.96789999999999998</v>
      </c>
      <c r="T23" s="416">
        <f t="shared" si="9"/>
        <v>0.99329999999999996</v>
      </c>
      <c r="U23" s="416">
        <f t="shared" si="9"/>
        <v>0.9889</v>
      </c>
      <c r="V23" s="416">
        <f t="shared" si="9"/>
        <v>0.99099999999999999</v>
      </c>
      <c r="W23" s="417">
        <f t="shared" si="9"/>
        <v>0.98519999999999996</v>
      </c>
    </row>
    <row r="24" spans="1:23" s="383" customFormat="1" ht="13.8" x14ac:dyDescent="0.3">
      <c r="A24" s="396">
        <v>240</v>
      </c>
      <c r="B24" s="400">
        <v>24</v>
      </c>
      <c r="C24" s="400">
        <v>9.5</v>
      </c>
      <c r="D24" s="401">
        <v>0.5</v>
      </c>
      <c r="E24" s="402">
        <v>1.0199</v>
      </c>
      <c r="F24" s="397">
        <f t="shared" si="0"/>
        <v>10.0199</v>
      </c>
      <c r="G24" s="398">
        <f t="shared" si="1"/>
        <v>9.9971223162875944</v>
      </c>
      <c r="H24" s="399">
        <f t="shared" si="2"/>
        <v>0.27800000000000014</v>
      </c>
      <c r="I24" s="398">
        <f>+H24*G24</f>
        <v>2.7792000039279525</v>
      </c>
      <c r="J24" s="398">
        <v>5.0000000000000001E-3</v>
      </c>
      <c r="K24" s="398">
        <f t="shared" si="4"/>
        <v>0.5282967890107032</v>
      </c>
      <c r="L24" s="397">
        <f t="shared" si="5"/>
        <v>0.99683526846276038</v>
      </c>
      <c r="M24" s="397">
        <f t="shared" si="6"/>
        <v>0.94558000000000009</v>
      </c>
      <c r="N24" s="397">
        <f t="shared" si="7"/>
        <v>2.4898297299719356E-3</v>
      </c>
      <c r="O24" s="399">
        <f t="shared" si="8"/>
        <v>0.58802024055402402</v>
      </c>
      <c r="P24" s="414">
        <v>21.7</v>
      </c>
      <c r="Q24" s="415">
        <v>22.2</v>
      </c>
      <c r="R24" s="415">
        <v>0.97409999999999997</v>
      </c>
      <c r="S24" s="415">
        <v>0.96789999999999998</v>
      </c>
      <c r="T24" s="416">
        <f t="shared" si="9"/>
        <v>0.99329999999999996</v>
      </c>
      <c r="U24" s="416">
        <f t="shared" si="9"/>
        <v>0.9889</v>
      </c>
      <c r="V24" s="416">
        <f t="shared" si="9"/>
        <v>0.99099999999999999</v>
      </c>
      <c r="W24" s="417">
        <f t="shared" si="9"/>
        <v>0.98519999999999996</v>
      </c>
    </row>
    <row r="25" spans="1:23" s="383" customFormat="1" ht="13.8" x14ac:dyDescent="0.3">
      <c r="A25" s="396">
        <v>1440</v>
      </c>
      <c r="B25" s="400">
        <v>24</v>
      </c>
      <c r="C25" s="400">
        <v>8</v>
      </c>
      <c r="D25" s="401">
        <v>0.5</v>
      </c>
      <c r="E25" s="402">
        <v>1.0199</v>
      </c>
      <c r="F25" s="397">
        <f t="shared" si="0"/>
        <v>8.5198999999999998</v>
      </c>
      <c r="G25" s="398">
        <f t="shared" si="1"/>
        <v>8.5005321832092804</v>
      </c>
      <c r="H25" s="399">
        <f t="shared" si="2"/>
        <v>0.27800000000000014</v>
      </c>
      <c r="I25" s="398">
        <f t="shared" si="3"/>
        <v>2.3631479469321812</v>
      </c>
      <c r="J25" s="398">
        <v>2E-3</v>
      </c>
      <c r="K25" s="398">
        <f t="shared" si="4"/>
        <v>0.53154677817740603</v>
      </c>
      <c r="L25" s="397">
        <f t="shared" si="5"/>
        <v>0.99683526846276038</v>
      </c>
      <c r="M25" s="397">
        <f t="shared" si="6"/>
        <v>0.9443399999999994</v>
      </c>
      <c r="N25" s="397">
        <f t="shared" si="7"/>
        <v>1.0007446261248011E-3</v>
      </c>
      <c r="O25" s="399">
        <f t="shared" si="8"/>
        <v>0.4160520569957713</v>
      </c>
      <c r="P25" s="414">
        <v>20.6</v>
      </c>
      <c r="Q25" s="415">
        <v>21.1</v>
      </c>
      <c r="R25" s="415">
        <v>0.98650000000000004</v>
      </c>
      <c r="S25" s="415">
        <v>0.98029999999999995</v>
      </c>
      <c r="T25" s="416">
        <f t="shared" si="9"/>
        <v>0.99329999999999996</v>
      </c>
      <c r="U25" s="416">
        <f t="shared" si="9"/>
        <v>0.9889</v>
      </c>
      <c r="V25" s="416">
        <f t="shared" si="9"/>
        <v>0.99099999999999999</v>
      </c>
      <c r="W25" s="417">
        <f t="shared" si="9"/>
        <v>0.98519999999999996</v>
      </c>
    </row>
    <row r="26" spans="1:23" s="381" customFormat="1" ht="13.8" x14ac:dyDescent="0.3">
      <c r="A26" s="351"/>
      <c r="B26" s="352"/>
      <c r="C26" s="353"/>
      <c r="D26" s="354"/>
      <c r="E26" s="355"/>
      <c r="F26" s="355"/>
      <c r="G26" s="356"/>
      <c r="H26" s="357"/>
      <c r="I26" s="356"/>
      <c r="J26" s="358"/>
      <c r="K26" s="356"/>
      <c r="L26" s="356"/>
      <c r="M26" s="355"/>
      <c r="N26" s="355"/>
      <c r="O26" s="359"/>
      <c r="P26" s="418"/>
      <c r="Q26" s="419"/>
      <c r="R26" s="419"/>
      <c r="S26" s="419"/>
      <c r="T26" s="420"/>
      <c r="U26" s="420"/>
      <c r="V26" s="420"/>
      <c r="W26" s="421"/>
    </row>
    <row r="27" spans="1:23" s="384" customFormat="1" ht="12" x14ac:dyDescent="0.25">
      <c r="A27" s="360" t="s">
        <v>447</v>
      </c>
      <c r="B27" s="361"/>
      <c r="C27" s="146"/>
      <c r="D27" s="347" t="s">
        <v>448</v>
      </c>
      <c r="E27" s="146"/>
      <c r="F27" s="360" t="s">
        <v>449</v>
      </c>
      <c r="G27" s="361"/>
      <c r="H27" s="361"/>
      <c r="I27" s="385">
        <v>2.66</v>
      </c>
      <c r="J27" s="346" t="s">
        <v>450</v>
      </c>
      <c r="K27" s="146"/>
      <c r="L27" s="146"/>
      <c r="M27" s="146"/>
      <c r="N27" s="146"/>
      <c r="O27" s="361"/>
      <c r="P27" s="408"/>
      <c r="Q27" s="408"/>
      <c r="R27" s="408"/>
      <c r="S27" s="408"/>
      <c r="T27" s="408"/>
      <c r="U27" s="408"/>
      <c r="V27" s="408"/>
      <c r="W27" s="408"/>
    </row>
    <row r="28" spans="1:23" s="384" customFormat="1" ht="12.6" x14ac:dyDescent="0.25">
      <c r="A28" s="360" t="s">
        <v>451</v>
      </c>
      <c r="B28" s="361"/>
      <c r="C28" s="146"/>
      <c r="D28" s="348">
        <v>100</v>
      </c>
      <c r="E28" s="146"/>
      <c r="F28" s="360" t="s">
        <v>452</v>
      </c>
      <c r="G28" s="361"/>
      <c r="H28" s="361"/>
      <c r="I28" s="405" t="str">
        <f>+'Gran-LLyLP'!G43</f>
        <v>NP</v>
      </c>
      <c r="J28" s="146"/>
      <c r="K28" s="360" t="s">
        <v>453</v>
      </c>
      <c r="L28" s="361"/>
      <c r="M28" s="361"/>
      <c r="N28" s="403">
        <f>+D30-I23</f>
        <v>1.6327797555180235</v>
      </c>
      <c r="O28" s="360" t="s">
        <v>193</v>
      </c>
      <c r="P28" s="408"/>
      <c r="Q28" s="408"/>
      <c r="R28" s="408"/>
      <c r="S28" s="408"/>
      <c r="T28" s="408"/>
      <c r="U28" s="408"/>
      <c r="V28" s="408"/>
      <c r="W28" s="408"/>
    </row>
    <row r="29" spans="1:23" s="384" customFormat="1" ht="12.6" x14ac:dyDescent="0.25">
      <c r="A29" s="360" t="s">
        <v>454</v>
      </c>
      <c r="B29" s="361"/>
      <c r="C29" s="146"/>
      <c r="D29" s="363">
        <f>+'Gran-LLyLP'!F33</f>
        <v>27.800000000000011</v>
      </c>
      <c r="E29" s="146"/>
      <c r="F29" s="360" t="s">
        <v>455</v>
      </c>
      <c r="G29" s="361"/>
      <c r="H29" s="361"/>
      <c r="I29" s="405">
        <f>+'Gran-LLyLP'!O28</f>
        <v>0</v>
      </c>
      <c r="J29" s="146"/>
      <c r="K29" s="360" t="s">
        <v>456</v>
      </c>
      <c r="L29" s="361"/>
      <c r="M29" s="361"/>
      <c r="N29" s="403">
        <f>+I23-I25</f>
        <v>1.0040722975497953</v>
      </c>
      <c r="O29" s="360" t="s">
        <v>193</v>
      </c>
      <c r="P29" s="408"/>
      <c r="Q29" s="408"/>
      <c r="R29" s="408"/>
      <c r="S29" s="408"/>
      <c r="T29" s="408"/>
      <c r="U29" s="408"/>
      <c r="V29" s="408"/>
      <c r="W29" s="408"/>
    </row>
    <row r="30" spans="1:23" s="381" customFormat="1" ht="13.8" x14ac:dyDescent="0.3">
      <c r="A30" s="360" t="s">
        <v>457</v>
      </c>
      <c r="B30" s="361"/>
      <c r="C30" s="146"/>
      <c r="D30" s="363">
        <f>+'Gran-LLyLP'!F40</f>
        <v>5</v>
      </c>
      <c r="E30" s="349"/>
      <c r="F30" s="360" t="s">
        <v>458</v>
      </c>
      <c r="G30" s="361"/>
      <c r="H30" s="361"/>
      <c r="I30" s="405" t="str">
        <f>+'Gran-LLyLP'!G44</f>
        <v>NP</v>
      </c>
      <c r="J30" s="391"/>
      <c r="K30" s="360" t="s">
        <v>459</v>
      </c>
      <c r="L30" s="361"/>
      <c r="M30" s="361"/>
      <c r="N30" s="404">
        <f>+I25</f>
        <v>2.3631479469321812</v>
      </c>
      <c r="O30" s="360" t="s">
        <v>193</v>
      </c>
      <c r="P30" s="407"/>
      <c r="Q30" s="407"/>
      <c r="R30" s="407"/>
      <c r="S30" s="407"/>
      <c r="T30" s="407"/>
      <c r="U30" s="407"/>
      <c r="V30" s="407"/>
      <c r="W30" s="407"/>
    </row>
    <row r="31" spans="1:23" s="381" customFormat="1" ht="13.8" x14ac:dyDescent="0.3">
      <c r="A31" s="360" t="s">
        <v>460</v>
      </c>
      <c r="B31" s="361"/>
      <c r="C31" s="146"/>
      <c r="D31" s="364">
        <f>0.622641509*I27/(I27-1)</f>
        <v>0.99772675538554223</v>
      </c>
      <c r="E31" s="351"/>
      <c r="F31" s="360" t="s">
        <v>461</v>
      </c>
      <c r="G31" s="361"/>
      <c r="H31" s="361"/>
      <c r="I31" s="362" t="str">
        <f>+'Gran-LLyLP'!D43</f>
        <v>GW-GM</v>
      </c>
      <c r="J31" s="391"/>
      <c r="K31" s="391"/>
      <c r="L31" s="391"/>
      <c r="M31" s="391"/>
      <c r="N31" s="391"/>
      <c r="O31" s="351"/>
      <c r="P31" s="407"/>
      <c r="Q31" s="407"/>
      <c r="R31" s="407"/>
      <c r="S31" s="407"/>
      <c r="T31" s="407"/>
      <c r="U31" s="407"/>
      <c r="V31" s="407"/>
      <c r="W31" s="407"/>
    </row>
    <row r="32" spans="1:23" x14ac:dyDescent="0.25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</row>
    <row r="33" spans="1:15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</row>
    <row r="34" spans="1:15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</row>
    <row r="35" spans="1:15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</row>
    <row r="36" spans="1:15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15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</row>
    <row r="38" spans="1:15" x14ac:dyDescent="0.25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</row>
    <row r="39" spans="1:15" x14ac:dyDescent="0.25">
      <c r="A39" s="144"/>
      <c r="B39" s="144"/>
      <c r="C39" s="144"/>
      <c r="D39" s="1170"/>
      <c r="E39" s="1170"/>
      <c r="F39" s="144"/>
      <c r="G39" s="144"/>
      <c r="H39" s="1170"/>
      <c r="I39" s="1170"/>
      <c r="J39" s="144"/>
      <c r="K39" s="144"/>
      <c r="L39" s="1170"/>
      <c r="M39" s="1170"/>
      <c r="N39" s="144"/>
      <c r="O39" s="144"/>
    </row>
    <row r="40" spans="1:15" x14ac:dyDescent="0.25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</row>
    <row r="41" spans="1:15" x14ac:dyDescent="0.25">
      <c r="N41" s="386"/>
    </row>
    <row r="54" spans="1:3" ht="13.8" x14ac:dyDescent="0.3">
      <c r="A54" s="381" t="s">
        <v>462</v>
      </c>
      <c r="C54">
        <f>+D30</f>
        <v>5</v>
      </c>
    </row>
    <row r="55" spans="1:3" ht="13.8" x14ac:dyDescent="0.3">
      <c r="A55" s="381" t="s">
        <v>463</v>
      </c>
      <c r="C55">
        <v>0.54</v>
      </c>
    </row>
    <row r="56" spans="1:3" ht="13.8" x14ac:dyDescent="0.3">
      <c r="A56" s="381" t="s">
        <v>464</v>
      </c>
      <c r="C56">
        <v>0</v>
      </c>
    </row>
  </sheetData>
  <mergeCells count="30">
    <mergeCell ref="R15:R16"/>
    <mergeCell ref="Q15:Q16"/>
    <mergeCell ref="P15:P16"/>
    <mergeCell ref="W15:W16"/>
    <mergeCell ref="V15:V16"/>
    <mergeCell ref="U15:U16"/>
    <mergeCell ref="T15:T16"/>
    <mergeCell ref="S15:S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6:O6"/>
    <mergeCell ref="D12:E12"/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525780</xdr:colOff>
                <xdr:row>0</xdr:row>
                <xdr:rowOff>60960</xdr:rowOff>
              </from>
              <to>
                <xdr:col>14</xdr:col>
                <xdr:colOff>502920</xdr:colOff>
                <xdr:row>4</xdr:row>
                <xdr:rowOff>7620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D758-0B2A-4A6C-8906-5D760151AB5D}">
  <dimension ref="A1:E44"/>
  <sheetViews>
    <sheetView zoomScaleNormal="100" zoomScaleSheetLayoutView="100" workbookViewId="0">
      <selection sqref="A1:A4"/>
    </sheetView>
  </sheetViews>
  <sheetFormatPr baseColWidth="10" defaultColWidth="11.44140625" defaultRowHeight="13.2" x14ac:dyDescent="0.25"/>
  <cols>
    <col min="1" max="1" width="27.33203125" style="135" customWidth="1"/>
    <col min="2" max="4" width="17.5546875" style="135" customWidth="1"/>
    <col min="5" max="5" width="2.109375" style="135" customWidth="1"/>
    <col min="6" max="16384" width="11.44140625" style="135"/>
  </cols>
  <sheetData>
    <row r="1" spans="1:5" ht="11.4" customHeight="1" thickTop="1" x14ac:dyDescent="0.25">
      <c r="A1" s="1184" t="s">
        <v>418</v>
      </c>
      <c r="D1" s="159"/>
      <c r="E1" s="159"/>
    </row>
    <row r="2" spans="1:5" ht="11.4" customHeight="1" x14ac:dyDescent="0.25">
      <c r="A2" s="1185"/>
    </row>
    <row r="3" spans="1:5" ht="11.4" customHeight="1" x14ac:dyDescent="0.25">
      <c r="A3" s="1185"/>
    </row>
    <row r="4" spans="1:5" ht="11.4" customHeight="1" thickBot="1" x14ac:dyDescent="0.3">
      <c r="A4" s="1186"/>
      <c r="B4" s="168"/>
      <c r="C4" s="169"/>
      <c r="D4" s="168"/>
      <c r="E4" s="169"/>
    </row>
    <row r="5" spans="1:5" ht="11.4" customHeight="1" thickTop="1" x14ac:dyDescent="0.25">
      <c r="A5" s="168"/>
      <c r="B5" s="312"/>
    </row>
    <row r="6" spans="1:5" ht="19.5" customHeight="1" x14ac:dyDescent="0.25">
      <c r="A6" s="1187" t="s">
        <v>465</v>
      </c>
      <c r="B6" s="1187"/>
      <c r="C6" s="1187"/>
      <c r="D6" s="1187"/>
    </row>
    <row r="7" spans="1:5" ht="3.75" customHeight="1" thickBot="1" x14ac:dyDescent="0.3">
      <c r="A7" s="211"/>
      <c r="B7" s="313"/>
      <c r="C7" s="220"/>
      <c r="D7" s="220"/>
    </row>
    <row r="8" spans="1:5" ht="13.2" customHeight="1" thickTop="1" x14ac:dyDescent="0.25">
      <c r="A8" s="1189"/>
      <c r="B8" s="1189"/>
      <c r="C8" s="1189"/>
      <c r="D8" s="1189"/>
    </row>
    <row r="9" spans="1:5" ht="13.2" customHeight="1" x14ac:dyDescent="0.25">
      <c r="A9" s="314"/>
      <c r="B9" s="314"/>
      <c r="C9" s="314"/>
      <c r="D9" s="314"/>
      <c r="E9" s="315"/>
    </row>
    <row r="10" spans="1:5" ht="13.2" customHeight="1" x14ac:dyDescent="0.25">
      <c r="A10" s="316"/>
      <c r="B10" s="316"/>
      <c r="C10" s="316"/>
      <c r="D10" s="316"/>
      <c r="E10" s="317"/>
    </row>
    <row r="11" spans="1:5" ht="13.2" customHeight="1" x14ac:dyDescent="0.25"/>
    <row r="12" spans="1:5" ht="13.2" customHeight="1" x14ac:dyDescent="0.25">
      <c r="A12" s="318" t="e">
        <f>+Datos!#REF!</f>
        <v>#REF!</v>
      </c>
      <c r="B12" s="319" t="e">
        <f>+Datos!#REF!</f>
        <v>#REF!</v>
      </c>
      <c r="C12" s="320"/>
    </row>
    <row r="13" spans="1:5" ht="13.2" customHeight="1" x14ac:dyDescent="0.25">
      <c r="A13" s="318" t="e">
        <f>+Datos!#REF!</f>
        <v>#REF!</v>
      </c>
      <c r="B13" s="319" t="e">
        <f>+Datos!#REF!</f>
        <v>#REF!</v>
      </c>
      <c r="C13" s="321"/>
    </row>
    <row r="14" spans="1:5" ht="13.2" customHeight="1" x14ac:dyDescent="0.25">
      <c r="A14" s="318" t="e">
        <f>+Datos!#REF!</f>
        <v>#REF!</v>
      </c>
      <c r="B14" s="322" t="e">
        <f>+Datos!#REF!</f>
        <v>#REF!</v>
      </c>
      <c r="C14" s="323"/>
    </row>
    <row r="15" spans="1:5" ht="13.2" customHeight="1" x14ac:dyDescent="0.25">
      <c r="A15" s="318"/>
      <c r="B15" s="324"/>
      <c r="C15" s="323"/>
    </row>
    <row r="16" spans="1:5" ht="13.2" customHeight="1" x14ac:dyDescent="0.25">
      <c r="A16" s="318" t="str">
        <f>+Datos!A8</f>
        <v>Solicitado   :</v>
      </c>
      <c r="B16" s="325"/>
      <c r="C16" s="326"/>
    </row>
    <row r="17" spans="1:4" ht="13.2" customHeight="1" x14ac:dyDescent="0.25">
      <c r="A17" s="318" t="str">
        <f>+Datos!A9</f>
        <v>Proyecto    :</v>
      </c>
      <c r="B17" s="319" t="str">
        <f>+Datos!D9</f>
        <v>Tunel de Puruchuco</v>
      </c>
      <c r="C17" s="140"/>
      <c r="D17" s="327"/>
    </row>
    <row r="18" spans="1:4" ht="13.2" customHeight="1" x14ac:dyDescent="0.25">
      <c r="A18" s="318" t="str">
        <f>+Datos!A10</f>
        <v>Ubicación   :</v>
      </c>
      <c r="B18" s="319" t="str">
        <f>+Datos!D10</f>
        <v>Av. Javier Prado S/N Alt. Huaca de Puruchuco</v>
      </c>
      <c r="D18" s="327"/>
    </row>
    <row r="19" spans="1:4" ht="13.2" customHeight="1" x14ac:dyDescent="0.25">
      <c r="A19" s="318" t="str">
        <f>+Datos!A11</f>
        <v>Cantera      :</v>
      </c>
      <c r="B19" s="319" t="str">
        <f>+Datos!D11</f>
        <v>Cantera Dorita</v>
      </c>
      <c r="D19" s="327"/>
    </row>
    <row r="20" spans="1:4" ht="13.2" customHeight="1" x14ac:dyDescent="0.25">
      <c r="A20" s="318" t="str">
        <f>+Datos!A12</f>
        <v>Material     :</v>
      </c>
      <c r="B20" s="319" t="str">
        <f>+Datos!D12</f>
        <v>Base Granular</v>
      </c>
      <c r="D20" s="327"/>
    </row>
    <row r="21" spans="1:4" ht="13.2" customHeight="1" x14ac:dyDescent="0.25">
      <c r="A21" s="1190" t="s">
        <v>466</v>
      </c>
      <c r="B21" s="1190"/>
      <c r="C21" s="1190"/>
      <c r="D21" s="1190"/>
    </row>
    <row r="22" spans="1:4" ht="13.2" customHeight="1" x14ac:dyDescent="0.25"/>
    <row r="23" spans="1:4" ht="15.9" customHeight="1" x14ac:dyDescent="0.25">
      <c r="A23" s="328" t="s">
        <v>467</v>
      </c>
      <c r="B23" s="329"/>
      <c r="C23" s="329">
        <v>1</v>
      </c>
      <c r="D23" s="329"/>
    </row>
    <row r="24" spans="1:4" ht="15.9" customHeight="1" x14ac:dyDescent="0.25">
      <c r="A24" s="328" t="s">
        <v>468</v>
      </c>
      <c r="B24" s="231"/>
      <c r="C24" s="379">
        <v>138.4</v>
      </c>
      <c r="D24" s="231"/>
    </row>
    <row r="25" spans="1:4" ht="15.9" customHeight="1" x14ac:dyDescent="0.25">
      <c r="A25" s="328" t="s">
        <v>469</v>
      </c>
      <c r="B25" s="231"/>
      <c r="C25" s="379">
        <v>112</v>
      </c>
      <c r="D25" s="231"/>
    </row>
    <row r="26" spans="1:4" ht="15.9" customHeight="1" x14ac:dyDescent="0.25">
      <c r="A26" s="328" t="s">
        <v>470</v>
      </c>
      <c r="B26" s="231"/>
      <c r="C26" s="379"/>
      <c r="D26" s="231"/>
    </row>
    <row r="27" spans="1:4" ht="15.9" customHeight="1" x14ac:dyDescent="0.25">
      <c r="A27" s="328" t="s">
        <v>471</v>
      </c>
      <c r="B27" s="231"/>
      <c r="C27" s="231">
        <f>+C24-C25</f>
        <v>26.400000000000006</v>
      </c>
      <c r="D27" s="231"/>
    </row>
    <row r="28" spans="1:4" ht="15.9" customHeight="1" x14ac:dyDescent="0.25">
      <c r="A28" s="328" t="s">
        <v>472</v>
      </c>
      <c r="B28" s="231"/>
      <c r="C28" s="231">
        <f>+C25-C26</f>
        <v>112</v>
      </c>
      <c r="D28" s="231"/>
    </row>
    <row r="29" spans="1:4" ht="15.9" customHeight="1" x14ac:dyDescent="0.25">
      <c r="A29" s="328" t="s">
        <v>473</v>
      </c>
      <c r="B29" s="231"/>
      <c r="C29" s="231">
        <f>+C27/C28*100</f>
        <v>23.571428571428577</v>
      </c>
      <c r="D29" s="231"/>
    </row>
    <row r="30" spans="1:4" ht="15.9" customHeight="1" x14ac:dyDescent="0.25">
      <c r="A30" s="328" t="s">
        <v>474</v>
      </c>
      <c r="B30" s="1191">
        <f>AVERAGE(B29:D29)/100</f>
        <v>0.23571428571428577</v>
      </c>
      <c r="C30" s="1192"/>
      <c r="D30" s="1193"/>
    </row>
    <row r="31" spans="1:4" x14ac:dyDescent="0.25">
      <c r="B31" s="140"/>
      <c r="C31" s="140"/>
      <c r="D31" s="140"/>
    </row>
    <row r="32" spans="1:4" x14ac:dyDescent="0.25">
      <c r="A32" s="330" t="s">
        <v>475</v>
      </c>
      <c r="B32" s="331"/>
      <c r="C32" s="332"/>
      <c r="D32" s="333"/>
    </row>
    <row r="33" spans="1:4" x14ac:dyDescent="0.25">
      <c r="A33" s="334"/>
      <c r="B33" s="319"/>
      <c r="C33" s="335"/>
      <c r="D33" s="336"/>
    </row>
    <row r="34" spans="1:4" x14ac:dyDescent="0.25">
      <c r="A34" s="337"/>
      <c r="B34" s="338"/>
      <c r="C34" s="338"/>
      <c r="D34" s="339"/>
    </row>
    <row r="35" spans="1:4" x14ac:dyDescent="0.25">
      <c r="A35" s="340"/>
      <c r="B35" s="1188"/>
      <c r="C35" s="1188"/>
      <c r="D35" s="341"/>
    </row>
    <row r="36" spans="1:4" x14ac:dyDescent="0.25">
      <c r="A36" s="342"/>
      <c r="B36" s="343"/>
      <c r="C36" s="343"/>
      <c r="D36" s="344"/>
    </row>
    <row r="37" spans="1:4" x14ac:dyDescent="0.25">
      <c r="A37" s="137"/>
      <c r="B37" s="143"/>
      <c r="C37" s="143"/>
      <c r="D37" s="139"/>
    </row>
    <row r="38" spans="1:4" x14ac:dyDescent="0.25">
      <c r="A38" s="345"/>
    </row>
    <row r="41" spans="1:4" x14ac:dyDescent="0.25">
      <c r="A41" s="140"/>
      <c r="B41" s="140"/>
    </row>
    <row r="42" spans="1:4" x14ac:dyDescent="0.25">
      <c r="A42" s="346"/>
    </row>
    <row r="44" spans="1:4" x14ac:dyDescent="0.25">
      <c r="A44" s="140"/>
      <c r="B44" s="14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1097280</xdr:colOff>
                <xdr:row>0</xdr:row>
                <xdr:rowOff>45720</xdr:rowOff>
              </from>
              <to>
                <xdr:col>3</xdr:col>
                <xdr:colOff>1143000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F2FA-B3E5-4C5A-A2B4-5EB7FC521AE2}">
  <sheetPr codeName="Hoja14"/>
  <dimension ref="B1:Q58"/>
  <sheetViews>
    <sheetView view="pageBreakPreview" topLeftCell="A7" zoomScaleNormal="100" zoomScaleSheetLayoutView="100" workbookViewId="0">
      <selection activeCell="O19" sqref="O19"/>
    </sheetView>
  </sheetViews>
  <sheetFormatPr baseColWidth="10" defaultColWidth="11.44140625" defaultRowHeight="13.2" x14ac:dyDescent="0.25"/>
  <cols>
    <col min="1" max="1" width="11.44140625" style="135"/>
    <col min="2" max="2" width="13.5546875" style="135" customWidth="1"/>
    <col min="3" max="3" width="1.5546875" style="135" customWidth="1"/>
    <col min="4" max="5" width="10.5546875" style="135" customWidth="1"/>
    <col min="6" max="6" width="9.6640625" style="135" customWidth="1"/>
    <col min="7" max="7" width="11.88671875" style="135" customWidth="1"/>
    <col min="8" max="8" width="4.5546875" style="135" customWidth="1"/>
    <col min="9" max="10" width="9.5546875" style="135" customWidth="1"/>
    <col min="11" max="11" width="1.6640625" style="135" customWidth="1"/>
    <col min="12" max="12" width="13" style="135" customWidth="1"/>
    <col min="13" max="16384" width="11.44140625" style="135"/>
  </cols>
  <sheetData>
    <row r="1" spans="2:12" ht="15.75" customHeight="1" thickTop="1" x14ac:dyDescent="0.25">
      <c r="B1" s="1213"/>
      <c r="C1" s="1214"/>
      <c r="D1" s="1214"/>
      <c r="E1" s="1214"/>
      <c r="F1" s="1214"/>
      <c r="G1" s="1214"/>
      <c r="H1" s="1214"/>
      <c r="I1" s="1214"/>
      <c r="J1" s="1214"/>
      <c r="K1" s="1214"/>
      <c r="L1" s="1215"/>
    </row>
    <row r="2" spans="2:12" ht="15.75" customHeight="1" x14ac:dyDescent="0.25">
      <c r="B2" s="1216"/>
      <c r="C2" s="1217"/>
      <c r="D2" s="1217"/>
      <c r="E2" s="1217"/>
      <c r="F2" s="1217"/>
      <c r="G2" s="1217"/>
      <c r="H2" s="1217"/>
      <c r="I2" s="1217"/>
      <c r="J2" s="1217"/>
      <c r="K2" s="1217"/>
      <c r="L2" s="1218"/>
    </row>
    <row r="3" spans="2:12" ht="15.75" customHeight="1" x14ac:dyDescent="0.25">
      <c r="B3" s="1216"/>
      <c r="C3" s="1217"/>
      <c r="D3" s="1217"/>
      <c r="E3" s="1217"/>
      <c r="F3" s="1217"/>
      <c r="G3" s="1217"/>
      <c r="H3" s="1217"/>
      <c r="I3" s="1217"/>
      <c r="J3" s="1217"/>
      <c r="K3" s="1217"/>
      <c r="L3" s="1218"/>
    </row>
    <row r="4" spans="2:12" ht="15.75" customHeight="1" x14ac:dyDescent="0.25">
      <c r="B4" s="1216"/>
      <c r="C4" s="1217"/>
      <c r="D4" s="1217"/>
      <c r="E4" s="1217"/>
      <c r="F4" s="1217"/>
      <c r="G4" s="1217"/>
      <c r="H4" s="1217"/>
      <c r="I4" s="1217"/>
      <c r="J4" s="1217"/>
      <c r="K4" s="1217"/>
      <c r="L4" s="1218"/>
    </row>
    <row r="5" spans="2:12" ht="15.75" customHeight="1" thickBot="1" x14ac:dyDescent="0.3">
      <c r="B5" s="1219"/>
      <c r="C5" s="1220"/>
      <c r="D5" s="1220"/>
      <c r="E5" s="1220"/>
      <c r="F5" s="1220"/>
      <c r="G5" s="1220"/>
      <c r="H5" s="1220"/>
      <c r="I5" s="1220"/>
      <c r="J5" s="1220"/>
      <c r="K5" s="1220"/>
      <c r="L5" s="1221"/>
    </row>
    <row r="6" spans="2:12" ht="15.75" customHeight="1" thickTop="1" x14ac:dyDescent="0.25">
      <c r="B6" s="813"/>
      <c r="C6" s="813"/>
      <c r="D6" s="814"/>
      <c r="E6" s="814"/>
      <c r="F6" s="814"/>
      <c r="G6" s="814"/>
      <c r="H6" s="814"/>
      <c r="I6" s="814"/>
      <c r="J6" s="814"/>
      <c r="K6" s="814"/>
      <c r="L6" s="814"/>
    </row>
    <row r="7" spans="2:12" ht="15.75" customHeight="1" x14ac:dyDescent="0.25">
      <c r="C7" s="815"/>
      <c r="D7" s="815"/>
      <c r="E7" s="815"/>
      <c r="F7" s="815"/>
      <c r="G7" s="815"/>
      <c r="H7" s="815"/>
      <c r="I7" s="815"/>
      <c r="J7" s="815"/>
    </row>
    <row r="8" spans="2:12" ht="13.8" x14ac:dyDescent="0.25">
      <c r="B8" s="1228" t="s">
        <v>476</v>
      </c>
      <c r="C8" s="1228"/>
      <c r="D8" s="1228"/>
      <c r="E8" s="1228"/>
      <c r="F8" s="1228"/>
      <c r="G8" s="1228"/>
      <c r="H8" s="1228"/>
      <c r="I8" s="1228"/>
      <c r="J8" s="1228"/>
      <c r="K8" s="1228"/>
      <c r="L8" s="1228"/>
    </row>
    <row r="9" spans="2:12" ht="13.8" x14ac:dyDescent="0.25">
      <c r="B9" s="1229">
        <f>L13</f>
        <v>2</v>
      </c>
      <c r="C9" s="1229"/>
      <c r="D9" s="1229"/>
      <c r="E9" s="1229"/>
      <c r="F9" s="1229"/>
      <c r="G9" s="1229"/>
      <c r="H9" s="1229"/>
      <c r="I9" s="1229"/>
      <c r="J9" s="1229"/>
      <c r="K9" s="1229"/>
      <c r="L9" s="1229"/>
    </row>
    <row r="10" spans="2:12" ht="13.8" x14ac:dyDescent="0.25">
      <c r="B10" s="806"/>
      <c r="C10" s="806"/>
      <c r="D10" s="806"/>
      <c r="E10" s="806"/>
      <c r="F10" s="806"/>
      <c r="G10" s="806"/>
      <c r="H10" s="806"/>
      <c r="I10" s="806"/>
      <c r="J10" s="806"/>
      <c r="K10" s="806"/>
      <c r="L10" s="806"/>
    </row>
    <row r="11" spans="2:12" ht="15" customHeight="1" x14ac:dyDescent="0.25">
      <c r="B11" s="807" t="s">
        <v>477</v>
      </c>
      <c r="C11" s="808" t="s">
        <v>38</v>
      </c>
      <c r="D11" s="312" t="s">
        <v>478</v>
      </c>
      <c r="E11" s="809"/>
      <c r="F11" s="809"/>
      <c r="G11" s="809"/>
      <c r="H11" s="809"/>
      <c r="I11" s="809"/>
      <c r="J11" s="810" t="s">
        <v>479</v>
      </c>
      <c r="K11" s="136" t="s">
        <v>38</v>
      </c>
      <c r="L11" s="312" t="s">
        <v>480</v>
      </c>
    </row>
    <row r="12" spans="2:12" ht="15" customHeight="1" x14ac:dyDescent="0.25">
      <c r="B12" s="807" t="s">
        <v>481</v>
      </c>
      <c r="C12" s="808" t="s">
        <v>38</v>
      </c>
      <c r="D12" s="312" t="s">
        <v>482</v>
      </c>
      <c r="E12" s="809"/>
      <c r="F12" s="809"/>
      <c r="G12" s="809"/>
      <c r="H12" s="809"/>
      <c r="I12" s="809"/>
      <c r="J12" s="811" t="s">
        <v>483</v>
      </c>
      <c r="K12" s="808" t="s">
        <v>38</v>
      </c>
      <c r="L12" s="812">
        <v>222</v>
      </c>
    </row>
    <row r="13" spans="2:12" ht="15" customHeight="1" x14ac:dyDescent="0.25">
      <c r="B13" s="807" t="s">
        <v>484</v>
      </c>
      <c r="C13" s="808" t="s">
        <v>38</v>
      </c>
      <c r="D13" s="312" t="s">
        <v>485</v>
      </c>
      <c r="E13" s="809"/>
      <c r="F13" s="809"/>
      <c r="G13" s="809"/>
      <c r="H13" s="809"/>
      <c r="I13" s="809"/>
      <c r="J13" s="811" t="s">
        <v>486</v>
      </c>
      <c r="K13" s="808" t="s">
        <v>38</v>
      </c>
      <c r="L13" s="868">
        <v>2</v>
      </c>
    </row>
    <row r="14" spans="2:12" x14ac:dyDescent="0.25">
      <c r="C14" s="134"/>
    </row>
    <row r="15" spans="2:12" ht="18.600000000000001" customHeight="1" x14ac:dyDescent="0.25">
      <c r="B15" s="1230" t="s">
        <v>487</v>
      </c>
      <c r="C15" s="1231"/>
      <c r="D15" s="1231"/>
      <c r="E15" s="1231"/>
      <c r="F15" s="1231"/>
      <c r="G15" s="1231"/>
      <c r="H15" s="1231"/>
      <c r="I15" s="1231"/>
      <c r="J15" s="1231"/>
      <c r="K15" s="1231"/>
      <c r="L15" s="1231"/>
    </row>
    <row r="16" spans="2:12" x14ac:dyDescent="0.25">
      <c r="B16" s="1232"/>
      <c r="C16" s="1232"/>
      <c r="D16" s="1232"/>
      <c r="E16" s="1232"/>
      <c r="F16" s="1232"/>
      <c r="G16" s="1232"/>
      <c r="H16" s="1232"/>
      <c r="I16" s="1232"/>
      <c r="J16" s="1232"/>
      <c r="K16" s="1232"/>
      <c r="L16" s="1232"/>
    </row>
    <row r="17" spans="2:17" x14ac:dyDescent="0.25">
      <c r="B17" s="1225" t="s">
        <v>488</v>
      </c>
      <c r="C17" s="1226"/>
      <c r="D17" s="1226"/>
      <c r="E17" s="1226"/>
      <c r="F17" s="1226"/>
      <c r="G17" s="1226"/>
      <c r="H17" s="1226"/>
      <c r="I17" s="1226"/>
      <c r="J17" s="1226"/>
      <c r="K17" s="1226"/>
      <c r="L17" s="1227"/>
    </row>
    <row r="18" spans="2:17" x14ac:dyDescent="0.25">
      <c r="B18" s="820"/>
      <c r="C18" s="821"/>
      <c r="D18" s="822"/>
      <c r="E18" s="822"/>
      <c r="F18" s="822"/>
      <c r="G18" s="822"/>
      <c r="H18" s="822"/>
      <c r="I18" s="822"/>
      <c r="J18" s="822"/>
      <c r="K18" s="823"/>
      <c r="L18" s="824"/>
      <c r="M18" s="817"/>
    </row>
    <row r="19" spans="2:17" x14ac:dyDescent="0.25">
      <c r="B19" s="825" t="s">
        <v>254</v>
      </c>
      <c r="C19" s="826"/>
      <c r="D19" s="826"/>
      <c r="E19" s="826"/>
      <c r="F19" s="826"/>
      <c r="G19" s="826"/>
      <c r="H19" s="826"/>
      <c r="I19" s="826"/>
      <c r="J19" s="826"/>
      <c r="K19" s="826"/>
      <c r="L19" s="827"/>
      <c r="M19" s="818"/>
    </row>
    <row r="20" spans="2:17" ht="13.8" x14ac:dyDescent="0.25">
      <c r="B20" s="828" t="s">
        <v>489</v>
      </c>
      <c r="C20" s="829" t="s">
        <v>38</v>
      </c>
      <c r="D20" s="830" t="s">
        <v>490</v>
      </c>
      <c r="E20" s="829"/>
      <c r="F20" s="831"/>
      <c r="G20" s="830"/>
      <c r="H20" s="830"/>
      <c r="I20" s="830"/>
      <c r="J20" s="832" t="s">
        <v>491</v>
      </c>
      <c r="K20" s="816" t="s">
        <v>38</v>
      </c>
      <c r="L20" s="833" t="s">
        <v>492</v>
      </c>
    </row>
    <row r="21" spans="2:17" ht="13.8" x14ac:dyDescent="0.25">
      <c r="B21" s="828" t="s">
        <v>493</v>
      </c>
      <c r="C21" s="829" t="s">
        <v>38</v>
      </c>
      <c r="D21" s="830" t="s">
        <v>494</v>
      </c>
      <c r="E21" s="829"/>
      <c r="F21" s="831"/>
      <c r="G21" s="830"/>
      <c r="H21" s="830"/>
      <c r="I21" s="830"/>
      <c r="J21" s="832" t="s">
        <v>495</v>
      </c>
      <c r="K21" s="816" t="s">
        <v>38</v>
      </c>
      <c r="L21" s="834">
        <v>44075</v>
      </c>
    </row>
    <row r="22" spans="2:17" ht="13.8" x14ac:dyDescent="0.25">
      <c r="B22" s="828" t="s">
        <v>496</v>
      </c>
      <c r="C22" s="829" t="s">
        <v>38</v>
      </c>
      <c r="D22" s="830" t="s">
        <v>497</v>
      </c>
      <c r="E22" s="829"/>
      <c r="F22" s="831"/>
      <c r="G22" s="830"/>
      <c r="H22" s="830"/>
      <c r="I22" s="830"/>
      <c r="J22" s="832" t="s">
        <v>498</v>
      </c>
      <c r="K22" s="816" t="s">
        <v>38</v>
      </c>
      <c r="L22" s="834">
        <v>44083</v>
      </c>
    </row>
    <row r="23" spans="2:17" ht="13.8" x14ac:dyDescent="0.25">
      <c r="B23" s="835"/>
      <c r="C23" s="836"/>
      <c r="D23" s="836"/>
      <c r="E23" s="836"/>
      <c r="F23" s="836"/>
      <c r="G23" s="836"/>
      <c r="H23" s="836"/>
      <c r="I23" s="836"/>
      <c r="J23" s="836"/>
      <c r="K23" s="836"/>
      <c r="L23" s="837"/>
      <c r="M23" s="819"/>
    </row>
    <row r="24" spans="2:17" ht="16.2" customHeight="1" x14ac:dyDescent="0.25">
      <c r="B24" s="838"/>
      <c r="C24" s="838"/>
      <c r="D24" s="838"/>
      <c r="E24" s="816"/>
      <c r="F24" s="816"/>
      <c r="G24" s="816"/>
      <c r="H24" s="816"/>
      <c r="I24" s="816"/>
      <c r="J24" s="816"/>
      <c r="K24" s="830"/>
      <c r="L24" s="830"/>
      <c r="P24" s="315"/>
    </row>
    <row r="25" spans="2:17" ht="16.2" customHeight="1" x14ac:dyDescent="0.25">
      <c r="B25" s="847" t="s">
        <v>499</v>
      </c>
      <c r="C25" s="848"/>
      <c r="D25" s="849"/>
      <c r="E25" s="850" t="s">
        <v>42</v>
      </c>
      <c r="F25" s="1198" t="s">
        <v>500</v>
      </c>
      <c r="G25" s="1199"/>
      <c r="H25" s="1198" t="s">
        <v>501</v>
      </c>
      <c r="I25" s="1222"/>
      <c r="J25" s="1199"/>
      <c r="K25" s="312"/>
      <c r="L25" s="312"/>
    </row>
    <row r="26" spans="2:17" ht="16.2" customHeight="1" x14ac:dyDescent="0.25">
      <c r="B26" s="1198" t="s">
        <v>502</v>
      </c>
      <c r="C26" s="1199"/>
      <c r="D26" s="852" t="s">
        <v>503</v>
      </c>
      <c r="E26" s="853" t="s">
        <v>504</v>
      </c>
      <c r="F26" s="853" t="s">
        <v>505</v>
      </c>
      <c r="G26" s="853" t="s">
        <v>504</v>
      </c>
      <c r="H26" s="1198" t="s">
        <v>505</v>
      </c>
      <c r="I26" s="1199"/>
      <c r="J26" s="853" t="s">
        <v>504</v>
      </c>
      <c r="K26" s="312"/>
      <c r="L26" s="312"/>
    </row>
    <row r="27" spans="2:17" ht="16.2" customHeight="1" x14ac:dyDescent="0.25">
      <c r="B27" s="876" t="s">
        <v>57</v>
      </c>
      <c r="C27" s="854"/>
      <c r="D27" s="871" t="s">
        <v>58</v>
      </c>
      <c r="E27" s="855"/>
      <c r="F27" s="854"/>
      <c r="G27" s="856"/>
      <c r="H27" s="1223"/>
      <c r="I27" s="1224"/>
      <c r="J27" s="856"/>
      <c r="K27" s="312"/>
      <c r="L27" s="312"/>
    </row>
    <row r="28" spans="2:17" ht="16.2" customHeight="1" x14ac:dyDescent="0.25">
      <c r="B28" s="877" t="s">
        <v>58</v>
      </c>
      <c r="C28" s="857"/>
      <c r="D28" s="872" t="s">
        <v>59</v>
      </c>
      <c r="E28" s="873">
        <v>6341</v>
      </c>
      <c r="F28" s="858"/>
      <c r="G28" s="859">
        <v>0</v>
      </c>
      <c r="H28" s="1200"/>
      <c r="I28" s="1201"/>
      <c r="J28" s="860">
        <v>0</v>
      </c>
      <c r="K28" s="312"/>
      <c r="L28" s="312"/>
    </row>
    <row r="29" spans="2:17" ht="16.2" customHeight="1" x14ac:dyDescent="0.25">
      <c r="B29" s="877" t="s">
        <v>59</v>
      </c>
      <c r="C29" s="857"/>
      <c r="D29" s="872" t="s">
        <v>60</v>
      </c>
      <c r="E29" s="873">
        <v>6215</v>
      </c>
      <c r="F29" s="858"/>
      <c r="G29" s="859">
        <v>156.9</v>
      </c>
      <c r="H29" s="1200"/>
      <c r="I29" s="1201"/>
      <c r="J29" s="860">
        <v>133.4</v>
      </c>
      <c r="K29" s="312"/>
      <c r="L29" s="312"/>
    </row>
    <row r="30" spans="2:17" ht="16.2" customHeight="1" x14ac:dyDescent="0.25">
      <c r="B30" s="877" t="s">
        <v>60</v>
      </c>
      <c r="C30" s="857"/>
      <c r="D30" s="872" t="s">
        <v>61</v>
      </c>
      <c r="E30" s="873">
        <v>3994</v>
      </c>
      <c r="F30" s="858"/>
      <c r="G30" s="859">
        <v>96.4</v>
      </c>
      <c r="H30" s="1200"/>
      <c r="I30" s="1201"/>
      <c r="J30" s="860">
        <v>62.8</v>
      </c>
      <c r="K30" s="312"/>
      <c r="L30" s="312"/>
      <c r="P30" s="869"/>
      <c r="Q30" s="870"/>
    </row>
    <row r="31" spans="2:17" ht="16.2" customHeight="1" x14ac:dyDescent="0.25">
      <c r="B31" s="878" t="s">
        <v>61</v>
      </c>
      <c r="C31" s="861"/>
      <c r="D31" s="874" t="s">
        <v>62</v>
      </c>
      <c r="E31" s="875">
        <v>6284</v>
      </c>
      <c r="F31" s="862"/>
      <c r="G31" s="863">
        <v>72.3</v>
      </c>
      <c r="H31" s="1194"/>
      <c r="I31" s="1195"/>
      <c r="J31" s="864">
        <v>33.4</v>
      </c>
      <c r="K31" s="312"/>
      <c r="L31" s="312"/>
      <c r="P31" s="802"/>
      <c r="Q31" s="802"/>
    </row>
    <row r="32" spans="2:17" ht="16.2" customHeight="1" x14ac:dyDescent="0.25">
      <c r="B32" s="1198" t="s">
        <v>506</v>
      </c>
      <c r="C32" s="1199"/>
      <c r="D32" s="852"/>
      <c r="E32" s="865">
        <f>SUM(E28:E31)</f>
        <v>22834</v>
      </c>
      <c r="F32" s="851"/>
      <c r="G32" s="866">
        <f>SUM(G28:G31)</f>
        <v>325.60000000000002</v>
      </c>
      <c r="H32" s="1196"/>
      <c r="I32" s="1197"/>
      <c r="J32" s="865">
        <f>SUM(J28:J31)</f>
        <v>229.6</v>
      </c>
      <c r="K32" s="312"/>
      <c r="L32" s="312"/>
      <c r="P32" s="803"/>
      <c r="Q32" s="802"/>
    </row>
    <row r="33" spans="2:12" ht="16.2" customHeight="1" x14ac:dyDescent="0.25">
      <c r="B33" s="1198" t="s">
        <v>507</v>
      </c>
      <c r="C33" s="1199"/>
      <c r="D33" s="852"/>
      <c r="E33" s="865"/>
      <c r="F33" s="867"/>
      <c r="G33" s="865">
        <f>G32/E32*100</f>
        <v>1.4259437680651661</v>
      </c>
      <c r="H33" s="1196"/>
      <c r="I33" s="1197"/>
      <c r="J33" s="865">
        <f>J32/E32*100</f>
        <v>1.0055180870631513</v>
      </c>
      <c r="K33" s="312"/>
      <c r="L33" s="312"/>
    </row>
    <row r="34" spans="2:12" ht="16.2" customHeight="1" x14ac:dyDescent="0.25">
      <c r="B34" s="142"/>
      <c r="C34" s="142"/>
      <c r="D34" s="142"/>
      <c r="E34" s="142"/>
      <c r="F34" s="142"/>
      <c r="G34" s="142"/>
      <c r="H34" s="142"/>
      <c r="I34" s="142"/>
      <c r="J34" s="142"/>
    </row>
    <row r="35" spans="2:12" ht="16.2" customHeight="1" x14ac:dyDescent="0.25">
      <c r="H35" s="1202" t="s">
        <v>508</v>
      </c>
      <c r="I35" s="1203"/>
      <c r="J35" s="1204"/>
    </row>
    <row r="36" spans="2:12" ht="16.2" customHeight="1" x14ac:dyDescent="0.25">
      <c r="H36" s="1207" t="s">
        <v>509</v>
      </c>
      <c r="I36" s="1208"/>
      <c r="J36" s="1211">
        <f>G33+J33</f>
        <v>2.4314618551283171</v>
      </c>
    </row>
    <row r="37" spans="2:12" ht="16.2" customHeight="1" x14ac:dyDescent="0.25">
      <c r="H37" s="1209"/>
      <c r="I37" s="1210"/>
      <c r="J37" s="1212"/>
    </row>
    <row r="39" spans="2:12" x14ac:dyDescent="0.25">
      <c r="G39" s="140"/>
      <c r="H39" s="140"/>
      <c r="I39" s="141"/>
    </row>
    <row r="40" spans="2:12" x14ac:dyDescent="0.25">
      <c r="B40" s="840" t="s">
        <v>510</v>
      </c>
      <c r="G40" s="140"/>
      <c r="H40" s="140"/>
    </row>
    <row r="41" spans="2:12" x14ac:dyDescent="0.25">
      <c r="B41" s="1087"/>
      <c r="C41" s="1087"/>
      <c r="D41" s="1087"/>
      <c r="E41" s="1206"/>
    </row>
    <row r="42" spans="2:12" x14ac:dyDescent="0.25">
      <c r="B42" s="1087"/>
      <c r="C42" s="1087"/>
      <c r="D42" s="1087"/>
      <c r="E42" s="1206"/>
    </row>
    <row r="43" spans="2:12" x14ac:dyDescent="0.25">
      <c r="F43" s="140"/>
      <c r="J43" s="140"/>
    </row>
    <row r="44" spans="2:12" x14ac:dyDescent="0.25">
      <c r="F44" s="140"/>
      <c r="J44" s="140"/>
    </row>
    <row r="45" spans="2:12" x14ac:dyDescent="0.25">
      <c r="F45" s="140"/>
      <c r="J45" s="140"/>
    </row>
    <row r="55" spans="2:12" x14ac:dyDescent="0.25">
      <c r="B55" s="841" t="s">
        <v>511</v>
      </c>
      <c r="C55" s="839"/>
      <c r="D55" s="839"/>
    </row>
    <row r="56" spans="2:12" x14ac:dyDescent="0.25">
      <c r="B56" s="841" t="s">
        <v>512</v>
      </c>
      <c r="C56" s="839"/>
      <c r="D56" s="839"/>
    </row>
    <row r="58" spans="2:12" ht="30.6" customHeight="1" x14ac:dyDescent="0.25">
      <c r="B58" s="1205" t="s">
        <v>513</v>
      </c>
      <c r="C58" s="1205"/>
      <c r="D58" s="1205"/>
      <c r="E58" s="1205"/>
      <c r="F58" s="1205"/>
      <c r="G58" s="1205"/>
      <c r="H58" s="1205"/>
      <c r="I58" s="1205"/>
      <c r="J58" s="1205"/>
      <c r="K58" s="1205"/>
      <c r="L58" s="1205"/>
    </row>
  </sheetData>
  <protectedRanges>
    <protectedRange sqref="D12:D13" name="Rango3_3_1_1_1_1_1_1_1_1_1"/>
    <protectedRange sqref="D11" name="Rango3_3_1_1_1_1_1_2_1_1"/>
    <protectedRange sqref="D18" name="Rango3_3_1_1_1_1_1_1_1_1_2"/>
  </protectedRanges>
  <mergeCells count="24">
    <mergeCell ref="B1:L5"/>
    <mergeCell ref="H25:J25"/>
    <mergeCell ref="H27:I27"/>
    <mergeCell ref="H28:I28"/>
    <mergeCell ref="H29:I29"/>
    <mergeCell ref="B17:L17"/>
    <mergeCell ref="B8:L8"/>
    <mergeCell ref="B9:L9"/>
    <mergeCell ref="B26:C26"/>
    <mergeCell ref="F25:G25"/>
    <mergeCell ref="B15:L16"/>
    <mergeCell ref="H35:J35"/>
    <mergeCell ref="B58:L58"/>
    <mergeCell ref="B41:D42"/>
    <mergeCell ref="E41:E42"/>
    <mergeCell ref="H36:I37"/>
    <mergeCell ref="J36:J37"/>
    <mergeCell ref="H31:I31"/>
    <mergeCell ref="H32:I32"/>
    <mergeCell ref="H33:I33"/>
    <mergeCell ref="H26:I26"/>
    <mergeCell ref="B32:C32"/>
    <mergeCell ref="B33:C33"/>
    <mergeCell ref="H30:I30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scale="9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8075-E19A-454D-A94E-C61C5F706BE1}">
  <sheetPr codeName="Hoja13">
    <pageSetUpPr fitToPage="1"/>
  </sheetPr>
  <dimension ref="A1:N68"/>
  <sheetViews>
    <sheetView showGridLines="0" tabSelected="1" view="pageBreakPreview" topLeftCell="A6" zoomScaleNormal="100" zoomScaleSheetLayoutView="100" workbookViewId="0">
      <selection activeCell="J4" sqref="J4"/>
    </sheetView>
  </sheetViews>
  <sheetFormatPr baseColWidth="10" defaultColWidth="11.44140625" defaultRowHeight="13.2" x14ac:dyDescent="0.25"/>
  <cols>
    <col min="1" max="1" width="10.6640625" style="315" customWidth="1"/>
    <col min="2" max="7" width="18.33203125" style="315" customWidth="1"/>
    <col min="8" max="8" width="10.6640625" style="315" customWidth="1"/>
    <col min="9" max="16384" width="11.44140625" style="315"/>
  </cols>
  <sheetData>
    <row r="1" spans="1:9" ht="15.75" customHeight="1" thickTop="1" x14ac:dyDescent="0.25">
      <c r="A1" s="842"/>
      <c r="B1" s="843"/>
      <c r="C1" s="844"/>
      <c r="D1" s="844"/>
      <c r="E1" s="844"/>
      <c r="F1" s="844"/>
      <c r="G1" s="916"/>
      <c r="H1" s="917"/>
    </row>
    <row r="2" spans="1:9" ht="15.75" customHeight="1" x14ac:dyDescent="0.25">
      <c r="A2" s="845"/>
      <c r="B2" s="918"/>
      <c r="C2" s="919"/>
      <c r="D2" s="919"/>
      <c r="E2" s="919"/>
      <c r="F2" s="919"/>
      <c r="G2" s="831"/>
      <c r="H2" s="920"/>
    </row>
    <row r="3" spans="1:9" ht="15.75" customHeight="1" x14ac:dyDescent="0.25">
      <c r="A3" s="845"/>
      <c r="B3" s="918"/>
      <c r="C3" s="919"/>
      <c r="D3" s="919"/>
      <c r="E3" s="919"/>
      <c r="F3" s="919"/>
      <c r="G3" s="831"/>
      <c r="H3" s="920"/>
    </row>
    <row r="4" spans="1:9" ht="15.75" customHeight="1" x14ac:dyDescent="0.25">
      <c r="A4" s="845"/>
      <c r="B4" s="918"/>
      <c r="C4" s="919"/>
      <c r="D4" s="919"/>
      <c r="E4" s="919"/>
      <c r="F4" s="919"/>
      <c r="G4" s="831"/>
      <c r="H4" s="920"/>
    </row>
    <row r="5" spans="1:9" ht="15.75" customHeight="1" thickBot="1" x14ac:dyDescent="0.3">
      <c r="A5" s="903"/>
      <c r="B5" s="904"/>
      <c r="C5" s="904"/>
      <c r="D5" s="904"/>
      <c r="E5" s="904"/>
      <c r="F5" s="904"/>
      <c r="G5" s="904"/>
      <c r="H5" s="921"/>
    </row>
    <row r="6" spans="1:9" ht="9.9" customHeight="1" thickTop="1" x14ac:dyDescent="0.25">
      <c r="A6" s="905"/>
      <c r="B6" s="905"/>
      <c r="C6" s="905"/>
      <c r="D6" s="905"/>
      <c r="E6" s="905"/>
      <c r="F6" s="905"/>
      <c r="G6" s="905"/>
    </row>
    <row r="7" spans="1:9" ht="15.75" customHeight="1" x14ac:dyDescent="0.25">
      <c r="A7" s="1238" t="s">
        <v>476</v>
      </c>
      <c r="B7" s="1238"/>
      <c r="C7" s="1238"/>
      <c r="D7" s="1238"/>
      <c r="E7" s="1238"/>
      <c r="F7" s="1238"/>
      <c r="G7" s="1238"/>
      <c r="H7" s="1238"/>
    </row>
    <row r="8" spans="1:9" ht="15.75" customHeight="1" x14ac:dyDescent="0.25">
      <c r="A8" s="1239" t="s">
        <v>578</v>
      </c>
      <c r="B8" s="1239"/>
      <c r="C8" s="1239"/>
      <c r="D8" s="1239"/>
      <c r="E8" s="1239"/>
      <c r="F8" s="1239"/>
      <c r="G8" s="1239"/>
      <c r="H8" s="1239"/>
      <c r="I8"/>
    </row>
    <row r="9" spans="1:9" ht="15.75" customHeight="1" x14ac:dyDescent="0.25">
      <c r="A9" s="888"/>
      <c r="B9" s="888"/>
      <c r="C9" s="888"/>
      <c r="D9" s="888"/>
      <c r="E9" s="888"/>
      <c r="F9" s="888"/>
      <c r="G9" s="888"/>
      <c r="I9"/>
    </row>
    <row r="10" spans="1:9" ht="15.75" customHeight="1" x14ac:dyDescent="0.25">
      <c r="A10" s="846"/>
      <c r="C10" s="1261" t="s">
        <v>581</v>
      </c>
      <c r="D10" s="1261" t="s">
        <v>582</v>
      </c>
      <c r="E10" s="1261" t="s">
        <v>583</v>
      </c>
      <c r="F10" s="1261" t="s">
        <v>584</v>
      </c>
      <c r="G10" s="888"/>
      <c r="I10"/>
    </row>
    <row r="11" spans="1:9" ht="24" customHeight="1" x14ac:dyDescent="0.25">
      <c r="A11" s="846"/>
      <c r="C11" s="1261"/>
      <c r="D11" s="1261"/>
      <c r="E11" s="1261"/>
      <c r="F11" s="1261"/>
      <c r="I11"/>
    </row>
    <row r="12" spans="1:9" ht="15.75" customHeight="1" x14ac:dyDescent="0.25">
      <c r="A12" s="846"/>
      <c r="F12"/>
      <c r="G12"/>
      <c r="H12"/>
      <c r="I12"/>
    </row>
    <row r="13" spans="1:9" ht="26.25" customHeight="1" x14ac:dyDescent="0.25">
      <c r="A13" s="1240" t="s">
        <v>535</v>
      </c>
      <c r="B13" s="1241"/>
      <c r="C13" s="1241"/>
      <c r="D13" s="1241"/>
      <c r="E13" s="1241"/>
      <c r="F13" s="1241"/>
      <c r="G13" s="1241"/>
      <c r="H13" s="1242"/>
      <c r="I13"/>
    </row>
    <row r="14" spans="1:9" ht="18.899999999999999" customHeight="1" x14ac:dyDescent="0.25">
      <c r="A14" s="1243" t="s">
        <v>536</v>
      </c>
      <c r="B14" s="1244"/>
      <c r="C14" s="1244"/>
      <c r="D14" s="1244"/>
      <c r="E14" s="1244"/>
      <c r="F14" s="1244"/>
      <c r="G14" s="1244"/>
      <c r="H14" s="1245"/>
    </row>
    <row r="15" spans="1:9" ht="9.9" customHeight="1" x14ac:dyDescent="0.25">
      <c r="A15" s="889"/>
      <c r="B15" s="890"/>
      <c r="C15" s="932"/>
      <c r="D15" s="932"/>
      <c r="E15" s="932"/>
      <c r="F15" s="932"/>
      <c r="G15" s="933"/>
      <c r="H15" s="934"/>
    </row>
    <row r="16" spans="1:9" ht="22.8" customHeight="1" x14ac:dyDescent="0.2">
      <c r="A16" s="1236" t="s">
        <v>537</v>
      </c>
      <c r="B16" s="1237"/>
      <c r="C16" s="977" t="s">
        <v>580</v>
      </c>
      <c r="E16" s="970" t="s">
        <v>538</v>
      </c>
      <c r="F16" s="892"/>
      <c r="G16" s="909"/>
      <c r="H16" s="935"/>
    </row>
    <row r="17" spans="1:14" ht="18" customHeight="1" x14ac:dyDescent="0.25">
      <c r="C17" s="936"/>
      <c r="E17" s="970" t="s">
        <v>539</v>
      </c>
      <c r="F17" s="250"/>
      <c r="G17" s="909"/>
      <c r="H17" s="907"/>
    </row>
    <row r="18" spans="1:14" ht="18" customHeight="1" x14ac:dyDescent="0.25">
      <c r="A18" s="936"/>
      <c r="B18" s="936"/>
      <c r="C18" s="936"/>
      <c r="E18" s="970" t="s">
        <v>540</v>
      </c>
      <c r="F18" s="936"/>
      <c r="G18" s="909"/>
      <c r="H18" s="907"/>
    </row>
    <row r="19" spans="1:14" ht="18" customHeight="1" x14ac:dyDescent="0.25">
      <c r="A19" s="893"/>
      <c r="B19" s="893"/>
      <c r="C19" s="893"/>
      <c r="D19" s="894"/>
      <c r="E19" s="938"/>
      <c r="F19" s="938"/>
      <c r="G19" s="938"/>
      <c r="H19" s="939"/>
    </row>
    <row r="20" spans="1:14" ht="9.9" customHeight="1" x14ac:dyDescent="0.25">
      <c r="A20" s="931"/>
      <c r="B20" s="250"/>
      <c r="C20" s="893"/>
      <c r="D20" s="894"/>
      <c r="E20" s="895"/>
      <c r="F20" s="896"/>
      <c r="G20" s="897"/>
      <c r="H20" s="898"/>
    </row>
    <row r="21" spans="1:14" ht="18" customHeight="1" thickBot="1" x14ac:dyDescent="0.3">
      <c r="A21" s="972" t="s">
        <v>529</v>
      </c>
      <c r="B21" s="380"/>
      <c r="C21" s="380"/>
      <c r="D21" s="380"/>
      <c r="E21" s="380"/>
      <c r="F21" s="380"/>
      <c r="G21" s="897"/>
      <c r="H21" s="898"/>
    </row>
    <row r="22" spans="1:14" ht="18" customHeight="1" thickTop="1" x14ac:dyDescent="0.25">
      <c r="A22" s="973"/>
      <c r="B22" s="964" t="s">
        <v>541</v>
      </c>
      <c r="C22" s="965"/>
      <c r="D22" s="965"/>
      <c r="E22" s="965"/>
      <c r="F22" s="965"/>
      <c r="G22" s="966"/>
      <c r="H22" s="899"/>
    </row>
    <row r="23" spans="1:14" ht="21" customHeight="1" x14ac:dyDescent="0.25">
      <c r="A23" s="973"/>
      <c r="B23" s="947" t="s">
        <v>542</v>
      </c>
      <c r="C23" s="940" t="s">
        <v>543</v>
      </c>
      <c r="D23" s="941" t="s">
        <v>544</v>
      </c>
      <c r="E23" s="941" t="s">
        <v>560</v>
      </c>
      <c r="F23" s="967"/>
      <c r="G23" s="968"/>
      <c r="H23" s="935"/>
    </row>
    <row r="24" spans="1:14" ht="18" customHeight="1" x14ac:dyDescent="0.25">
      <c r="A24" s="973"/>
      <c r="B24" s="956" t="s">
        <v>546</v>
      </c>
      <c r="C24" s="941" t="s">
        <v>547</v>
      </c>
      <c r="D24" s="942"/>
      <c r="E24" s="941" t="s">
        <v>561</v>
      </c>
      <c r="F24" s="943"/>
      <c r="G24" s="950"/>
      <c r="H24" s="935"/>
      <c r="K24" s="1233" t="s">
        <v>514</v>
      </c>
      <c r="L24" s="1233"/>
      <c r="M24" s="1233"/>
    </row>
    <row r="25" spans="1:14" ht="18" customHeight="1" x14ac:dyDescent="0.25">
      <c r="A25" s="973"/>
      <c r="B25" s="956" t="s">
        <v>547</v>
      </c>
      <c r="C25" s="941" t="s">
        <v>548</v>
      </c>
      <c r="D25" s="942"/>
      <c r="E25" s="941" t="s">
        <v>562</v>
      </c>
      <c r="F25" s="943"/>
      <c r="G25" s="950"/>
      <c r="H25" s="935"/>
      <c r="K25" s="1234" t="s">
        <v>515</v>
      </c>
      <c r="L25" s="1234"/>
      <c r="M25" s="1234"/>
    </row>
    <row r="26" spans="1:14" ht="18" customHeight="1" x14ac:dyDescent="0.25">
      <c r="A26" s="973"/>
      <c r="B26" s="956" t="s">
        <v>548</v>
      </c>
      <c r="C26" s="941" t="s">
        <v>549</v>
      </c>
      <c r="D26" s="942"/>
      <c r="E26" s="941" t="s">
        <v>563</v>
      </c>
      <c r="F26" s="943"/>
      <c r="G26" s="950"/>
      <c r="H26" s="935"/>
    </row>
    <row r="27" spans="1:14" ht="18" customHeight="1" x14ac:dyDescent="0.25">
      <c r="A27" s="973"/>
      <c r="B27" s="956" t="s">
        <v>549</v>
      </c>
      <c r="C27" s="941" t="s">
        <v>550</v>
      </c>
      <c r="D27" s="942"/>
      <c r="E27" s="941" t="s">
        <v>564</v>
      </c>
      <c r="F27" s="943"/>
      <c r="G27" s="950"/>
      <c r="H27" s="935"/>
    </row>
    <row r="28" spans="1:14" ht="18" customHeight="1" x14ac:dyDescent="0.25">
      <c r="A28" s="973"/>
      <c r="B28" s="963" t="s">
        <v>551</v>
      </c>
      <c r="C28" s="959"/>
      <c r="D28" s="959"/>
      <c r="E28" s="941">
        <v>190</v>
      </c>
      <c r="F28" s="967"/>
      <c r="G28" s="968"/>
      <c r="H28" s="937"/>
      <c r="L28" s="930"/>
      <c r="M28" s="930"/>
      <c r="N28" s="930"/>
    </row>
    <row r="29" spans="1:14" ht="18" customHeight="1" x14ac:dyDescent="0.25">
      <c r="A29" s="973"/>
      <c r="B29" s="969" t="s">
        <v>552</v>
      </c>
      <c r="C29" s="970"/>
      <c r="D29" s="970"/>
      <c r="E29" s="970"/>
      <c r="F29" s="955"/>
      <c r="G29" s="968"/>
      <c r="H29" s="937"/>
      <c r="L29" s="930"/>
      <c r="M29" s="930"/>
      <c r="N29" s="930"/>
    </row>
    <row r="30" spans="1:14" ht="24" customHeight="1" x14ac:dyDescent="0.25">
      <c r="A30" s="973"/>
      <c r="B30" s="948" t="s">
        <v>553</v>
      </c>
      <c r="C30" s="944" t="s">
        <v>554</v>
      </c>
      <c r="D30" s="944" t="s">
        <v>555</v>
      </c>
      <c r="E30" s="944" t="s">
        <v>556</v>
      </c>
      <c r="F30" s="944" t="s">
        <v>557</v>
      </c>
      <c r="G30" s="949" t="s">
        <v>558</v>
      </c>
      <c r="H30" s="937"/>
      <c r="L30" s="930"/>
      <c r="M30" s="930"/>
      <c r="N30" s="930"/>
    </row>
    <row r="31" spans="1:14" ht="18" customHeight="1" x14ac:dyDescent="0.25">
      <c r="A31" s="973"/>
      <c r="B31" s="963" t="s">
        <v>559</v>
      </c>
      <c r="C31" s="941">
        <v>1</v>
      </c>
      <c r="D31" s="945"/>
      <c r="E31" s="946" t="str">
        <f>IF(D31=0,"",IF(D31="","",D31-$D$7))</f>
        <v/>
      </c>
      <c r="F31" s="946" t="str">
        <f>IF(D31=0,"",IF(D31="","",($D$6-(E31/$D$8))/$D$6*100))</f>
        <v/>
      </c>
      <c r="G31" s="950"/>
      <c r="H31" s="937"/>
      <c r="L31" s="930"/>
      <c r="M31" s="930"/>
      <c r="N31" s="930"/>
    </row>
    <row r="32" spans="1:14" ht="18" customHeight="1" thickBot="1" x14ac:dyDescent="0.3">
      <c r="A32" s="973"/>
      <c r="B32" s="960"/>
      <c r="C32" s="961">
        <v>2</v>
      </c>
      <c r="D32" s="962"/>
      <c r="E32" s="958" t="str">
        <f>IF(D32=0,"",IF(D32="","",D32-$D$7))</f>
        <v/>
      </c>
      <c r="F32" s="958" t="str">
        <f>IF(D32=0,"",IF(D32="","",($D$6-(E32/$D$8))/$D$6*100))</f>
        <v/>
      </c>
      <c r="G32" s="954" t="str">
        <f>IF(D31=0,"",IF(D31="","",AVERAGE(F31:F32)))</f>
        <v/>
      </c>
      <c r="H32" s="907"/>
      <c r="L32" s="930"/>
      <c r="M32" s="930"/>
      <c r="N32" s="930"/>
    </row>
    <row r="33" spans="1:14" ht="18" customHeight="1" thickTop="1" x14ac:dyDescent="0.25">
      <c r="A33" s="973"/>
      <c r="B33" s="964" t="s">
        <v>565</v>
      </c>
      <c r="C33" s="965"/>
      <c r="D33" s="965"/>
      <c r="E33" s="965"/>
      <c r="F33" s="965"/>
      <c r="G33" s="966"/>
      <c r="H33" s="907"/>
      <c r="L33" s="930"/>
      <c r="M33" s="930"/>
      <c r="N33" s="930"/>
    </row>
    <row r="34" spans="1:14" ht="20.25" customHeight="1" x14ac:dyDescent="0.25">
      <c r="A34" s="973"/>
      <c r="B34" s="947" t="s">
        <v>542</v>
      </c>
      <c r="C34" s="940" t="s">
        <v>543</v>
      </c>
      <c r="D34" s="941" t="s">
        <v>544</v>
      </c>
      <c r="E34" s="941" t="s">
        <v>545</v>
      </c>
      <c r="F34" s="970"/>
      <c r="G34" s="968"/>
      <c r="H34" s="907"/>
      <c r="L34" s="930"/>
      <c r="M34" s="930"/>
      <c r="N34" s="930"/>
    </row>
    <row r="35" spans="1:14" ht="18" customHeight="1" x14ac:dyDescent="0.25">
      <c r="A35" s="973"/>
      <c r="B35" s="956" t="s">
        <v>546</v>
      </c>
      <c r="C35" s="941" t="s">
        <v>547</v>
      </c>
      <c r="D35" s="942"/>
      <c r="E35" s="941" t="s">
        <v>571</v>
      </c>
      <c r="F35" s="970"/>
      <c r="G35" s="968"/>
      <c r="H35" s="907"/>
      <c r="L35" s="930"/>
      <c r="M35" s="930"/>
      <c r="N35" s="930"/>
    </row>
    <row r="36" spans="1:14" ht="18" customHeight="1" x14ac:dyDescent="0.25">
      <c r="A36" s="973"/>
      <c r="B36" s="956" t="s">
        <v>547</v>
      </c>
      <c r="C36" s="941" t="s">
        <v>548</v>
      </c>
      <c r="D36" s="942"/>
      <c r="E36" s="941" t="s">
        <v>571</v>
      </c>
      <c r="F36" s="970"/>
      <c r="G36" s="968"/>
      <c r="H36" s="907"/>
      <c r="L36" s="930"/>
      <c r="M36" s="930"/>
      <c r="N36" s="930"/>
    </row>
    <row r="37" spans="1:14" ht="18" customHeight="1" x14ac:dyDescent="0.25">
      <c r="A37" s="973"/>
      <c r="B37" s="956" t="s">
        <v>548</v>
      </c>
      <c r="C37" s="941" t="s">
        <v>549</v>
      </c>
      <c r="D37" s="942"/>
      <c r="E37" s="941" t="s">
        <v>571</v>
      </c>
      <c r="F37" s="970"/>
      <c r="G37" s="968"/>
      <c r="H37" s="907"/>
      <c r="L37" s="930"/>
      <c r="M37" s="930"/>
      <c r="N37" s="930"/>
    </row>
    <row r="38" spans="1:14" ht="18" customHeight="1" x14ac:dyDescent="0.25">
      <c r="A38" s="973"/>
      <c r="B38" s="963" t="s">
        <v>551</v>
      </c>
      <c r="C38" s="959"/>
      <c r="D38" s="941"/>
      <c r="E38" s="959"/>
      <c r="F38" s="970"/>
      <c r="G38" s="968"/>
      <c r="H38" s="907"/>
      <c r="L38" s="930"/>
      <c r="M38" s="930"/>
      <c r="N38" s="930"/>
    </row>
    <row r="39" spans="1:14" ht="18" customHeight="1" x14ac:dyDescent="0.25">
      <c r="A39" s="973"/>
      <c r="B39" s="969" t="s">
        <v>552</v>
      </c>
      <c r="C39" s="955"/>
      <c r="D39" s="955"/>
      <c r="E39" s="970"/>
      <c r="F39" s="955"/>
      <c r="G39" s="968"/>
      <c r="H39" s="907"/>
      <c r="L39" s="930"/>
      <c r="M39" s="930"/>
      <c r="N39" s="930"/>
    </row>
    <row r="40" spans="1:14" ht="22.5" customHeight="1" x14ac:dyDescent="0.25">
      <c r="A40" s="973"/>
      <c r="B40" s="948" t="s">
        <v>566</v>
      </c>
      <c r="C40" s="944" t="s">
        <v>554</v>
      </c>
      <c r="D40" s="944" t="s">
        <v>555</v>
      </c>
      <c r="E40" s="944" t="s">
        <v>556</v>
      </c>
      <c r="F40" s="944" t="s">
        <v>557</v>
      </c>
      <c r="G40" s="949" t="s">
        <v>567</v>
      </c>
      <c r="H40" s="907"/>
      <c r="L40" s="930"/>
      <c r="M40" s="930"/>
      <c r="N40" s="930"/>
    </row>
    <row r="41" spans="1:14" ht="18" customHeight="1" x14ac:dyDescent="0.25">
      <c r="A41" s="973"/>
      <c r="B41" s="963" t="s">
        <v>568</v>
      </c>
      <c r="C41" s="941">
        <v>1</v>
      </c>
      <c r="D41" s="945"/>
      <c r="E41" s="946" t="str">
        <f>IF(D41=0,"",IF(D41="","",D41-$D$7))</f>
        <v/>
      </c>
      <c r="F41" s="946" t="str">
        <f>IF(D41=0,"",IF(D41="","",($D$6-(E41/$D$8))/$D$6*100))</f>
        <v/>
      </c>
      <c r="G41" s="950"/>
      <c r="H41" s="907"/>
      <c r="L41" s="930"/>
      <c r="M41" s="930"/>
      <c r="N41" s="930"/>
    </row>
    <row r="42" spans="1:14" ht="18" customHeight="1" x14ac:dyDescent="0.25">
      <c r="A42" s="973"/>
      <c r="B42" s="963"/>
      <c r="C42" s="941">
        <v>2</v>
      </c>
      <c r="D42" s="942"/>
      <c r="E42" s="946" t="str">
        <f t="shared" ref="E42:E46" si="0">IF(D42=0,"",IF(D42="","",D42-$D$7))</f>
        <v/>
      </c>
      <c r="F42" s="946" t="str">
        <f t="shared" ref="F42:F46" si="1">IF(D42=0,"",IF(D42="","",($D$6-(E42/$D$8))/$D$6*100))</f>
        <v/>
      </c>
      <c r="G42" s="957"/>
      <c r="H42" s="907"/>
      <c r="L42" s="930"/>
      <c r="M42" s="930"/>
      <c r="N42" s="930"/>
    </row>
    <row r="43" spans="1:14" ht="18" customHeight="1" x14ac:dyDescent="0.25">
      <c r="A43" s="973"/>
      <c r="B43" s="963" t="s">
        <v>569</v>
      </c>
      <c r="C43" s="941">
        <v>1</v>
      </c>
      <c r="D43" s="945"/>
      <c r="E43" s="946" t="str">
        <f t="shared" si="0"/>
        <v/>
      </c>
      <c r="F43" s="946" t="str">
        <f t="shared" si="1"/>
        <v/>
      </c>
      <c r="G43" s="950"/>
      <c r="H43" s="907"/>
      <c r="L43" s="930"/>
      <c r="M43" s="930"/>
      <c r="N43" s="930"/>
    </row>
    <row r="44" spans="1:14" ht="18" customHeight="1" x14ac:dyDescent="0.25">
      <c r="A44" s="973"/>
      <c r="B44" s="963"/>
      <c r="C44" s="941">
        <v>2</v>
      </c>
      <c r="D44" s="942"/>
      <c r="E44" s="946" t="str">
        <f t="shared" si="0"/>
        <v/>
      </c>
      <c r="F44" s="946" t="str">
        <f t="shared" si="1"/>
        <v/>
      </c>
      <c r="G44" s="957"/>
      <c r="H44" s="907"/>
      <c r="L44" s="930"/>
      <c r="M44" s="930"/>
      <c r="N44" s="930"/>
    </row>
    <row r="45" spans="1:14" ht="18" customHeight="1" x14ac:dyDescent="0.25">
      <c r="A45" s="973"/>
      <c r="B45" s="963" t="s">
        <v>570</v>
      </c>
      <c r="C45" s="941">
        <v>1</v>
      </c>
      <c r="D45" s="945"/>
      <c r="E45" s="946" t="str">
        <f t="shared" si="0"/>
        <v/>
      </c>
      <c r="F45" s="946" t="str">
        <f t="shared" si="1"/>
        <v/>
      </c>
      <c r="G45" s="950"/>
      <c r="H45" s="907"/>
      <c r="L45" s="930"/>
      <c r="M45" s="930"/>
      <c r="N45" s="930"/>
    </row>
    <row r="46" spans="1:14" ht="18" customHeight="1" thickBot="1" x14ac:dyDescent="0.3">
      <c r="A46" s="973"/>
      <c r="B46" s="960"/>
      <c r="C46" s="951">
        <v>2</v>
      </c>
      <c r="D46" s="952"/>
      <c r="E46" s="953" t="str">
        <f t="shared" si="0"/>
        <v/>
      </c>
      <c r="F46" s="953" t="str">
        <f t="shared" si="1"/>
        <v/>
      </c>
      <c r="G46" s="954" t="str">
        <f>IF(D45=0,"",IF(D45="","",AVERAGE(F41:F46)))</f>
        <v/>
      </c>
      <c r="H46" s="907"/>
      <c r="L46" s="930"/>
      <c r="M46" s="930"/>
      <c r="N46" s="930"/>
    </row>
    <row r="47" spans="1:14" ht="18" customHeight="1" thickTop="1" x14ac:dyDescent="0.25">
      <c r="A47" s="973"/>
      <c r="B47" s="964" t="s">
        <v>572</v>
      </c>
      <c r="C47" s="965"/>
      <c r="D47" s="965"/>
      <c r="E47" s="965"/>
      <c r="F47" s="965"/>
      <c r="G47" s="966"/>
      <c r="H47" s="898"/>
    </row>
    <row r="48" spans="1:14" ht="18" customHeight="1" x14ac:dyDescent="0.25">
      <c r="A48" s="973"/>
      <c r="B48" s="947" t="s">
        <v>542</v>
      </c>
      <c r="C48" s="940" t="s">
        <v>543</v>
      </c>
      <c r="D48" s="941" t="s">
        <v>544</v>
      </c>
      <c r="E48" s="941" t="s">
        <v>545</v>
      </c>
      <c r="F48" s="967"/>
      <c r="G48" s="968"/>
      <c r="H48" s="898"/>
    </row>
    <row r="49" spans="1:8" ht="18" customHeight="1" x14ac:dyDescent="0.25">
      <c r="A49" s="973"/>
      <c r="B49" s="956" t="s">
        <v>546</v>
      </c>
      <c r="C49" s="941" t="s">
        <v>573</v>
      </c>
      <c r="D49" s="942"/>
      <c r="E49" s="941" t="s">
        <v>571</v>
      </c>
      <c r="F49" s="943"/>
      <c r="G49" s="950"/>
      <c r="H49" s="898"/>
    </row>
    <row r="50" spans="1:8" ht="18" customHeight="1" x14ac:dyDescent="0.25">
      <c r="A50" s="973"/>
      <c r="B50" s="963" t="s">
        <v>551</v>
      </c>
      <c r="C50" s="959"/>
      <c r="D50" s="971"/>
      <c r="E50" s="941">
        <v>190</v>
      </c>
      <c r="F50" s="967"/>
      <c r="G50" s="968"/>
      <c r="H50" s="898"/>
    </row>
    <row r="51" spans="1:8" ht="18" customHeight="1" x14ac:dyDescent="0.25">
      <c r="A51" s="973"/>
      <c r="B51" s="969" t="s">
        <v>552</v>
      </c>
      <c r="C51" s="955"/>
      <c r="D51" s="955"/>
      <c r="E51" s="970"/>
      <c r="F51" s="955"/>
      <c r="G51" s="968"/>
      <c r="H51" s="898"/>
    </row>
    <row r="52" spans="1:8" ht="24.75" customHeight="1" x14ac:dyDescent="0.25">
      <c r="A52" s="973"/>
      <c r="B52" s="948" t="s">
        <v>574</v>
      </c>
      <c r="C52" s="944" t="s">
        <v>554</v>
      </c>
      <c r="D52" s="944" t="s">
        <v>555</v>
      </c>
      <c r="E52" s="944" t="s">
        <v>556</v>
      </c>
      <c r="F52" s="944" t="s">
        <v>557</v>
      </c>
      <c r="G52" s="949" t="s">
        <v>575</v>
      </c>
      <c r="H52" s="898"/>
    </row>
    <row r="53" spans="1:8" ht="18" customHeight="1" x14ac:dyDescent="0.25">
      <c r="A53" s="973"/>
      <c r="B53" s="963" t="s">
        <v>576</v>
      </c>
      <c r="C53" s="941">
        <v>1</v>
      </c>
      <c r="D53" s="945"/>
      <c r="E53" s="946" t="str">
        <f>IF(D53=0,"",IF(D53="","",D53-$D$7))</f>
        <v/>
      </c>
      <c r="F53" s="946" t="str">
        <f>IF(D53=0,"",IF(D53="","",($D$6-(E53/$D$8))/$D$6*100))</f>
        <v/>
      </c>
      <c r="G53" s="950"/>
      <c r="H53" s="898"/>
    </row>
    <row r="54" spans="1:8" ht="18" customHeight="1" thickBot="1" x14ac:dyDescent="0.3">
      <c r="A54" s="973"/>
      <c r="B54" s="960"/>
      <c r="C54" s="951">
        <v>2</v>
      </c>
      <c r="D54" s="952"/>
      <c r="E54" s="953" t="str">
        <f>IF(D54=0,"",IF(D54="","",D54-$D$7))</f>
        <v/>
      </c>
      <c r="F54" s="953" t="str">
        <f>IF(D54=0,"",IF(D54="","",($D$6-(E54/$D$8))/$D$6*100))</f>
        <v/>
      </c>
      <c r="G54" s="954" t="str">
        <f>IF(D53=0,"",IF(D53="","",AVERAGE(F53:F54)))</f>
        <v/>
      </c>
      <c r="H54" s="898"/>
    </row>
    <row r="55" spans="1:8" ht="9.9" customHeight="1" thickTop="1" x14ac:dyDescent="0.25">
      <c r="A55" s="922"/>
      <c r="B55" s="902"/>
      <c r="C55" s="911"/>
      <c r="D55" s="912"/>
      <c r="E55" s="913"/>
      <c r="F55" s="911"/>
      <c r="G55" s="911"/>
      <c r="H55" s="914"/>
    </row>
    <row r="56" spans="1:8" ht="9.9" customHeight="1" x14ac:dyDescent="0.25">
      <c r="A56" s="915"/>
      <c r="B56" s="915"/>
      <c r="C56" s="915"/>
      <c r="D56" s="915"/>
      <c r="E56" s="915"/>
      <c r="F56" s="915"/>
      <c r="G56" s="915"/>
      <c r="H56" s="906"/>
    </row>
    <row r="57" spans="1:8" ht="17.399999999999999" customHeight="1" x14ac:dyDescent="0.2">
      <c r="A57" s="923" t="s">
        <v>533</v>
      </c>
      <c r="B57" s="924"/>
      <c r="C57" s="925"/>
      <c r="D57" s="924"/>
      <c r="E57" s="926"/>
      <c r="F57" s="1235" t="s">
        <v>530</v>
      </c>
      <c r="G57" s="1235"/>
      <c r="H57" s="974"/>
    </row>
    <row r="58" spans="1:8" ht="17.399999999999999" customHeight="1" x14ac:dyDescent="0.25">
      <c r="A58" s="927"/>
      <c r="B58" s="928"/>
      <c r="C58" s="928"/>
      <c r="D58" s="929"/>
      <c r="E58" s="927"/>
      <c r="F58" s="978" t="s">
        <v>532</v>
      </c>
      <c r="G58" s="975"/>
    </row>
    <row r="59" spans="1:8" ht="17.399999999999999" customHeight="1" x14ac:dyDescent="0.25">
      <c r="A59" s="891"/>
      <c r="B59" s="900"/>
      <c r="C59" s="900"/>
      <c r="D59" s="901"/>
      <c r="E59" s="891"/>
      <c r="F59" s="979" t="s">
        <v>531</v>
      </c>
      <c r="G59" s="976"/>
      <c r="H59" s="910"/>
    </row>
    <row r="60" spans="1:8" ht="17.399999999999999" customHeight="1" x14ac:dyDescent="0.25">
      <c r="A60" s="891"/>
      <c r="B60" s="900"/>
      <c r="C60" s="900"/>
      <c r="D60" s="901"/>
      <c r="E60" s="891"/>
      <c r="F60" s="979" t="s">
        <v>534</v>
      </c>
      <c r="G60" s="976"/>
      <c r="H60" s="910"/>
    </row>
    <row r="61" spans="1:8" ht="17.399999999999999" customHeight="1" x14ac:dyDescent="0.25">
      <c r="A61" s="882"/>
      <c r="B61" s="838"/>
      <c r="C61" s="881"/>
      <c r="D61" s="879"/>
      <c r="E61" s="312"/>
    </row>
    <row r="62" spans="1:8" ht="15.75" customHeight="1" x14ac:dyDescent="0.25">
      <c r="A62" s="880"/>
      <c r="B62" s="882"/>
      <c r="C62" s="882"/>
      <c r="D62" s="312"/>
      <c r="E62" s="312"/>
      <c r="F62" s="312"/>
      <c r="G62" s="830"/>
    </row>
    <row r="63" spans="1:8" ht="15.75" customHeight="1" x14ac:dyDescent="0.25">
      <c r="A63" s="312"/>
      <c r="B63" s="312"/>
      <c r="C63" s="312"/>
      <c r="D63" s="312"/>
      <c r="E63" s="312"/>
      <c r="F63" s="312"/>
      <c r="G63" s="830"/>
    </row>
    <row r="64" spans="1:8" ht="15.75" customHeight="1" x14ac:dyDescent="0.25">
      <c r="A64" s="841" t="s">
        <v>511</v>
      </c>
      <c r="B64" s="908"/>
    </row>
    <row r="65" spans="1:8" ht="15.75" customHeight="1" x14ac:dyDescent="0.25">
      <c r="A65" s="841" t="s">
        <v>579</v>
      </c>
      <c r="B65" s="908"/>
    </row>
    <row r="66" spans="1:8" ht="15.75" customHeight="1" x14ac:dyDescent="0.25">
      <c r="D66" s="1086"/>
      <c r="E66" s="1086"/>
    </row>
    <row r="67" spans="1:8" ht="15.75" customHeight="1" x14ac:dyDescent="0.25"/>
    <row r="68" spans="1:8" ht="21.75" customHeight="1" x14ac:dyDescent="0.25">
      <c r="A68" s="1205" t="s">
        <v>577</v>
      </c>
      <c r="B68" s="1205"/>
      <c r="C68" s="1205"/>
      <c r="D68" s="1205"/>
      <c r="E68" s="1205"/>
      <c r="F68" s="1205"/>
      <c r="G68" s="1205"/>
      <c r="H68" s="1205"/>
    </row>
  </sheetData>
  <mergeCells count="10">
    <mergeCell ref="A7:H7"/>
    <mergeCell ref="A8:H8"/>
    <mergeCell ref="D66:E66"/>
    <mergeCell ref="A13:H13"/>
    <mergeCell ref="A14:H14"/>
    <mergeCell ref="A68:H68"/>
    <mergeCell ref="K24:M24"/>
    <mergeCell ref="K25:M25"/>
    <mergeCell ref="F57:G57"/>
    <mergeCell ref="A16:B16"/>
  </mergeCells>
  <phoneticPr fontId="0" type="noConversion"/>
  <conditionalFormatting sqref="E24:E27">
    <cfRule type="containsText" dxfId="4" priority="8" operator="containsText" text="No Cumple">
      <formula>NOT(ISERROR(SEARCH("No Cumple",E24)))</formula>
    </cfRule>
  </conditionalFormatting>
  <conditionalFormatting sqref="E35:E37">
    <cfRule type="containsText" dxfId="3" priority="5" operator="containsText" text="No Cumple">
      <formula>NOT(ISERROR(SEARCH("No Cumple",E35)))</formula>
    </cfRule>
  </conditionalFormatting>
  <conditionalFormatting sqref="E49:E50">
    <cfRule type="containsText" dxfId="2" priority="1" operator="containsText" text="No Cumple">
      <formula>NOT(ISERROR(SEARCH("No Cumple",E49)))</formula>
    </cfRule>
  </conditionalFormatting>
  <conditionalFormatting sqref="G24:G27">
    <cfRule type="containsText" dxfId="1" priority="7" operator="containsText" text="No Cumple">
      <formula>NOT(ISERROR(SEARCH("No Cumple",G24)))</formula>
    </cfRule>
  </conditionalFormatting>
  <conditionalFormatting sqref="G49">
    <cfRule type="containsText" dxfId="0" priority="3" operator="containsText" text="No Cumple">
      <formula>NOT(ISERROR(SEARCH("No Cumple",G49)))</formula>
    </cfRule>
  </conditionalFormatting>
  <printOptions horizontalCentered="1" verticalCentered="1"/>
  <pageMargins left="0.59055118110236227" right="0.59055118110236227" top="0.39370078740157483" bottom="0.39370078740157483" header="0" footer="0"/>
  <pageSetup paperSize="9" scale="69" orientation="portrait" horizontalDpi="360" verticalDpi="36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D1D6-5DE4-4F34-905E-429A056550E9}">
  <sheetPr codeName="Hoja15"/>
  <dimension ref="A1:I45"/>
  <sheetViews>
    <sheetView zoomScaleNormal="100" workbookViewId="0"/>
  </sheetViews>
  <sheetFormatPr baseColWidth="10" defaultColWidth="11.44140625" defaultRowHeight="13.2" x14ac:dyDescent="0.25"/>
  <cols>
    <col min="1" max="1" width="3" style="144" customWidth="1"/>
    <col min="2" max="6" width="11.44140625" style="144"/>
    <col min="7" max="7" width="11.5546875" style="144" bestFit="1" customWidth="1"/>
    <col min="8" max="16384" width="11.44140625" style="144"/>
  </cols>
  <sheetData>
    <row r="1" spans="1:8" ht="10.5" customHeight="1" thickTop="1" x14ac:dyDescent="0.25">
      <c r="A1" s="156" t="s">
        <v>516</v>
      </c>
      <c r="B1" s="214"/>
      <c r="C1" s="214"/>
      <c r="D1" s="214"/>
      <c r="E1" s="214"/>
      <c r="F1" s="214"/>
      <c r="G1" s="214"/>
      <c r="H1" s="215"/>
    </row>
    <row r="2" spans="1:8" ht="10.5" customHeight="1" x14ac:dyDescent="0.25">
      <c r="A2" s="157" t="s">
        <v>517</v>
      </c>
      <c r="B2" s="216"/>
      <c r="C2" s="216"/>
      <c r="D2" s="216"/>
      <c r="E2" s="216"/>
      <c r="F2" s="216"/>
      <c r="G2" s="216"/>
      <c r="H2" s="217"/>
    </row>
    <row r="3" spans="1:8" ht="10.5" customHeight="1" x14ac:dyDescent="0.25">
      <c r="A3" s="158" t="s">
        <v>518</v>
      </c>
      <c r="H3" s="218"/>
    </row>
    <row r="4" spans="1:8" ht="10.5" customHeight="1" x14ac:dyDescent="0.25">
      <c r="A4" s="158" t="s">
        <v>519</v>
      </c>
      <c r="B4" s="135"/>
      <c r="C4" s="135"/>
      <c r="D4" s="135"/>
      <c r="E4" s="135"/>
      <c r="F4" s="135"/>
      <c r="G4" s="135"/>
      <c r="H4" s="219"/>
    </row>
    <row r="5" spans="1:8" ht="10.5" customHeight="1" x14ac:dyDescent="0.25">
      <c r="A5" s="158" t="s">
        <v>520</v>
      </c>
      <c r="B5" s="135"/>
      <c r="C5" s="135"/>
      <c r="D5" s="135"/>
      <c r="E5" s="135"/>
      <c r="F5" s="135"/>
      <c r="G5" s="135"/>
      <c r="H5" s="219"/>
    </row>
    <row r="6" spans="1:8" ht="10.5" customHeight="1" x14ac:dyDescent="0.25">
      <c r="A6" s="158" t="s">
        <v>521</v>
      </c>
      <c r="B6" s="135"/>
      <c r="C6" s="135"/>
      <c r="D6" s="135"/>
      <c r="E6" s="135"/>
      <c r="F6" s="135"/>
      <c r="G6" s="135"/>
      <c r="H6" s="219"/>
    </row>
    <row r="7" spans="1:8" ht="3.75" customHeight="1" thickBot="1" x14ac:dyDescent="0.3">
      <c r="A7" s="210"/>
      <c r="B7" s="220"/>
      <c r="C7" s="220"/>
      <c r="D7" s="220"/>
      <c r="E7" s="220"/>
      <c r="F7" s="220"/>
      <c r="G7" s="220"/>
      <c r="H7" s="221"/>
    </row>
    <row r="8" spans="1:8" ht="12.75" customHeight="1" thickTop="1" x14ac:dyDescent="0.25">
      <c r="A8" s="134"/>
      <c r="B8" s="135"/>
      <c r="C8" s="135"/>
      <c r="D8" s="135"/>
      <c r="E8" s="135"/>
      <c r="F8" s="135"/>
      <c r="G8" s="135"/>
      <c r="H8" s="135"/>
    </row>
    <row r="9" spans="1:8" x14ac:dyDescent="0.25">
      <c r="A9" s="134"/>
      <c r="B9" s="135"/>
      <c r="C9" s="135"/>
      <c r="D9" s="135"/>
      <c r="E9" s="135"/>
      <c r="F9" s="135"/>
      <c r="G9" s="135"/>
      <c r="H9" s="135"/>
    </row>
    <row r="10" spans="1:8" x14ac:dyDescent="0.25">
      <c r="A10" s="134"/>
      <c r="B10" s="135"/>
      <c r="C10" s="135"/>
      <c r="D10" s="135"/>
      <c r="E10" s="135"/>
      <c r="F10" s="135"/>
      <c r="G10" s="135"/>
      <c r="H10" s="135"/>
    </row>
    <row r="11" spans="1:8" x14ac:dyDescent="0.25">
      <c r="A11" s="1190" t="s">
        <v>522</v>
      </c>
      <c r="B11" s="1190"/>
      <c r="C11" s="1190"/>
      <c r="D11" s="1190"/>
      <c r="E11" s="1190"/>
      <c r="F11" s="1190"/>
      <c r="G11" s="1190"/>
      <c r="H11" s="1190"/>
    </row>
    <row r="12" spans="1:8" x14ac:dyDescent="0.25">
      <c r="A12" s="1247" t="s">
        <v>523</v>
      </c>
      <c r="B12" s="1247"/>
      <c r="C12" s="1247"/>
      <c r="D12" s="1247"/>
      <c r="E12" s="1247"/>
      <c r="F12" s="1247"/>
      <c r="G12" s="1247"/>
      <c r="H12" s="1247"/>
    </row>
    <row r="13" spans="1:8" x14ac:dyDescent="0.25">
      <c r="A13" s="1247" t="s">
        <v>524</v>
      </c>
      <c r="B13" s="1247"/>
      <c r="C13" s="1247"/>
      <c r="D13" s="1247"/>
      <c r="E13" s="1247"/>
      <c r="F13" s="1247"/>
      <c r="G13" s="1247"/>
      <c r="H13" s="1247"/>
    </row>
    <row r="16" spans="1:8" x14ac:dyDescent="0.25">
      <c r="A16" s="144" t="e">
        <f>+Datos!#REF!</f>
        <v>#REF!</v>
      </c>
      <c r="C16" s="148" t="e">
        <f>+Datos!#REF!</f>
        <v>#REF!</v>
      </c>
      <c r="D16" s="148"/>
    </row>
    <row r="17" spans="1:8" x14ac:dyDescent="0.25">
      <c r="A17" s="144" t="e">
        <f>+Datos!#REF!</f>
        <v>#REF!</v>
      </c>
      <c r="C17" s="148" t="e">
        <f>+Datos!#REF!</f>
        <v>#REF!</v>
      </c>
      <c r="D17" s="149"/>
    </row>
    <row r="18" spans="1:8" x14ac:dyDescent="0.25">
      <c r="A18" s="144" t="e">
        <f>+Datos!#REF!</f>
        <v>#REF!</v>
      </c>
      <c r="C18" s="153" t="e">
        <f>+Datos!#REF!</f>
        <v>#REF!</v>
      </c>
      <c r="D18" s="149"/>
      <c r="F18" s="144">
        <f>+Datos!H9</f>
        <v>0</v>
      </c>
      <c r="G18" s="155">
        <f>+Datos!K9</f>
        <v>0</v>
      </c>
      <c r="H18" s="148"/>
    </row>
    <row r="19" spans="1:8" x14ac:dyDescent="0.25">
      <c r="C19" s="154"/>
    </row>
    <row r="20" spans="1:8" x14ac:dyDescent="0.25">
      <c r="A20" s="144" t="str">
        <f>+Datos!A8</f>
        <v>Solicitado   :</v>
      </c>
      <c r="C20" s="148"/>
    </row>
    <row r="21" spans="1:8" x14ac:dyDescent="0.25">
      <c r="A21" s="144" t="str">
        <f>+Datos!A9</f>
        <v>Proyecto    :</v>
      </c>
      <c r="C21" s="148" t="str">
        <f>+Datos!D9</f>
        <v>Tunel de Puruchuco</v>
      </c>
      <c r="D21" s="148"/>
    </row>
    <row r="22" spans="1:8" x14ac:dyDescent="0.25">
      <c r="A22" s="144" t="str">
        <f>+Datos!A10</f>
        <v>Ubicación   :</v>
      </c>
      <c r="C22" s="148" t="str">
        <f>+Datos!D10</f>
        <v>Av. Javier Prado S/N Alt. Huaca de Puruchuco</v>
      </c>
      <c r="D22" s="149"/>
    </row>
    <row r="23" spans="1:8" x14ac:dyDescent="0.25">
      <c r="A23" s="144" t="str">
        <f>+Datos!A11</f>
        <v>Cantera      :</v>
      </c>
      <c r="C23" s="148" t="str">
        <f>+Datos!D11</f>
        <v>Cantera Dorita</v>
      </c>
      <c r="D23" s="149"/>
    </row>
    <row r="26" spans="1:8" x14ac:dyDescent="0.25">
      <c r="A26" s="1248" t="s">
        <v>466</v>
      </c>
      <c r="B26" s="1248"/>
      <c r="C26" s="1248"/>
      <c r="D26" s="1248"/>
      <c r="E26" s="1248"/>
      <c r="F26" s="1248"/>
      <c r="G26" s="1248"/>
      <c r="H26" s="1248"/>
    </row>
    <row r="29" spans="1:8" x14ac:dyDescent="0.25">
      <c r="A29" s="1249" t="s">
        <v>229</v>
      </c>
      <c r="B29" s="1251" t="s">
        <v>525</v>
      </c>
      <c r="C29" s="1252"/>
      <c r="D29" s="1252"/>
      <c r="E29" s="1252"/>
      <c r="F29" s="1253"/>
      <c r="G29" s="1257">
        <v>1582.4</v>
      </c>
      <c r="H29" s="1259" t="s">
        <v>526</v>
      </c>
    </row>
    <row r="30" spans="1:8" x14ac:dyDescent="0.25">
      <c r="A30" s="1250"/>
      <c r="B30" s="1254"/>
      <c r="C30" s="1255"/>
      <c r="D30" s="1255"/>
      <c r="E30" s="1255"/>
      <c r="F30" s="1256"/>
      <c r="G30" s="1258"/>
      <c r="H30" s="1260"/>
    </row>
    <row r="31" spans="1:8" x14ac:dyDescent="0.25">
      <c r="A31" s="150" t="s">
        <v>230</v>
      </c>
      <c r="B31" s="1251" t="s">
        <v>527</v>
      </c>
      <c r="C31" s="1252"/>
      <c r="D31" s="1252"/>
      <c r="E31" s="1252"/>
      <c r="F31" s="1253"/>
      <c r="G31" s="1257"/>
      <c r="H31" s="1259" t="s">
        <v>526</v>
      </c>
    </row>
    <row r="32" spans="1:8" x14ac:dyDescent="0.25">
      <c r="A32" s="138"/>
      <c r="B32" s="1254"/>
      <c r="C32" s="1255"/>
      <c r="D32" s="1255"/>
      <c r="E32" s="1255"/>
      <c r="F32" s="1256"/>
      <c r="G32" s="1258"/>
      <c r="H32" s="1260"/>
    </row>
    <row r="33" spans="4:9" x14ac:dyDescent="0.25">
      <c r="G33" s="147"/>
    </row>
    <row r="37" spans="4:9" x14ac:dyDescent="0.25">
      <c r="D37" s="151" t="s">
        <v>528</v>
      </c>
      <c r="F37" s="152">
        <f>+((G29-G31)/G29*100)/100</f>
        <v>1</v>
      </c>
    </row>
    <row r="45" spans="4:9" x14ac:dyDescent="0.25">
      <c r="D45" s="1246"/>
      <c r="E45" s="1246"/>
      <c r="F45" s="1246"/>
      <c r="G45" s="1246"/>
      <c r="H45" s="1246"/>
      <c r="I45" s="135"/>
    </row>
  </sheetData>
  <mergeCells count="13">
    <mergeCell ref="D45:F45"/>
    <mergeCell ref="G45:H45"/>
    <mergeCell ref="A11:H11"/>
    <mergeCell ref="A12:H12"/>
    <mergeCell ref="A13:H13"/>
    <mergeCell ref="A26:H26"/>
    <mergeCell ref="A29:A30"/>
    <mergeCell ref="B29:F30"/>
    <mergeCell ref="G29:G30"/>
    <mergeCell ref="H29:H30"/>
    <mergeCell ref="B31:F32"/>
    <mergeCell ref="G31:G32"/>
    <mergeCell ref="H31:H32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20</vt:i4>
      </vt:variant>
    </vt:vector>
  </HeadingPairs>
  <TitlesOfParts>
    <vt:vector size="36" baseType="lpstr">
      <vt:lpstr>Gran-LLyLP</vt:lpstr>
      <vt:lpstr>Proctor</vt:lpstr>
      <vt:lpstr>Datos</vt:lpstr>
      <vt:lpstr>Grafico CBR</vt:lpstr>
      <vt:lpstr>Apoyo</vt:lpstr>
      <vt:lpstr>E_A</vt:lpstr>
      <vt:lpstr>ABRASION</vt:lpstr>
      <vt:lpstr>G_E</vt:lpstr>
      <vt:lpstr>Sucs</vt:lpstr>
      <vt:lpstr>Aashto</vt:lpstr>
      <vt:lpstr>Apoyo 2</vt:lpstr>
      <vt:lpstr>Sedimentación</vt:lpstr>
      <vt:lpstr>H.N</vt:lpstr>
      <vt:lpstr>Chatas y Alarga.</vt:lpstr>
      <vt:lpstr>Caras Fracturadas</vt:lpstr>
      <vt:lpstr>% que pasa # 200</vt:lpstr>
      <vt:lpstr>'% que pasa # 200'!Área_de_impresión</vt:lpstr>
      <vt:lpstr>Aashto!Área_de_impresión</vt:lpstr>
      <vt:lpstr>ABRASION!Área_de_impresión</vt:lpstr>
      <vt:lpstr>'Caras Fracturadas'!Área_de_impresión</vt:lpstr>
      <vt:lpstr>'Chatas y Alarga.'!Área_de_impresión</vt:lpstr>
      <vt:lpstr>Datos!Área_de_impresión</vt:lpstr>
      <vt:lpstr>E_A!Área_de_impresión</vt:lpstr>
      <vt:lpstr>G_E!Área_de_impresión</vt:lpstr>
      <vt:lpstr>'Grafico CBR'!Área_de_impresión</vt:lpstr>
      <vt:lpstr>'Gran-LLyLP'!Área_de_impresión</vt:lpstr>
      <vt:lpstr>H.N!Área_de_impresión</vt:lpstr>
      <vt:lpstr>Proctor!Área_de_impresión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Manager/>
  <Company>pp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</dc:creator>
  <cp:keywords/>
  <dc:description/>
  <cp:lastModifiedBy>kevin skibidi</cp:lastModifiedBy>
  <cp:revision/>
  <cp:lastPrinted>2025-04-01T17:32:50Z</cp:lastPrinted>
  <dcterms:created xsi:type="dcterms:W3CDTF">2001-07-17T22:05:44Z</dcterms:created>
  <dcterms:modified xsi:type="dcterms:W3CDTF">2026-03-21T16:19:35Z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-1321544066</vt:i4>
  </property>
  <property fmtid="{D5CDD505-2E9C-101B-9397-08002B2CF9AE}" pid="3" name="_EmailSubject">
    <vt:lpwstr>Modelo de Presentación de Ensayos de Laboratorio</vt:lpwstr>
  </property>
  <property fmtid="{D5CDD505-2E9C-101B-9397-08002B2CF9AE}" pid="4" name="_AuthorEmail">
    <vt:lpwstr>procha@odebrecht.com</vt:lpwstr>
  </property>
  <property fmtid="{D5CDD505-2E9C-101B-9397-08002B2CF9AE}" pid="5" name="_AuthorEmailDisplayName">
    <vt:lpwstr>Paolo Rocha</vt:lpwstr>
  </property>
  <property fmtid="{D5CDD505-2E9C-101B-9397-08002B2CF9AE}" pid="6" name="_ReviewingToolsShownOnce">
    <vt:lpwstr/>
  </property>
</Properties>
</file>